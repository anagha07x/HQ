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kumar\Desktop\"/>
    </mc:Choice>
  </mc:AlternateContent>
  <xr:revisionPtr revIDLastSave="0" documentId="13_ncr:1_{420BB92E-BD9B-4F61-B78D-96D742366905}" xr6:coauthVersionLast="36" xr6:coauthVersionMax="36" xr10:uidLastSave="{00000000-0000-0000-0000-000000000000}"/>
  <bookViews>
    <workbookView xWindow="-105" yWindow="-105" windowWidth="23250" windowHeight="12450" xr2:uid="{BC94468A-7B0C-4BF0-802A-B10C41C2E11C}"/>
  </bookViews>
  <sheets>
    <sheet name="SUMMARY" sheetId="3" r:id="rId1"/>
    <sheet name="MAIN" sheetId="1" r:id="rId2"/>
    <sheet name="Sales loss" sheetId="8" r:id="rId3"/>
    <sheet name="FORECAST" sheetId="7" r:id="rId4"/>
    <sheet name="APPASAMY DATES" sheetId="4" r:id="rId5"/>
    <sheet name="MASTER" sheetId="5" r:id="rId6"/>
    <sheet name="Sheet2" sheetId="6" r:id="rId7"/>
  </sheets>
  <definedNames>
    <definedName name="_xlnm._FilterDatabase" localSheetId="1" hidden="1">MAIN!$A$1:$AC$732</definedName>
    <definedName name="_xlnm._FilterDatabase" localSheetId="5" hidden="1">MASTER!$U$1:$Z$1835</definedName>
    <definedName name="_xlnm._FilterDatabase" localSheetId="6" hidden="1">Sheet2!$A$1:$D$183</definedName>
  </definedNames>
  <calcPr calcId="191029"/>
  <pivotCaches>
    <pivotCache cacheId="168" r:id="rId8"/>
  </pivotCaches>
</workbook>
</file>

<file path=xl/calcChain.xml><?xml version="1.0" encoding="utf-8"?>
<calcChain xmlns="http://schemas.openxmlformats.org/spreadsheetml/2006/main">
  <c r="G7" i="8" l="1"/>
  <c r="E6" i="8"/>
  <c r="G6" i="8" s="1"/>
  <c r="E5" i="8"/>
  <c r="G5" i="8" s="1"/>
  <c r="E4" i="8"/>
  <c r="G4" i="8" s="1"/>
  <c r="E3" i="8"/>
  <c r="G3" i="8" s="1"/>
  <c r="I730" i="1"/>
  <c r="I731" i="1"/>
  <c r="I732" i="1"/>
  <c r="I729" i="1"/>
  <c r="I728" i="1"/>
  <c r="I727" i="1"/>
  <c r="I726" i="1"/>
  <c r="I725" i="1"/>
  <c r="I724" i="1"/>
  <c r="O57" i="7"/>
  <c r="I57" i="7"/>
  <c r="C57" i="7"/>
  <c r="U57" i="7" s="1"/>
  <c r="W56" i="7"/>
  <c r="V56" i="7"/>
  <c r="U56" i="7"/>
  <c r="U55" i="7"/>
  <c r="Q55" i="7"/>
  <c r="P55" i="7"/>
  <c r="K55" i="7"/>
  <c r="J55" i="7"/>
  <c r="E55" i="7"/>
  <c r="W55" i="7" s="1"/>
  <c r="U54" i="7"/>
  <c r="Q54" i="7"/>
  <c r="P54" i="7"/>
  <c r="K54" i="7"/>
  <c r="J54" i="7"/>
  <c r="E54" i="7"/>
  <c r="W54" i="7" s="1"/>
  <c r="D54" i="7"/>
  <c r="V54" i="7" s="1"/>
  <c r="W53" i="7"/>
  <c r="V53" i="7"/>
  <c r="U53" i="7"/>
  <c r="Q53" i="7"/>
  <c r="P53" i="7"/>
  <c r="K53" i="7"/>
  <c r="J53" i="7"/>
  <c r="E53" i="7"/>
  <c r="D53" i="7"/>
  <c r="U52" i="7"/>
  <c r="Q52" i="7"/>
  <c r="W52" i="7" s="1"/>
  <c r="P52" i="7"/>
  <c r="V52" i="7" s="1"/>
  <c r="K52" i="7"/>
  <c r="J52" i="7"/>
  <c r="E52" i="7"/>
  <c r="D52" i="7"/>
  <c r="U51" i="7"/>
  <c r="Q51" i="7"/>
  <c r="P51" i="7"/>
  <c r="K51" i="7"/>
  <c r="K57" i="7" s="1"/>
  <c r="J51" i="7"/>
  <c r="J57" i="7" s="1"/>
  <c r="E51" i="7"/>
  <c r="W51" i="7" s="1"/>
  <c r="D51" i="7"/>
  <c r="V51" i="7" s="1"/>
  <c r="U50" i="7"/>
  <c r="Q50" i="7"/>
  <c r="Q57" i="7" s="1"/>
  <c r="P50" i="7"/>
  <c r="P57" i="7" s="1"/>
  <c r="K50" i="7"/>
  <c r="J50" i="7"/>
  <c r="E50" i="7"/>
  <c r="W50" i="7" s="1"/>
  <c r="D50" i="7"/>
  <c r="V50" i="7" s="1"/>
  <c r="P45" i="7"/>
  <c r="O45" i="7"/>
  <c r="I45" i="7"/>
  <c r="C45" i="7"/>
  <c r="U45" i="7" s="1"/>
  <c r="W44" i="7"/>
  <c r="V44" i="7"/>
  <c r="U44" i="7"/>
  <c r="U43" i="7"/>
  <c r="Q43" i="7"/>
  <c r="Q45" i="7" s="1"/>
  <c r="P43" i="7"/>
  <c r="K43" i="7"/>
  <c r="K45" i="7" s="1"/>
  <c r="J43" i="7"/>
  <c r="J45" i="7" s="1"/>
  <c r="E43" i="7"/>
  <c r="W43" i="7" s="1"/>
  <c r="D43" i="7"/>
  <c r="D55" i="7" s="1"/>
  <c r="W42" i="7"/>
  <c r="V42" i="7"/>
  <c r="U42" i="7"/>
  <c r="W41" i="7"/>
  <c r="V41" i="7"/>
  <c r="U41" i="7"/>
  <c r="W40" i="7"/>
  <c r="V40" i="7"/>
  <c r="U40" i="7"/>
  <c r="W39" i="7"/>
  <c r="V39" i="7"/>
  <c r="U39" i="7"/>
  <c r="W38" i="7"/>
  <c r="V38" i="7"/>
  <c r="U38" i="7"/>
  <c r="Q33" i="7"/>
  <c r="P33" i="7"/>
  <c r="O33" i="7"/>
  <c r="K33" i="7"/>
  <c r="J33" i="7"/>
  <c r="I33" i="7"/>
  <c r="U33" i="7" s="1"/>
  <c r="E33" i="7"/>
  <c r="W33" i="7" s="1"/>
  <c r="D33" i="7"/>
  <c r="V33" i="7" s="1"/>
  <c r="C33" i="7"/>
  <c r="W32" i="7"/>
  <c r="V32" i="7"/>
  <c r="U32" i="7"/>
  <c r="W31" i="7"/>
  <c r="V31" i="7"/>
  <c r="U31" i="7"/>
  <c r="W30" i="7"/>
  <c r="V30" i="7"/>
  <c r="U30" i="7"/>
  <c r="W29" i="7"/>
  <c r="V29" i="7"/>
  <c r="U29" i="7"/>
  <c r="W28" i="7"/>
  <c r="V28" i="7"/>
  <c r="U28" i="7"/>
  <c r="W27" i="7"/>
  <c r="V27" i="7"/>
  <c r="U27" i="7"/>
  <c r="W26" i="7"/>
  <c r="V26" i="7"/>
  <c r="U26" i="7"/>
  <c r="AY17" i="7"/>
  <c r="AX17" i="7"/>
  <c r="AQ17" i="7"/>
  <c r="AP17" i="7"/>
  <c r="BF15" i="7"/>
  <c r="AQ15" i="7"/>
  <c r="AP15" i="7"/>
  <c r="AO15" i="7"/>
  <c r="AO17" i="7" s="1"/>
  <c r="AN15" i="7"/>
  <c r="AN17" i="7" s="1"/>
  <c r="AL15" i="7"/>
  <c r="AL17" i="7" s="1"/>
  <c r="AH15" i="7"/>
  <c r="AH17" i="7" s="1"/>
  <c r="AG15" i="7"/>
  <c r="AG17" i="7" s="1"/>
  <c r="AF15" i="7"/>
  <c r="BF14" i="7"/>
  <c r="AM14" i="7"/>
  <c r="AK14" i="7"/>
  <c r="AK15" i="7" s="1"/>
  <c r="AJ14" i="7"/>
  <c r="AI14" i="7"/>
  <c r="BF13" i="7"/>
  <c r="AR13" i="7"/>
  <c r="BF12" i="7"/>
  <c r="AR12" i="7"/>
  <c r="BF11" i="7"/>
  <c r="AR11" i="7"/>
  <c r="BF10" i="7"/>
  <c r="AR10" i="7"/>
  <c r="BF9" i="7"/>
  <c r="AR9" i="7"/>
  <c r="BF8" i="7"/>
  <c r="AR8" i="7"/>
  <c r="BF7" i="7"/>
  <c r="AR7" i="7"/>
  <c r="BF6" i="7"/>
  <c r="AR6" i="7"/>
  <c r="AH5" i="7"/>
  <c r="AG5" i="7"/>
  <c r="AF5" i="7"/>
  <c r="AM4" i="7"/>
  <c r="AK4" i="7"/>
  <c r="AJ4" i="7"/>
  <c r="AI4" i="7"/>
  <c r="AR4" i="7" s="1"/>
  <c r="U17" i="7"/>
  <c r="T17" i="7"/>
  <c r="M17" i="7"/>
  <c r="L17" i="7"/>
  <c r="K17" i="7"/>
  <c r="J17" i="7"/>
  <c r="I17" i="7"/>
  <c r="H17" i="7"/>
  <c r="G17" i="7"/>
  <c r="F17" i="7"/>
  <c r="E17" i="7"/>
  <c r="D17" i="7"/>
  <c r="C17" i="7"/>
  <c r="B17" i="7"/>
  <c r="AB15" i="7"/>
  <c r="N15" i="7"/>
  <c r="AB14" i="7"/>
  <c r="N14" i="7"/>
  <c r="AA13" i="7"/>
  <c r="Z13" i="7"/>
  <c r="Y13" i="7"/>
  <c r="X13" i="7"/>
  <c r="W13" i="7"/>
  <c r="V13" i="7"/>
  <c r="N13" i="7"/>
  <c r="AB12" i="7"/>
  <c r="N12" i="7"/>
  <c r="AB11" i="7"/>
  <c r="N11" i="7"/>
  <c r="AB10" i="7"/>
  <c r="N10" i="7"/>
  <c r="AA9" i="7"/>
  <c r="Z9" i="7"/>
  <c r="Y9" i="7"/>
  <c r="X9" i="7"/>
  <c r="W9" i="7"/>
  <c r="V9" i="7"/>
  <c r="N9" i="7"/>
  <c r="X8" i="7"/>
  <c r="N8" i="7"/>
  <c r="AA7" i="7"/>
  <c r="Z7" i="7"/>
  <c r="Z17" i="7" s="1"/>
  <c r="Y7" i="7"/>
  <c r="X7" i="7"/>
  <c r="W7" i="7"/>
  <c r="V7" i="7"/>
  <c r="N7" i="7"/>
  <c r="AA6" i="7"/>
  <c r="Y6" i="7"/>
  <c r="Y17" i="7" s="1"/>
  <c r="X6" i="7"/>
  <c r="V6" i="7"/>
  <c r="AB6" i="7" s="1"/>
  <c r="N6" i="7"/>
  <c r="B5" i="7"/>
  <c r="M4" i="7"/>
  <c r="L4" i="7"/>
  <c r="K4" i="7"/>
  <c r="H4" i="7"/>
  <c r="G4" i="7"/>
  <c r="F4" i="7"/>
  <c r="E4" i="7"/>
  <c r="D4" i="7"/>
  <c r="D5" i="7" s="1"/>
  <c r="C4" i="7"/>
  <c r="C5" i="7" s="1"/>
  <c r="B4" i="7"/>
  <c r="V55" i="7" l="1"/>
  <c r="D57" i="7"/>
  <c r="V57" i="7" s="1"/>
  <c r="V59" i="7" s="1"/>
  <c r="E57" i="7"/>
  <c r="W57" i="7" s="1"/>
  <c r="V43" i="7"/>
  <c r="D45" i="7"/>
  <c r="V45" i="7" s="1"/>
  <c r="E45" i="7"/>
  <c r="W45" i="7" s="1"/>
  <c r="BF17" i="7"/>
  <c r="AF17" i="7"/>
  <c r="AM15" i="7"/>
  <c r="AR15" i="7" s="1"/>
  <c r="AK17" i="7"/>
  <c r="AR14" i="7"/>
  <c r="AR17" i="7" s="1"/>
  <c r="AI15" i="7"/>
  <c r="AI17" i="7" s="1"/>
  <c r="AJ15" i="7"/>
  <c r="AJ17" i="7" s="1"/>
  <c r="AB13" i="7"/>
  <c r="AA17" i="7"/>
  <c r="X17" i="7"/>
  <c r="AB9" i="7"/>
  <c r="V17" i="7"/>
  <c r="V4" i="7" s="1"/>
  <c r="AB7" i="7"/>
  <c r="W17" i="7"/>
  <c r="N17" i="7"/>
  <c r="W4" i="7"/>
  <c r="X4" i="7" s="1"/>
  <c r="Y4" i="7" s="1"/>
  <c r="Z4" i="7" s="1"/>
  <c r="AA4" i="7" s="1"/>
  <c r="N4" i="7"/>
  <c r="AB8" i="7"/>
  <c r="AB17" i="7" s="1"/>
  <c r="AM17" i="7" l="1"/>
  <c r="BF4" i="7"/>
  <c r="AB4" i="7"/>
  <c r="F21" i="3" l="1"/>
  <c r="F20" i="3"/>
  <c r="C21" i="3"/>
  <c r="G468" i="1"/>
  <c r="G467" i="1"/>
  <c r="W723" i="1"/>
  <c r="I723" i="1"/>
  <c r="D723" i="1"/>
  <c r="W722" i="1"/>
  <c r="I722" i="1"/>
  <c r="D20" i="3"/>
  <c r="W721" i="1" l="1"/>
  <c r="I721" i="1"/>
  <c r="D721" i="1"/>
  <c r="I716" i="1"/>
  <c r="I717" i="1"/>
  <c r="I718" i="1"/>
  <c r="I719" i="1"/>
  <c r="I720" i="1"/>
  <c r="W715" i="1"/>
  <c r="I715" i="1"/>
  <c r="D715" i="1"/>
  <c r="G584" i="1"/>
  <c r="W577" i="1"/>
  <c r="I577" i="1"/>
  <c r="D577" i="1"/>
  <c r="W583" i="1"/>
  <c r="I583" i="1"/>
  <c r="D583" i="1"/>
  <c r="G47" i="1"/>
  <c r="W47" i="1"/>
  <c r="I47" i="1"/>
  <c r="W55" i="1"/>
  <c r="I55" i="1"/>
  <c r="I711" i="1"/>
  <c r="I712" i="1"/>
  <c r="I713" i="1"/>
  <c r="I714" i="1"/>
  <c r="W710" i="1" l="1"/>
  <c r="I710" i="1"/>
  <c r="W84" i="1" l="1"/>
  <c r="I84" i="1"/>
  <c r="D84" i="1"/>
  <c r="W314" i="1" l="1"/>
  <c r="I314" i="1"/>
  <c r="W589" i="1"/>
  <c r="I589" i="1"/>
  <c r="D589" i="1"/>
  <c r="I709" i="1"/>
  <c r="I708" i="1"/>
  <c r="I707" i="1"/>
  <c r="G569" i="1"/>
  <c r="W568" i="1"/>
  <c r="I568" i="1"/>
  <c r="D568" i="1"/>
  <c r="G166" i="1"/>
  <c r="I165" i="1"/>
  <c r="Y1833" i="5" l="1"/>
  <c r="Z1833" i="5"/>
  <c r="Y1834" i="5"/>
  <c r="Z1834" i="5"/>
  <c r="Y1835" i="5"/>
  <c r="Z1835" i="5"/>
  <c r="Y1824" i="5"/>
  <c r="Z1824" i="5"/>
  <c r="Y1825" i="5"/>
  <c r="Z1825" i="5"/>
  <c r="Y1826" i="5"/>
  <c r="Z1826" i="5"/>
  <c r="Y1827" i="5"/>
  <c r="Z1827" i="5"/>
  <c r="Y1828" i="5"/>
  <c r="Z1828" i="5"/>
  <c r="Y1829" i="5"/>
  <c r="Z1829" i="5"/>
  <c r="Y1830" i="5"/>
  <c r="Z1830" i="5"/>
  <c r="Y1831" i="5"/>
  <c r="Z1831" i="5"/>
  <c r="Y1832" i="5"/>
  <c r="Z1832" i="5"/>
  <c r="Y721" i="5"/>
  <c r="Z721" i="5"/>
  <c r="Y722" i="5"/>
  <c r="Z722" i="5"/>
  <c r="Y723" i="5"/>
  <c r="Z723" i="5"/>
  <c r="Y724" i="5"/>
  <c r="Z724" i="5"/>
  <c r="Y725" i="5"/>
  <c r="Z725" i="5"/>
  <c r="Y726" i="5"/>
  <c r="Z726" i="5"/>
  <c r="Y727" i="5"/>
  <c r="Z727" i="5"/>
  <c r="Y728" i="5"/>
  <c r="Z728" i="5"/>
  <c r="Y729" i="5"/>
  <c r="Z729" i="5"/>
  <c r="Y730" i="5"/>
  <c r="Z730" i="5"/>
  <c r="Y731" i="5"/>
  <c r="Z731" i="5"/>
  <c r="Y732" i="5"/>
  <c r="Z732" i="5"/>
  <c r="Y733" i="5"/>
  <c r="Z733" i="5"/>
  <c r="Y734" i="5"/>
  <c r="Z734" i="5"/>
  <c r="Y735" i="5"/>
  <c r="Z735" i="5"/>
  <c r="Y736" i="5"/>
  <c r="Z736" i="5"/>
  <c r="Y737" i="5"/>
  <c r="Z737" i="5"/>
  <c r="Y738" i="5"/>
  <c r="Z738" i="5"/>
  <c r="Y739" i="5"/>
  <c r="Z739" i="5"/>
  <c r="Y740" i="5"/>
  <c r="Z740" i="5"/>
  <c r="Y741" i="5"/>
  <c r="Z741" i="5"/>
  <c r="Y742" i="5"/>
  <c r="Z742" i="5"/>
  <c r="Y743" i="5"/>
  <c r="Z743" i="5"/>
  <c r="Y744" i="5"/>
  <c r="Z744" i="5"/>
  <c r="Y745" i="5"/>
  <c r="Z745" i="5"/>
  <c r="Y746" i="5"/>
  <c r="Z746" i="5"/>
  <c r="Y747" i="5"/>
  <c r="Z747" i="5"/>
  <c r="Y748" i="5"/>
  <c r="Z748" i="5"/>
  <c r="Y749" i="5"/>
  <c r="Z749" i="5"/>
  <c r="Y750" i="5"/>
  <c r="Z750" i="5"/>
  <c r="Y751" i="5"/>
  <c r="Z751" i="5"/>
  <c r="Y752" i="5"/>
  <c r="Z752" i="5"/>
  <c r="Y753" i="5"/>
  <c r="Z753" i="5"/>
  <c r="Y754" i="5"/>
  <c r="Z754" i="5"/>
  <c r="Y755" i="5"/>
  <c r="Z755" i="5"/>
  <c r="Y756" i="5"/>
  <c r="Z756" i="5"/>
  <c r="Y757" i="5"/>
  <c r="Z757" i="5"/>
  <c r="Y758" i="5"/>
  <c r="Z758" i="5"/>
  <c r="Y759" i="5"/>
  <c r="Z759" i="5"/>
  <c r="Y760" i="5"/>
  <c r="Z760" i="5"/>
  <c r="Y761" i="5"/>
  <c r="Z761" i="5"/>
  <c r="Y762" i="5"/>
  <c r="Z762" i="5"/>
  <c r="Y763" i="5"/>
  <c r="Z763" i="5"/>
  <c r="Y764" i="5"/>
  <c r="Z764" i="5"/>
  <c r="Y765" i="5"/>
  <c r="Z765" i="5"/>
  <c r="Y766" i="5"/>
  <c r="Z766" i="5"/>
  <c r="Y767" i="5"/>
  <c r="Z767" i="5"/>
  <c r="Y768" i="5"/>
  <c r="Z768" i="5"/>
  <c r="Y769" i="5"/>
  <c r="Z769" i="5"/>
  <c r="Y770" i="5"/>
  <c r="Z770" i="5"/>
  <c r="Y771" i="5"/>
  <c r="Z771" i="5"/>
  <c r="Y772" i="5"/>
  <c r="Z772" i="5"/>
  <c r="Y773" i="5"/>
  <c r="Z773" i="5"/>
  <c r="Y774" i="5"/>
  <c r="Z774" i="5"/>
  <c r="Y775" i="5"/>
  <c r="Z775" i="5"/>
  <c r="Y776" i="5"/>
  <c r="Z776" i="5"/>
  <c r="Y777" i="5"/>
  <c r="Z777" i="5"/>
  <c r="Y778" i="5"/>
  <c r="Z778" i="5"/>
  <c r="Y779" i="5"/>
  <c r="Z779" i="5"/>
  <c r="Y780" i="5"/>
  <c r="Z780" i="5"/>
  <c r="Y781" i="5"/>
  <c r="Z781" i="5"/>
  <c r="Y782" i="5"/>
  <c r="Z782" i="5"/>
  <c r="Y783" i="5"/>
  <c r="Z783" i="5"/>
  <c r="Y784" i="5"/>
  <c r="Z784" i="5"/>
  <c r="Y785" i="5"/>
  <c r="Z785" i="5"/>
  <c r="Y786" i="5"/>
  <c r="Z786" i="5"/>
  <c r="Y787" i="5"/>
  <c r="Z787" i="5"/>
  <c r="Y788" i="5"/>
  <c r="Z788" i="5"/>
  <c r="Y789" i="5"/>
  <c r="Z789" i="5"/>
  <c r="Y790" i="5"/>
  <c r="Z790" i="5"/>
  <c r="Y791" i="5"/>
  <c r="Z791" i="5"/>
  <c r="Y792" i="5"/>
  <c r="Z792" i="5"/>
  <c r="Y793" i="5"/>
  <c r="Z793" i="5"/>
  <c r="Y794" i="5"/>
  <c r="Z794" i="5"/>
  <c r="Y795" i="5"/>
  <c r="Z795" i="5"/>
  <c r="Y796" i="5"/>
  <c r="Z796" i="5"/>
  <c r="Y797" i="5"/>
  <c r="Z797" i="5"/>
  <c r="Y798" i="5"/>
  <c r="Z798" i="5"/>
  <c r="Y799" i="5"/>
  <c r="Z799" i="5"/>
  <c r="Y800" i="5"/>
  <c r="Z800" i="5"/>
  <c r="Y801" i="5"/>
  <c r="Z801" i="5"/>
  <c r="Y802" i="5"/>
  <c r="Z802" i="5"/>
  <c r="Y803" i="5"/>
  <c r="Z803" i="5"/>
  <c r="Y804" i="5"/>
  <c r="Z804" i="5"/>
  <c r="Y805" i="5"/>
  <c r="Z805" i="5"/>
  <c r="Y806" i="5"/>
  <c r="Z806" i="5"/>
  <c r="Y807" i="5"/>
  <c r="Z807" i="5"/>
  <c r="Y808" i="5"/>
  <c r="Z808" i="5"/>
  <c r="Y809" i="5"/>
  <c r="Z809" i="5"/>
  <c r="Y810" i="5"/>
  <c r="Z810" i="5"/>
  <c r="Y811" i="5"/>
  <c r="Z811" i="5"/>
  <c r="Y812" i="5"/>
  <c r="Z812" i="5"/>
  <c r="Y813" i="5"/>
  <c r="Z813" i="5"/>
  <c r="Y814" i="5"/>
  <c r="Z814" i="5"/>
  <c r="Y815" i="5"/>
  <c r="Z815" i="5"/>
  <c r="Y816" i="5"/>
  <c r="Z816" i="5"/>
  <c r="Y817" i="5"/>
  <c r="Z817" i="5"/>
  <c r="Y818" i="5"/>
  <c r="Z818" i="5"/>
  <c r="Y819" i="5"/>
  <c r="Z819" i="5"/>
  <c r="Y820" i="5"/>
  <c r="Z820" i="5"/>
  <c r="Y821" i="5"/>
  <c r="Z821" i="5"/>
  <c r="Y822" i="5"/>
  <c r="Z822" i="5"/>
  <c r="Y823" i="5"/>
  <c r="Z823" i="5"/>
  <c r="Y824" i="5"/>
  <c r="Z824" i="5"/>
  <c r="Y825" i="5"/>
  <c r="Z825" i="5"/>
  <c r="Y826" i="5"/>
  <c r="Z826" i="5"/>
  <c r="Y827" i="5"/>
  <c r="Z827" i="5"/>
  <c r="Y828" i="5"/>
  <c r="Z828" i="5"/>
  <c r="Y829" i="5"/>
  <c r="Z829" i="5"/>
  <c r="Y830" i="5"/>
  <c r="Z830" i="5"/>
  <c r="Y831" i="5"/>
  <c r="Z831" i="5"/>
  <c r="Y832" i="5"/>
  <c r="Z832" i="5"/>
  <c r="Y833" i="5"/>
  <c r="Z833" i="5"/>
  <c r="Y834" i="5"/>
  <c r="Z834" i="5"/>
  <c r="Y835" i="5"/>
  <c r="Z835" i="5"/>
  <c r="Y836" i="5"/>
  <c r="Z836" i="5"/>
  <c r="Y837" i="5"/>
  <c r="Z837" i="5"/>
  <c r="Y838" i="5"/>
  <c r="Z838" i="5"/>
  <c r="Y839" i="5"/>
  <c r="Z839" i="5"/>
  <c r="Y840" i="5"/>
  <c r="Z840" i="5"/>
  <c r="Y841" i="5"/>
  <c r="Z841" i="5"/>
  <c r="Y842" i="5"/>
  <c r="Z842" i="5"/>
  <c r="Y843" i="5"/>
  <c r="Z843" i="5"/>
  <c r="Y844" i="5"/>
  <c r="Z844" i="5"/>
  <c r="Y845" i="5"/>
  <c r="Z845" i="5"/>
  <c r="Y846" i="5"/>
  <c r="Z846" i="5"/>
  <c r="Y847" i="5"/>
  <c r="Z847" i="5"/>
  <c r="Y848" i="5"/>
  <c r="Z848" i="5"/>
  <c r="Y849" i="5"/>
  <c r="Z849" i="5"/>
  <c r="Y850" i="5"/>
  <c r="Z850" i="5"/>
  <c r="Y851" i="5"/>
  <c r="Z851" i="5"/>
  <c r="Y852" i="5"/>
  <c r="Z852" i="5"/>
  <c r="Y853" i="5"/>
  <c r="Z853" i="5"/>
  <c r="Y854" i="5"/>
  <c r="Z854" i="5"/>
  <c r="Y855" i="5"/>
  <c r="Z855" i="5"/>
  <c r="Y856" i="5"/>
  <c r="Z856" i="5"/>
  <c r="Y857" i="5"/>
  <c r="Z857" i="5"/>
  <c r="Y858" i="5"/>
  <c r="Z858" i="5"/>
  <c r="Y859" i="5"/>
  <c r="Z859" i="5"/>
  <c r="Y860" i="5"/>
  <c r="Z860" i="5"/>
  <c r="Y861" i="5"/>
  <c r="Z861" i="5"/>
  <c r="Y862" i="5"/>
  <c r="Z862" i="5"/>
  <c r="Y863" i="5"/>
  <c r="Z863" i="5"/>
  <c r="Y864" i="5"/>
  <c r="Z864" i="5"/>
  <c r="Y865" i="5"/>
  <c r="Z865" i="5"/>
  <c r="Y866" i="5"/>
  <c r="Z866" i="5"/>
  <c r="Y867" i="5"/>
  <c r="Z867" i="5"/>
  <c r="Y868" i="5"/>
  <c r="Z868" i="5"/>
  <c r="Y869" i="5"/>
  <c r="Z869" i="5"/>
  <c r="Y870" i="5"/>
  <c r="Z870" i="5"/>
  <c r="Y871" i="5"/>
  <c r="Z871" i="5"/>
  <c r="Y872" i="5"/>
  <c r="Z872" i="5"/>
  <c r="Y873" i="5"/>
  <c r="Z873" i="5"/>
  <c r="Y874" i="5"/>
  <c r="Z874" i="5"/>
  <c r="Y875" i="5"/>
  <c r="Z875" i="5"/>
  <c r="Y876" i="5"/>
  <c r="Z876" i="5"/>
  <c r="Y877" i="5"/>
  <c r="Z877" i="5"/>
  <c r="Y878" i="5"/>
  <c r="Z878" i="5"/>
  <c r="Y879" i="5"/>
  <c r="Z879" i="5"/>
  <c r="Y880" i="5"/>
  <c r="Z880" i="5"/>
  <c r="Y881" i="5"/>
  <c r="Z881" i="5"/>
  <c r="Y882" i="5"/>
  <c r="Z882" i="5"/>
  <c r="Y883" i="5"/>
  <c r="Z883" i="5"/>
  <c r="Y884" i="5"/>
  <c r="Z884" i="5"/>
  <c r="Y885" i="5"/>
  <c r="Z885" i="5"/>
  <c r="Y886" i="5"/>
  <c r="Z886" i="5"/>
  <c r="Y887" i="5"/>
  <c r="Z887" i="5"/>
  <c r="Y888" i="5"/>
  <c r="Z888" i="5"/>
  <c r="Y889" i="5"/>
  <c r="Z889" i="5"/>
  <c r="Y890" i="5"/>
  <c r="Z890" i="5"/>
  <c r="Y891" i="5"/>
  <c r="Z891" i="5"/>
  <c r="Y892" i="5"/>
  <c r="Z892" i="5"/>
  <c r="Y893" i="5"/>
  <c r="Z893" i="5"/>
  <c r="Y894" i="5"/>
  <c r="Z894" i="5"/>
  <c r="Y895" i="5"/>
  <c r="Z895" i="5"/>
  <c r="Y896" i="5"/>
  <c r="Z896" i="5"/>
  <c r="Y897" i="5"/>
  <c r="Z897" i="5"/>
  <c r="Y898" i="5"/>
  <c r="Z898" i="5"/>
  <c r="Y899" i="5"/>
  <c r="Z899" i="5"/>
  <c r="Y900" i="5"/>
  <c r="Z900" i="5"/>
  <c r="Y901" i="5"/>
  <c r="Z901" i="5"/>
  <c r="Y902" i="5"/>
  <c r="Z902" i="5"/>
  <c r="Y903" i="5"/>
  <c r="Z903" i="5"/>
  <c r="Y904" i="5"/>
  <c r="Z904" i="5"/>
  <c r="Y905" i="5"/>
  <c r="Z905" i="5"/>
  <c r="Y906" i="5"/>
  <c r="Z906" i="5"/>
  <c r="Y907" i="5"/>
  <c r="Z907" i="5"/>
  <c r="Y908" i="5"/>
  <c r="Z908" i="5"/>
  <c r="Y909" i="5"/>
  <c r="Z909" i="5"/>
  <c r="Y910" i="5"/>
  <c r="Z910" i="5"/>
  <c r="Y911" i="5"/>
  <c r="Z911" i="5"/>
  <c r="Y912" i="5"/>
  <c r="Z912" i="5"/>
  <c r="Y913" i="5"/>
  <c r="Z913" i="5"/>
  <c r="Y914" i="5"/>
  <c r="Z914" i="5"/>
  <c r="Y915" i="5"/>
  <c r="Z915" i="5"/>
  <c r="Y916" i="5"/>
  <c r="Z916" i="5"/>
  <c r="Y917" i="5"/>
  <c r="Z917" i="5"/>
  <c r="Y918" i="5"/>
  <c r="Z918" i="5"/>
  <c r="Y919" i="5"/>
  <c r="Z919" i="5"/>
  <c r="Y920" i="5"/>
  <c r="Z920" i="5"/>
  <c r="Y921" i="5"/>
  <c r="Z921" i="5"/>
  <c r="Y922" i="5"/>
  <c r="Z922" i="5"/>
  <c r="Y923" i="5"/>
  <c r="Z923" i="5"/>
  <c r="Y924" i="5"/>
  <c r="Z924" i="5"/>
  <c r="Y925" i="5"/>
  <c r="Z925" i="5"/>
  <c r="Y926" i="5"/>
  <c r="Z926" i="5"/>
  <c r="Y927" i="5"/>
  <c r="Z927" i="5"/>
  <c r="Y928" i="5"/>
  <c r="Z928" i="5"/>
  <c r="Y929" i="5"/>
  <c r="Z929" i="5"/>
  <c r="Y930" i="5"/>
  <c r="Z930" i="5"/>
  <c r="Y931" i="5"/>
  <c r="Z931" i="5"/>
  <c r="Y932" i="5"/>
  <c r="Z932" i="5"/>
  <c r="Y933" i="5"/>
  <c r="Z933" i="5"/>
  <c r="Y934" i="5"/>
  <c r="Z934" i="5"/>
  <c r="Y935" i="5"/>
  <c r="Z935" i="5"/>
  <c r="Y936" i="5"/>
  <c r="Z936" i="5"/>
  <c r="Y937" i="5"/>
  <c r="Z937" i="5"/>
  <c r="Y938" i="5"/>
  <c r="Z938" i="5"/>
  <c r="Y939" i="5"/>
  <c r="Z939" i="5"/>
  <c r="Y940" i="5"/>
  <c r="Z940" i="5"/>
  <c r="Y941" i="5"/>
  <c r="Z941" i="5"/>
  <c r="Y942" i="5"/>
  <c r="Z942" i="5"/>
  <c r="Y943" i="5"/>
  <c r="Z943" i="5"/>
  <c r="Y944" i="5"/>
  <c r="Z944" i="5"/>
  <c r="Y945" i="5"/>
  <c r="Z945" i="5"/>
  <c r="Y946" i="5"/>
  <c r="Z946" i="5"/>
  <c r="Y947" i="5"/>
  <c r="Z947" i="5"/>
  <c r="Y948" i="5"/>
  <c r="Z948" i="5"/>
  <c r="Y949" i="5"/>
  <c r="Z949" i="5"/>
  <c r="Y950" i="5"/>
  <c r="Z950" i="5"/>
  <c r="Y951" i="5"/>
  <c r="Z951" i="5"/>
  <c r="Y952" i="5"/>
  <c r="Z952" i="5"/>
  <c r="Y953" i="5"/>
  <c r="Z953" i="5"/>
  <c r="Y954" i="5"/>
  <c r="Z954" i="5"/>
  <c r="Y955" i="5"/>
  <c r="Z955" i="5"/>
  <c r="Y956" i="5"/>
  <c r="Z956" i="5"/>
  <c r="Y957" i="5"/>
  <c r="Z957" i="5"/>
  <c r="Y958" i="5"/>
  <c r="Z958" i="5"/>
  <c r="Y959" i="5"/>
  <c r="Z959" i="5"/>
  <c r="Y960" i="5"/>
  <c r="Z960" i="5"/>
  <c r="Y961" i="5"/>
  <c r="Z961" i="5"/>
  <c r="Y962" i="5"/>
  <c r="Z962" i="5"/>
  <c r="Y963" i="5"/>
  <c r="Z963" i="5"/>
  <c r="Y964" i="5"/>
  <c r="Z964" i="5"/>
  <c r="Y965" i="5"/>
  <c r="Z965" i="5"/>
  <c r="Y966" i="5"/>
  <c r="Z966" i="5"/>
  <c r="Y967" i="5"/>
  <c r="Z967" i="5"/>
  <c r="Y968" i="5"/>
  <c r="Z968" i="5"/>
  <c r="Y969" i="5"/>
  <c r="Z969" i="5"/>
  <c r="Y970" i="5"/>
  <c r="Z970" i="5"/>
  <c r="Y971" i="5"/>
  <c r="Z971" i="5"/>
  <c r="Y972" i="5"/>
  <c r="Z972" i="5"/>
  <c r="Y973" i="5"/>
  <c r="Z973" i="5"/>
  <c r="Y974" i="5"/>
  <c r="Z974" i="5"/>
  <c r="Y975" i="5"/>
  <c r="Z975" i="5"/>
  <c r="Y976" i="5"/>
  <c r="Z976" i="5"/>
  <c r="Y977" i="5"/>
  <c r="Z977" i="5"/>
  <c r="Y978" i="5"/>
  <c r="Z978" i="5"/>
  <c r="Y979" i="5"/>
  <c r="Z979" i="5"/>
  <c r="Y980" i="5"/>
  <c r="Z980" i="5"/>
  <c r="Y981" i="5"/>
  <c r="Z981" i="5"/>
  <c r="Y982" i="5"/>
  <c r="Z982" i="5"/>
  <c r="Y983" i="5"/>
  <c r="Z983" i="5"/>
  <c r="Y984" i="5"/>
  <c r="Z984" i="5"/>
  <c r="Y985" i="5"/>
  <c r="Z985" i="5"/>
  <c r="Y986" i="5"/>
  <c r="Z986" i="5"/>
  <c r="Y987" i="5"/>
  <c r="Z987" i="5"/>
  <c r="Y988" i="5"/>
  <c r="Z988" i="5"/>
  <c r="Y989" i="5"/>
  <c r="Z989" i="5"/>
  <c r="Y990" i="5"/>
  <c r="Z990" i="5"/>
  <c r="Y991" i="5"/>
  <c r="Z991" i="5"/>
  <c r="Y992" i="5"/>
  <c r="Z992" i="5"/>
  <c r="Y993" i="5"/>
  <c r="Z993" i="5"/>
  <c r="Y994" i="5"/>
  <c r="Z994" i="5"/>
  <c r="Y995" i="5"/>
  <c r="Z995" i="5"/>
  <c r="Y996" i="5"/>
  <c r="Z996" i="5"/>
  <c r="Y997" i="5"/>
  <c r="Z997" i="5"/>
  <c r="Y998" i="5"/>
  <c r="Z998" i="5"/>
  <c r="Y999" i="5"/>
  <c r="Z999" i="5"/>
  <c r="Y1000" i="5"/>
  <c r="Z1000" i="5"/>
  <c r="Y1001" i="5"/>
  <c r="Z1001" i="5"/>
  <c r="Y1002" i="5"/>
  <c r="Z1002" i="5"/>
  <c r="Y1003" i="5"/>
  <c r="Z1003" i="5"/>
  <c r="Y1004" i="5"/>
  <c r="Z1004" i="5"/>
  <c r="Y1005" i="5"/>
  <c r="Z1005" i="5"/>
  <c r="Y1006" i="5"/>
  <c r="Z1006" i="5"/>
  <c r="Y1007" i="5"/>
  <c r="Z1007" i="5"/>
  <c r="Y1008" i="5"/>
  <c r="Z1008" i="5"/>
  <c r="Y1009" i="5"/>
  <c r="Z1009" i="5"/>
  <c r="Y1010" i="5"/>
  <c r="Z1010" i="5"/>
  <c r="Y1011" i="5"/>
  <c r="Z1011" i="5"/>
  <c r="Y1012" i="5"/>
  <c r="Z1012" i="5"/>
  <c r="Y1013" i="5"/>
  <c r="Z1013" i="5"/>
  <c r="Y1014" i="5"/>
  <c r="Z1014" i="5"/>
  <c r="Y1015" i="5"/>
  <c r="Z1015" i="5"/>
  <c r="Y1016" i="5"/>
  <c r="Z1016" i="5"/>
  <c r="Y1017" i="5"/>
  <c r="Z1017" i="5"/>
  <c r="Y1018" i="5"/>
  <c r="Z1018" i="5"/>
  <c r="Y1019" i="5"/>
  <c r="Z1019" i="5"/>
  <c r="Y1020" i="5"/>
  <c r="Z1020" i="5"/>
  <c r="Y1021" i="5"/>
  <c r="Z1021" i="5"/>
  <c r="Y1022" i="5"/>
  <c r="Z1022" i="5"/>
  <c r="Y1023" i="5"/>
  <c r="Z1023" i="5"/>
  <c r="Y1024" i="5"/>
  <c r="Z1024" i="5"/>
  <c r="Y1025" i="5"/>
  <c r="Z1025" i="5"/>
  <c r="Y1026" i="5"/>
  <c r="Z1026" i="5"/>
  <c r="Y1027" i="5"/>
  <c r="Z1027" i="5"/>
  <c r="Y1028" i="5"/>
  <c r="Z1028" i="5"/>
  <c r="Y1029" i="5"/>
  <c r="Z1029" i="5"/>
  <c r="Y1030" i="5"/>
  <c r="Z1030" i="5"/>
  <c r="Y1031" i="5"/>
  <c r="Z1031" i="5"/>
  <c r="Y1032" i="5"/>
  <c r="Z1032" i="5"/>
  <c r="Y1033" i="5"/>
  <c r="Z1033" i="5"/>
  <c r="Y1034" i="5"/>
  <c r="Z1034" i="5"/>
  <c r="Y1035" i="5"/>
  <c r="Z1035" i="5"/>
  <c r="Y1036" i="5"/>
  <c r="Z1036" i="5"/>
  <c r="Y1037" i="5"/>
  <c r="Z1037" i="5"/>
  <c r="Y1038" i="5"/>
  <c r="Z1038" i="5"/>
  <c r="Y1039" i="5"/>
  <c r="Z1039" i="5"/>
  <c r="Y1040" i="5"/>
  <c r="Z1040" i="5"/>
  <c r="Y1041" i="5"/>
  <c r="Z1041" i="5"/>
  <c r="Y1042" i="5"/>
  <c r="Z1042" i="5"/>
  <c r="Y1043" i="5"/>
  <c r="Z1043" i="5"/>
  <c r="Y1044" i="5"/>
  <c r="Z1044" i="5"/>
  <c r="Y1045" i="5"/>
  <c r="Z1045" i="5"/>
  <c r="Y1046" i="5"/>
  <c r="Z1046" i="5"/>
  <c r="Y1047" i="5"/>
  <c r="Z1047" i="5"/>
  <c r="Y1048" i="5"/>
  <c r="Z1048" i="5"/>
  <c r="Y1049" i="5"/>
  <c r="Z1049" i="5"/>
  <c r="Y1050" i="5"/>
  <c r="Z1050" i="5"/>
  <c r="Y1051" i="5"/>
  <c r="Z1051" i="5"/>
  <c r="Y1052" i="5"/>
  <c r="Z1052" i="5"/>
  <c r="Y1053" i="5"/>
  <c r="Z1053" i="5"/>
  <c r="Y1054" i="5"/>
  <c r="Z1054" i="5"/>
  <c r="Y1055" i="5"/>
  <c r="Z1055" i="5"/>
  <c r="Y1056" i="5"/>
  <c r="Z1056" i="5"/>
  <c r="Y1057" i="5"/>
  <c r="Z1057" i="5"/>
  <c r="Y1058" i="5"/>
  <c r="Z1058" i="5"/>
  <c r="Y1059" i="5"/>
  <c r="Z1059" i="5"/>
  <c r="Y1060" i="5"/>
  <c r="Z1060" i="5"/>
  <c r="Y1061" i="5"/>
  <c r="Z1061" i="5"/>
  <c r="Y1062" i="5"/>
  <c r="Z1062" i="5"/>
  <c r="Y1063" i="5"/>
  <c r="Z1063" i="5"/>
  <c r="Y1064" i="5"/>
  <c r="Z1064" i="5"/>
  <c r="Y1065" i="5"/>
  <c r="Z1065" i="5"/>
  <c r="Y1066" i="5"/>
  <c r="Z1066" i="5"/>
  <c r="Y1067" i="5"/>
  <c r="Z1067" i="5"/>
  <c r="Y1068" i="5"/>
  <c r="Z1068" i="5"/>
  <c r="Y1069" i="5"/>
  <c r="Z1069" i="5"/>
  <c r="Y1070" i="5"/>
  <c r="Z1070" i="5"/>
  <c r="Y1071" i="5"/>
  <c r="Z1071" i="5"/>
  <c r="Y1072" i="5"/>
  <c r="Z1072" i="5"/>
  <c r="Y1073" i="5"/>
  <c r="Z1073" i="5"/>
  <c r="Y1074" i="5"/>
  <c r="Z1074" i="5"/>
  <c r="Y1075" i="5"/>
  <c r="Z1075" i="5"/>
  <c r="Y1076" i="5"/>
  <c r="Z1076" i="5"/>
  <c r="Y1077" i="5"/>
  <c r="Z1077" i="5"/>
  <c r="Y1078" i="5"/>
  <c r="Z1078" i="5"/>
  <c r="Y1079" i="5"/>
  <c r="Z1079" i="5"/>
  <c r="Y1080" i="5"/>
  <c r="Z1080" i="5"/>
  <c r="Y1081" i="5"/>
  <c r="Z1081" i="5"/>
  <c r="Y1082" i="5"/>
  <c r="Z1082" i="5"/>
  <c r="Y1083" i="5"/>
  <c r="Z1083" i="5"/>
  <c r="Y1084" i="5"/>
  <c r="Z1084" i="5"/>
  <c r="Y1085" i="5"/>
  <c r="Z1085" i="5"/>
  <c r="Y1086" i="5"/>
  <c r="Z1086" i="5"/>
  <c r="Y1087" i="5"/>
  <c r="Z1087" i="5"/>
  <c r="Y1088" i="5"/>
  <c r="Z1088" i="5"/>
  <c r="Y1089" i="5"/>
  <c r="Z1089" i="5"/>
  <c r="Y1090" i="5"/>
  <c r="Z1090" i="5"/>
  <c r="Y1091" i="5"/>
  <c r="Z1091" i="5"/>
  <c r="Y1092" i="5"/>
  <c r="Z1092" i="5"/>
  <c r="Y1093" i="5"/>
  <c r="Z1093" i="5"/>
  <c r="Y1094" i="5"/>
  <c r="Z1094" i="5"/>
  <c r="Y1095" i="5"/>
  <c r="Z1095" i="5"/>
  <c r="Y1096" i="5"/>
  <c r="Z1096" i="5"/>
  <c r="Y1097" i="5"/>
  <c r="Z1097" i="5"/>
  <c r="Y1098" i="5"/>
  <c r="Z1098" i="5"/>
  <c r="Y1099" i="5"/>
  <c r="Z1099" i="5"/>
  <c r="Y1100" i="5"/>
  <c r="Z1100" i="5"/>
  <c r="Y1101" i="5"/>
  <c r="Z1101" i="5"/>
  <c r="Y1102" i="5"/>
  <c r="Z1102" i="5"/>
  <c r="Y1103" i="5"/>
  <c r="Z1103" i="5"/>
  <c r="Y1104" i="5"/>
  <c r="Z1104" i="5"/>
  <c r="Y1105" i="5"/>
  <c r="Z1105" i="5"/>
  <c r="Y1106" i="5"/>
  <c r="Z1106" i="5"/>
  <c r="Y1107" i="5"/>
  <c r="Z1107" i="5"/>
  <c r="Y1108" i="5"/>
  <c r="Z1108" i="5"/>
  <c r="Y1109" i="5"/>
  <c r="Z1109" i="5"/>
  <c r="Y1110" i="5"/>
  <c r="Z1110" i="5"/>
  <c r="Y1111" i="5"/>
  <c r="Z1111" i="5"/>
  <c r="Y1112" i="5"/>
  <c r="Z1112" i="5"/>
  <c r="Y1113" i="5"/>
  <c r="Z1113" i="5"/>
  <c r="Y1114" i="5"/>
  <c r="Z1114" i="5"/>
  <c r="Y1115" i="5"/>
  <c r="Z1115" i="5"/>
  <c r="Y1116" i="5"/>
  <c r="Z1116" i="5"/>
  <c r="Y1117" i="5"/>
  <c r="Z1117" i="5"/>
  <c r="Y1118" i="5"/>
  <c r="Z1118" i="5"/>
  <c r="Y1119" i="5"/>
  <c r="Z1119" i="5"/>
  <c r="Y1120" i="5"/>
  <c r="Z1120" i="5"/>
  <c r="Y1121" i="5"/>
  <c r="Z1121" i="5"/>
  <c r="Y1122" i="5"/>
  <c r="Z1122" i="5"/>
  <c r="Y1123" i="5"/>
  <c r="Z1123" i="5"/>
  <c r="Y1124" i="5"/>
  <c r="Z1124" i="5"/>
  <c r="Y1125" i="5"/>
  <c r="Z1125" i="5"/>
  <c r="Y1126" i="5"/>
  <c r="Z1126" i="5"/>
  <c r="Y1127" i="5"/>
  <c r="Z1127" i="5"/>
  <c r="Y1128" i="5"/>
  <c r="Z1128" i="5"/>
  <c r="Y1129" i="5"/>
  <c r="Z1129" i="5"/>
  <c r="Y1130" i="5"/>
  <c r="Z1130" i="5"/>
  <c r="Y1131" i="5"/>
  <c r="Z1131" i="5"/>
  <c r="Y1132" i="5"/>
  <c r="Z1132" i="5"/>
  <c r="Y1133" i="5"/>
  <c r="Z1133" i="5"/>
  <c r="Y1134" i="5"/>
  <c r="Z1134" i="5"/>
  <c r="Y1135" i="5"/>
  <c r="Z1135" i="5"/>
  <c r="Y1136" i="5"/>
  <c r="Z1136" i="5"/>
  <c r="Y1137" i="5"/>
  <c r="Z1137" i="5"/>
  <c r="Y1138" i="5"/>
  <c r="Z1138" i="5"/>
  <c r="Y1139" i="5"/>
  <c r="Z1139" i="5"/>
  <c r="Y1140" i="5"/>
  <c r="Z1140" i="5"/>
  <c r="Y1141" i="5"/>
  <c r="Z1141" i="5"/>
  <c r="Y1142" i="5"/>
  <c r="Z1142" i="5"/>
  <c r="Y1143" i="5"/>
  <c r="Z1143" i="5"/>
  <c r="Y1144" i="5"/>
  <c r="Z1144" i="5"/>
  <c r="Y1145" i="5"/>
  <c r="Z1145" i="5"/>
  <c r="Y1146" i="5"/>
  <c r="Z1146" i="5"/>
  <c r="Y1147" i="5"/>
  <c r="Z1147" i="5"/>
  <c r="Y1148" i="5"/>
  <c r="Z1148" i="5"/>
  <c r="Y1149" i="5"/>
  <c r="Z1149" i="5"/>
  <c r="Y1150" i="5"/>
  <c r="Z1150" i="5"/>
  <c r="Y1151" i="5"/>
  <c r="Z1151" i="5"/>
  <c r="Y1152" i="5"/>
  <c r="Z1152" i="5"/>
  <c r="Y1153" i="5"/>
  <c r="Z1153" i="5"/>
  <c r="Y1154" i="5"/>
  <c r="Z1154" i="5"/>
  <c r="Y1155" i="5"/>
  <c r="Z1155" i="5"/>
  <c r="Y1156" i="5"/>
  <c r="Z1156" i="5"/>
  <c r="Y1157" i="5"/>
  <c r="Z1157" i="5"/>
  <c r="Y1158" i="5"/>
  <c r="Z1158" i="5"/>
  <c r="Y1159" i="5"/>
  <c r="Z1159" i="5"/>
  <c r="Y1160" i="5"/>
  <c r="Z1160" i="5"/>
  <c r="Y1161" i="5"/>
  <c r="Z1161" i="5"/>
  <c r="Y1162" i="5"/>
  <c r="Z1162" i="5"/>
  <c r="Y1163" i="5"/>
  <c r="Z1163" i="5"/>
  <c r="Y1164" i="5"/>
  <c r="Z1164" i="5"/>
  <c r="Y1165" i="5"/>
  <c r="Z1165" i="5"/>
  <c r="Y1166" i="5"/>
  <c r="Z1166" i="5"/>
  <c r="Y1167" i="5"/>
  <c r="Z1167" i="5"/>
  <c r="Y1168" i="5"/>
  <c r="Z1168" i="5"/>
  <c r="Y1169" i="5"/>
  <c r="Z1169" i="5"/>
  <c r="Y1170" i="5"/>
  <c r="Z1170" i="5"/>
  <c r="Y1171" i="5"/>
  <c r="Z1171" i="5"/>
  <c r="Y1172" i="5"/>
  <c r="Z1172" i="5"/>
  <c r="Y1173" i="5"/>
  <c r="Z1173" i="5"/>
  <c r="Y1174" i="5"/>
  <c r="Z1174" i="5"/>
  <c r="Y1175" i="5"/>
  <c r="Z1175" i="5"/>
  <c r="Y1176" i="5"/>
  <c r="Z1176" i="5"/>
  <c r="Y1177" i="5"/>
  <c r="Z1177" i="5"/>
  <c r="Y1178" i="5"/>
  <c r="Z1178" i="5"/>
  <c r="Y1179" i="5"/>
  <c r="Z1179" i="5"/>
  <c r="Y1180" i="5"/>
  <c r="Z1180" i="5"/>
  <c r="Y1181" i="5"/>
  <c r="Z1181" i="5"/>
  <c r="Y1182" i="5"/>
  <c r="Z1182" i="5"/>
  <c r="Y1183" i="5"/>
  <c r="Z1183" i="5"/>
  <c r="Y1184" i="5"/>
  <c r="Z1184" i="5"/>
  <c r="Y1185" i="5"/>
  <c r="Z1185" i="5"/>
  <c r="Y1186" i="5"/>
  <c r="Z1186" i="5"/>
  <c r="Y1187" i="5"/>
  <c r="Z1187" i="5"/>
  <c r="Y1188" i="5"/>
  <c r="Z1188" i="5"/>
  <c r="Y1189" i="5"/>
  <c r="Z1189" i="5"/>
  <c r="Y1190" i="5"/>
  <c r="Z1190" i="5"/>
  <c r="Y1191" i="5"/>
  <c r="Z1191" i="5"/>
  <c r="Y1192" i="5"/>
  <c r="Z1192" i="5"/>
  <c r="Y1193" i="5"/>
  <c r="Z1193" i="5"/>
  <c r="Y1194" i="5"/>
  <c r="Z1194" i="5"/>
  <c r="Y1195" i="5"/>
  <c r="Z1195" i="5"/>
  <c r="Y1196" i="5"/>
  <c r="Z1196" i="5"/>
  <c r="Y1197" i="5"/>
  <c r="Z1197" i="5"/>
  <c r="Y1198" i="5"/>
  <c r="Z1198" i="5"/>
  <c r="Y1199" i="5"/>
  <c r="Z1199" i="5"/>
  <c r="Y1200" i="5"/>
  <c r="Z1200" i="5"/>
  <c r="Y1201" i="5"/>
  <c r="Z1201" i="5"/>
  <c r="Y1202" i="5"/>
  <c r="Z1202" i="5"/>
  <c r="Y1203" i="5"/>
  <c r="Z1203" i="5"/>
  <c r="Y1204" i="5"/>
  <c r="Z1204" i="5"/>
  <c r="Y1205" i="5"/>
  <c r="Z1205" i="5"/>
  <c r="Y1206" i="5"/>
  <c r="Z1206" i="5"/>
  <c r="Y1207" i="5"/>
  <c r="Z1207" i="5"/>
  <c r="Y1208" i="5"/>
  <c r="Z1208" i="5"/>
  <c r="Y1209" i="5"/>
  <c r="Z1209" i="5"/>
  <c r="Y1210" i="5"/>
  <c r="Z1210" i="5"/>
  <c r="Y1211" i="5"/>
  <c r="Z1211" i="5"/>
  <c r="Y1212" i="5"/>
  <c r="Z1212" i="5"/>
  <c r="Y1213" i="5"/>
  <c r="Z1213" i="5"/>
  <c r="Y1214" i="5"/>
  <c r="Z1214" i="5"/>
  <c r="Y1215" i="5"/>
  <c r="Z1215" i="5"/>
  <c r="Y1216" i="5"/>
  <c r="Z1216" i="5"/>
  <c r="Y1217" i="5"/>
  <c r="Z1217" i="5"/>
  <c r="Y1218" i="5"/>
  <c r="Z1218" i="5"/>
  <c r="Y1219" i="5"/>
  <c r="Z1219" i="5"/>
  <c r="Y1220" i="5"/>
  <c r="Z1220" i="5"/>
  <c r="Y1221" i="5"/>
  <c r="Z1221" i="5"/>
  <c r="Y1222" i="5"/>
  <c r="Z1222" i="5"/>
  <c r="Y1223" i="5"/>
  <c r="Z1223" i="5"/>
  <c r="Y1224" i="5"/>
  <c r="Z1224" i="5"/>
  <c r="Y1225" i="5"/>
  <c r="Z1225" i="5"/>
  <c r="Y1226" i="5"/>
  <c r="Z1226" i="5"/>
  <c r="Y1227" i="5"/>
  <c r="Z1227" i="5"/>
  <c r="Y1228" i="5"/>
  <c r="Z1228" i="5"/>
  <c r="Y1229" i="5"/>
  <c r="Z1229" i="5"/>
  <c r="Y1230" i="5"/>
  <c r="Z1230" i="5"/>
  <c r="Y1231" i="5"/>
  <c r="Z1231" i="5"/>
  <c r="Y1232" i="5"/>
  <c r="Z1232" i="5"/>
  <c r="Y1233" i="5"/>
  <c r="Z1233" i="5"/>
  <c r="Y1234" i="5"/>
  <c r="Z1234" i="5"/>
  <c r="Y1235" i="5"/>
  <c r="Z1235" i="5"/>
  <c r="Y1236" i="5"/>
  <c r="Z1236" i="5"/>
  <c r="Y1237" i="5"/>
  <c r="Z1237" i="5"/>
  <c r="Y1238" i="5"/>
  <c r="Z1238" i="5"/>
  <c r="Y1239" i="5"/>
  <c r="Z1239" i="5"/>
  <c r="Y1240" i="5"/>
  <c r="Z1240" i="5"/>
  <c r="Y1241" i="5"/>
  <c r="Z1241" i="5"/>
  <c r="Y1242" i="5"/>
  <c r="Z1242" i="5"/>
  <c r="Y1243" i="5"/>
  <c r="Z1243" i="5"/>
  <c r="Y1244" i="5"/>
  <c r="Z1244" i="5"/>
  <c r="Y1245" i="5"/>
  <c r="Z1245" i="5"/>
  <c r="Y1246" i="5"/>
  <c r="Z1246" i="5"/>
  <c r="Y1247" i="5"/>
  <c r="Z1247" i="5"/>
  <c r="Y1248" i="5"/>
  <c r="Z1248" i="5"/>
  <c r="Y1249" i="5"/>
  <c r="Z1249" i="5"/>
  <c r="Y1250" i="5"/>
  <c r="Z1250" i="5"/>
  <c r="Y1251" i="5"/>
  <c r="Z1251" i="5"/>
  <c r="Y1252" i="5"/>
  <c r="Z1252" i="5"/>
  <c r="Y1253" i="5"/>
  <c r="Z1253" i="5"/>
  <c r="Y1254" i="5"/>
  <c r="Z1254" i="5"/>
  <c r="Y1255" i="5"/>
  <c r="Z1255" i="5"/>
  <c r="Y1256" i="5"/>
  <c r="Z1256" i="5"/>
  <c r="Y1257" i="5"/>
  <c r="Z1257" i="5"/>
  <c r="Y1258" i="5"/>
  <c r="Z1258" i="5"/>
  <c r="Y1259" i="5"/>
  <c r="Z1259" i="5"/>
  <c r="Y1260" i="5"/>
  <c r="Z1260" i="5"/>
  <c r="Y1261" i="5"/>
  <c r="Z1261" i="5"/>
  <c r="Y1262" i="5"/>
  <c r="Z1262" i="5"/>
  <c r="Y1263" i="5"/>
  <c r="Z1263" i="5"/>
  <c r="Y1264" i="5"/>
  <c r="Z1264" i="5"/>
  <c r="Y1265" i="5"/>
  <c r="Z1265" i="5"/>
  <c r="Y1266" i="5"/>
  <c r="Z1266" i="5"/>
  <c r="Y1267" i="5"/>
  <c r="Z1267" i="5"/>
  <c r="Y1268" i="5"/>
  <c r="Z1268" i="5"/>
  <c r="Y1269" i="5"/>
  <c r="Z1269" i="5"/>
  <c r="Y1270" i="5"/>
  <c r="Z1270" i="5"/>
  <c r="Y1271" i="5"/>
  <c r="Z1271" i="5"/>
  <c r="Y1272" i="5"/>
  <c r="Z1272" i="5"/>
  <c r="Y1273" i="5"/>
  <c r="Z1273" i="5"/>
  <c r="Y1274" i="5"/>
  <c r="Z1274" i="5"/>
  <c r="Y1275" i="5"/>
  <c r="Z1275" i="5"/>
  <c r="Y1276" i="5"/>
  <c r="Z1276" i="5"/>
  <c r="Y1277" i="5"/>
  <c r="Z1277" i="5"/>
  <c r="Y1278" i="5"/>
  <c r="Z1278" i="5"/>
  <c r="Y1279" i="5"/>
  <c r="Z1279" i="5"/>
  <c r="Y1280" i="5"/>
  <c r="Z1280" i="5"/>
  <c r="Y1281" i="5"/>
  <c r="Z1281" i="5"/>
  <c r="Y1282" i="5"/>
  <c r="Z1282" i="5"/>
  <c r="Y1283" i="5"/>
  <c r="Z1283" i="5"/>
  <c r="Y1284" i="5"/>
  <c r="Z1284" i="5"/>
  <c r="Y1285" i="5"/>
  <c r="Z1285" i="5"/>
  <c r="Y1286" i="5"/>
  <c r="Z1286" i="5"/>
  <c r="Y1287" i="5"/>
  <c r="Z1287" i="5"/>
  <c r="Y1288" i="5"/>
  <c r="Z1288" i="5"/>
  <c r="Y1289" i="5"/>
  <c r="Z1289" i="5"/>
  <c r="Y1290" i="5"/>
  <c r="Z1290" i="5"/>
  <c r="Y1291" i="5"/>
  <c r="Z1291" i="5"/>
  <c r="Y1292" i="5"/>
  <c r="Z1292" i="5"/>
  <c r="Y1293" i="5"/>
  <c r="Z1293" i="5"/>
  <c r="Y1294" i="5"/>
  <c r="Z1294" i="5"/>
  <c r="Y1295" i="5"/>
  <c r="Z1295" i="5"/>
  <c r="Y1296" i="5"/>
  <c r="Z1296" i="5"/>
  <c r="Y1297" i="5"/>
  <c r="Z1297" i="5"/>
  <c r="Y1298" i="5"/>
  <c r="Z1298" i="5"/>
  <c r="Y1299" i="5"/>
  <c r="Z1299" i="5"/>
  <c r="Y1300" i="5"/>
  <c r="Z1300" i="5"/>
  <c r="Y1301" i="5"/>
  <c r="Z1301" i="5"/>
  <c r="Y1302" i="5"/>
  <c r="Z1302" i="5"/>
  <c r="Y1303" i="5"/>
  <c r="Z1303" i="5"/>
  <c r="Y1304" i="5"/>
  <c r="Z1304" i="5"/>
  <c r="Y1305" i="5"/>
  <c r="Z1305" i="5"/>
  <c r="Y1306" i="5"/>
  <c r="Z1306" i="5"/>
  <c r="Y1307" i="5"/>
  <c r="Z1307" i="5"/>
  <c r="Y1308" i="5"/>
  <c r="Z1308" i="5"/>
  <c r="Y1309" i="5"/>
  <c r="Z1309" i="5"/>
  <c r="Y1310" i="5"/>
  <c r="Z1310" i="5"/>
  <c r="Y1311" i="5"/>
  <c r="Z1311" i="5"/>
  <c r="Y1312" i="5"/>
  <c r="Z1312" i="5"/>
  <c r="Y1313" i="5"/>
  <c r="Z1313" i="5"/>
  <c r="Y1314" i="5"/>
  <c r="Z1314" i="5"/>
  <c r="Y1315" i="5"/>
  <c r="Z1315" i="5"/>
  <c r="Y1316" i="5"/>
  <c r="Z1316" i="5"/>
  <c r="Y1317" i="5"/>
  <c r="Z1317" i="5"/>
  <c r="Y1318" i="5"/>
  <c r="Z1318" i="5"/>
  <c r="Y1319" i="5"/>
  <c r="Z1319" i="5"/>
  <c r="Y1320" i="5"/>
  <c r="Z1320" i="5"/>
  <c r="Y1321" i="5"/>
  <c r="Z1321" i="5"/>
  <c r="Y1322" i="5"/>
  <c r="Z1322" i="5"/>
  <c r="Y1323" i="5"/>
  <c r="Z1323" i="5"/>
  <c r="Y1324" i="5"/>
  <c r="Z1324" i="5"/>
  <c r="Y1325" i="5"/>
  <c r="Z1325" i="5"/>
  <c r="Y1326" i="5"/>
  <c r="Z1326" i="5"/>
  <c r="Y1327" i="5"/>
  <c r="Z1327" i="5"/>
  <c r="Y1328" i="5"/>
  <c r="Z1328" i="5"/>
  <c r="Y1329" i="5"/>
  <c r="Z1329" i="5"/>
  <c r="Y1330" i="5"/>
  <c r="Z1330" i="5"/>
  <c r="Y1331" i="5"/>
  <c r="Z1331" i="5"/>
  <c r="Y1332" i="5"/>
  <c r="Z1332" i="5"/>
  <c r="Y1333" i="5"/>
  <c r="Z1333" i="5"/>
  <c r="Y1334" i="5"/>
  <c r="Z1334" i="5"/>
  <c r="Y1335" i="5"/>
  <c r="Z1335" i="5"/>
  <c r="Y1336" i="5"/>
  <c r="Z1336" i="5"/>
  <c r="Y1337" i="5"/>
  <c r="Z1337" i="5"/>
  <c r="Y1338" i="5"/>
  <c r="Z1338" i="5"/>
  <c r="Y1339" i="5"/>
  <c r="Z1339" i="5"/>
  <c r="Y1340" i="5"/>
  <c r="Z1340" i="5"/>
  <c r="Y1341" i="5"/>
  <c r="Z1341" i="5"/>
  <c r="Y1342" i="5"/>
  <c r="Z1342" i="5"/>
  <c r="Y1343" i="5"/>
  <c r="Z1343" i="5"/>
  <c r="Y1344" i="5"/>
  <c r="Z1344" i="5"/>
  <c r="Y1345" i="5"/>
  <c r="Z1345" i="5"/>
  <c r="Y1346" i="5"/>
  <c r="Z1346" i="5"/>
  <c r="Y1347" i="5"/>
  <c r="Z1347" i="5"/>
  <c r="Y1348" i="5"/>
  <c r="Z1348" i="5"/>
  <c r="Y1349" i="5"/>
  <c r="Z1349" i="5"/>
  <c r="Y1350" i="5"/>
  <c r="Z1350" i="5"/>
  <c r="Y1351" i="5"/>
  <c r="Z1351" i="5"/>
  <c r="Y1352" i="5"/>
  <c r="Z1352" i="5"/>
  <c r="Y1353" i="5"/>
  <c r="Z1353" i="5"/>
  <c r="Y1354" i="5"/>
  <c r="Z1354" i="5"/>
  <c r="Y1355" i="5"/>
  <c r="Z1355" i="5"/>
  <c r="Y1356" i="5"/>
  <c r="Z1356" i="5"/>
  <c r="Y1357" i="5"/>
  <c r="Z1357" i="5"/>
  <c r="Y1358" i="5"/>
  <c r="Z1358" i="5"/>
  <c r="Y1359" i="5"/>
  <c r="Z1359" i="5"/>
  <c r="Y1360" i="5"/>
  <c r="Z1360" i="5"/>
  <c r="Y1361" i="5"/>
  <c r="Z1361" i="5"/>
  <c r="Y1362" i="5"/>
  <c r="Z1362" i="5"/>
  <c r="Y1363" i="5"/>
  <c r="Z1363" i="5"/>
  <c r="Y1364" i="5"/>
  <c r="Z1364" i="5"/>
  <c r="Y1365" i="5"/>
  <c r="Z1365" i="5"/>
  <c r="Y1366" i="5"/>
  <c r="Z1366" i="5"/>
  <c r="Y1367" i="5"/>
  <c r="Z1367" i="5"/>
  <c r="Y1368" i="5"/>
  <c r="Z1368" i="5"/>
  <c r="Y1369" i="5"/>
  <c r="Z1369" i="5"/>
  <c r="Y1370" i="5"/>
  <c r="Z1370" i="5"/>
  <c r="Y1371" i="5"/>
  <c r="Z1371" i="5"/>
  <c r="Y1372" i="5"/>
  <c r="Z1372" i="5"/>
  <c r="Y1373" i="5"/>
  <c r="Z1373" i="5"/>
  <c r="Y1374" i="5"/>
  <c r="Z1374" i="5"/>
  <c r="Y1375" i="5"/>
  <c r="Z1375" i="5"/>
  <c r="Y1376" i="5"/>
  <c r="Z1376" i="5"/>
  <c r="Y1377" i="5"/>
  <c r="Z1377" i="5"/>
  <c r="Y1378" i="5"/>
  <c r="Z1378" i="5"/>
  <c r="Y1379" i="5"/>
  <c r="Z1379" i="5"/>
  <c r="Y1380" i="5"/>
  <c r="Z1380" i="5"/>
  <c r="Y1381" i="5"/>
  <c r="Z1381" i="5"/>
  <c r="Y1382" i="5"/>
  <c r="Z1382" i="5"/>
  <c r="Y1383" i="5"/>
  <c r="Z1383" i="5"/>
  <c r="Y1384" i="5"/>
  <c r="Z1384" i="5"/>
  <c r="Y1385" i="5"/>
  <c r="Z1385" i="5"/>
  <c r="Y1386" i="5"/>
  <c r="Z1386" i="5"/>
  <c r="Y1387" i="5"/>
  <c r="Z1387" i="5"/>
  <c r="Y1388" i="5"/>
  <c r="Z1388" i="5"/>
  <c r="Y1389" i="5"/>
  <c r="Z1389" i="5"/>
  <c r="Y1390" i="5"/>
  <c r="Z1390" i="5"/>
  <c r="Y1391" i="5"/>
  <c r="Z1391" i="5"/>
  <c r="Y1392" i="5"/>
  <c r="Z1392" i="5"/>
  <c r="Y1393" i="5"/>
  <c r="Z1393" i="5"/>
  <c r="Y1394" i="5"/>
  <c r="Z1394" i="5"/>
  <c r="Y1395" i="5"/>
  <c r="Z1395" i="5"/>
  <c r="Y1396" i="5"/>
  <c r="Z1396" i="5"/>
  <c r="Y1397" i="5"/>
  <c r="Z1397" i="5"/>
  <c r="Y1398" i="5"/>
  <c r="Z1398" i="5"/>
  <c r="Y1399" i="5"/>
  <c r="Z1399" i="5"/>
  <c r="Y1400" i="5"/>
  <c r="Z1400" i="5"/>
  <c r="Y1401" i="5"/>
  <c r="Z1401" i="5"/>
  <c r="Y1402" i="5"/>
  <c r="Z1402" i="5"/>
  <c r="Y1403" i="5"/>
  <c r="Z1403" i="5"/>
  <c r="Y1404" i="5"/>
  <c r="Z1404" i="5"/>
  <c r="Y1405" i="5"/>
  <c r="Z1405" i="5"/>
  <c r="Y1406" i="5"/>
  <c r="Z1406" i="5"/>
  <c r="Y1407" i="5"/>
  <c r="Z1407" i="5"/>
  <c r="Y1408" i="5"/>
  <c r="Z1408" i="5"/>
  <c r="Y1409" i="5"/>
  <c r="Z1409" i="5"/>
  <c r="Y1410" i="5"/>
  <c r="Z1410" i="5"/>
  <c r="Y1411" i="5"/>
  <c r="Z1411" i="5"/>
  <c r="Y1412" i="5"/>
  <c r="Z1412" i="5"/>
  <c r="Y1413" i="5"/>
  <c r="Z1413" i="5"/>
  <c r="Y1414" i="5"/>
  <c r="Z1414" i="5"/>
  <c r="Y1415" i="5"/>
  <c r="Z1415" i="5"/>
  <c r="Y1416" i="5"/>
  <c r="Z1416" i="5"/>
  <c r="Y1417" i="5"/>
  <c r="Z1417" i="5"/>
  <c r="Y1418" i="5"/>
  <c r="Z1418" i="5"/>
  <c r="Y1419" i="5"/>
  <c r="Z1419" i="5"/>
  <c r="Y1420" i="5"/>
  <c r="Z1420" i="5"/>
  <c r="Y1421" i="5"/>
  <c r="Z1421" i="5"/>
  <c r="Y1422" i="5"/>
  <c r="Z1422" i="5"/>
  <c r="Y1423" i="5"/>
  <c r="Z1423" i="5"/>
  <c r="Y1424" i="5"/>
  <c r="Z1424" i="5"/>
  <c r="Y1425" i="5"/>
  <c r="Z1425" i="5"/>
  <c r="Y1426" i="5"/>
  <c r="Z1426" i="5"/>
  <c r="Y1427" i="5"/>
  <c r="Z1427" i="5"/>
  <c r="Y1428" i="5"/>
  <c r="Z1428" i="5"/>
  <c r="Y1429" i="5"/>
  <c r="Z1429" i="5"/>
  <c r="Y1430" i="5"/>
  <c r="Z1430" i="5"/>
  <c r="Y1431" i="5"/>
  <c r="Z1431" i="5"/>
  <c r="Y1432" i="5"/>
  <c r="Z1432" i="5"/>
  <c r="Y1433" i="5"/>
  <c r="Z1433" i="5"/>
  <c r="Y1434" i="5"/>
  <c r="Z1434" i="5"/>
  <c r="Y1435" i="5"/>
  <c r="Z1435" i="5"/>
  <c r="Y1436" i="5"/>
  <c r="Z1436" i="5"/>
  <c r="Y1437" i="5"/>
  <c r="Z1437" i="5"/>
  <c r="Y1438" i="5"/>
  <c r="Z1438" i="5"/>
  <c r="Y1439" i="5"/>
  <c r="Z1439" i="5"/>
  <c r="Y1440" i="5"/>
  <c r="Z1440" i="5"/>
  <c r="Y1441" i="5"/>
  <c r="Z1441" i="5"/>
  <c r="Y1442" i="5"/>
  <c r="Z1442" i="5"/>
  <c r="Y1443" i="5"/>
  <c r="Z1443" i="5"/>
  <c r="Y1444" i="5"/>
  <c r="Z1444" i="5"/>
  <c r="Y1445" i="5"/>
  <c r="Z1445" i="5"/>
  <c r="Y1446" i="5"/>
  <c r="Z1446" i="5"/>
  <c r="Y1447" i="5"/>
  <c r="Z1447" i="5"/>
  <c r="Y1448" i="5"/>
  <c r="Z1448" i="5"/>
  <c r="Y1449" i="5"/>
  <c r="Z1449" i="5"/>
  <c r="Y1450" i="5"/>
  <c r="Z1450" i="5"/>
  <c r="Y1451" i="5"/>
  <c r="Z1451" i="5"/>
  <c r="Y1452" i="5"/>
  <c r="Z1452" i="5"/>
  <c r="Y1453" i="5"/>
  <c r="Z1453" i="5"/>
  <c r="Y1454" i="5"/>
  <c r="Z1454" i="5"/>
  <c r="Y1455" i="5"/>
  <c r="Z1455" i="5"/>
  <c r="Y1456" i="5"/>
  <c r="Z1456" i="5"/>
  <c r="Y1457" i="5"/>
  <c r="Z1457" i="5"/>
  <c r="Y1458" i="5"/>
  <c r="Z1458" i="5"/>
  <c r="Y1459" i="5"/>
  <c r="Z1459" i="5"/>
  <c r="Y1460" i="5"/>
  <c r="Z1460" i="5"/>
  <c r="Y1461" i="5"/>
  <c r="Z1461" i="5"/>
  <c r="Y1462" i="5"/>
  <c r="Z1462" i="5"/>
  <c r="Y1463" i="5"/>
  <c r="Z1463" i="5"/>
  <c r="Y1464" i="5"/>
  <c r="Z1464" i="5"/>
  <c r="Y1465" i="5"/>
  <c r="Z1465" i="5"/>
  <c r="Y1466" i="5"/>
  <c r="Z1466" i="5"/>
  <c r="Y1467" i="5"/>
  <c r="Z1467" i="5"/>
  <c r="Y1468" i="5"/>
  <c r="Z1468" i="5"/>
  <c r="Y1469" i="5"/>
  <c r="Z1469" i="5"/>
  <c r="Y1470" i="5"/>
  <c r="Z1470" i="5"/>
  <c r="Y1471" i="5"/>
  <c r="Z1471" i="5"/>
  <c r="Y1472" i="5"/>
  <c r="Z1472" i="5"/>
  <c r="Y1473" i="5"/>
  <c r="Z1473" i="5"/>
  <c r="Y1474" i="5"/>
  <c r="Z1474" i="5"/>
  <c r="Y1475" i="5"/>
  <c r="Z1475" i="5"/>
  <c r="Y1476" i="5"/>
  <c r="Z1476" i="5"/>
  <c r="Y1477" i="5"/>
  <c r="Z1477" i="5"/>
  <c r="Y1478" i="5"/>
  <c r="Z1478" i="5"/>
  <c r="Y1479" i="5"/>
  <c r="Z1479" i="5"/>
  <c r="Y1480" i="5"/>
  <c r="Z1480" i="5"/>
  <c r="Y1481" i="5"/>
  <c r="Z1481" i="5"/>
  <c r="Y1482" i="5"/>
  <c r="Z1482" i="5"/>
  <c r="Y1483" i="5"/>
  <c r="Z1483" i="5"/>
  <c r="Y1484" i="5"/>
  <c r="Z1484" i="5"/>
  <c r="Y1485" i="5"/>
  <c r="Z1485" i="5"/>
  <c r="Y1486" i="5"/>
  <c r="Z1486" i="5"/>
  <c r="Y1487" i="5"/>
  <c r="Z1487" i="5"/>
  <c r="Y1488" i="5"/>
  <c r="Z1488" i="5"/>
  <c r="Y1489" i="5"/>
  <c r="Z1489" i="5"/>
  <c r="Y1490" i="5"/>
  <c r="Z1490" i="5"/>
  <c r="Y1491" i="5"/>
  <c r="Z1491" i="5"/>
  <c r="Y1492" i="5"/>
  <c r="Z1492" i="5"/>
  <c r="Y1493" i="5"/>
  <c r="Z1493" i="5"/>
  <c r="Y1494" i="5"/>
  <c r="Z1494" i="5"/>
  <c r="Y1495" i="5"/>
  <c r="Z1495" i="5"/>
  <c r="Y1496" i="5"/>
  <c r="Z1496" i="5"/>
  <c r="Y1497" i="5"/>
  <c r="Z1497" i="5"/>
  <c r="Y1498" i="5"/>
  <c r="Z1498" i="5"/>
  <c r="Y1499" i="5"/>
  <c r="Z1499" i="5"/>
  <c r="Y1500" i="5"/>
  <c r="Z1500" i="5"/>
  <c r="Y1501" i="5"/>
  <c r="Z1501" i="5"/>
  <c r="Y1502" i="5"/>
  <c r="Z1502" i="5"/>
  <c r="Y1503" i="5"/>
  <c r="Z1503" i="5"/>
  <c r="Y1504" i="5"/>
  <c r="Z1504" i="5"/>
  <c r="Y1505" i="5"/>
  <c r="Z1505" i="5"/>
  <c r="Y1506" i="5"/>
  <c r="Z1506" i="5"/>
  <c r="Y1507" i="5"/>
  <c r="Z1507" i="5"/>
  <c r="Y1508" i="5"/>
  <c r="Z1508" i="5"/>
  <c r="Y1509" i="5"/>
  <c r="Z1509" i="5"/>
  <c r="Y1510" i="5"/>
  <c r="Z1510" i="5"/>
  <c r="Y1511" i="5"/>
  <c r="Z1511" i="5"/>
  <c r="Y1512" i="5"/>
  <c r="Z1512" i="5"/>
  <c r="Y1513" i="5"/>
  <c r="Z1513" i="5"/>
  <c r="Y1514" i="5"/>
  <c r="Z1514" i="5"/>
  <c r="Y1515" i="5"/>
  <c r="Z1515" i="5"/>
  <c r="Y1516" i="5"/>
  <c r="Z1516" i="5"/>
  <c r="Y1517" i="5"/>
  <c r="Z1517" i="5"/>
  <c r="Y1518" i="5"/>
  <c r="Z1518" i="5"/>
  <c r="Y1519" i="5"/>
  <c r="Z1519" i="5"/>
  <c r="Y1520" i="5"/>
  <c r="Z1520" i="5"/>
  <c r="Y1521" i="5"/>
  <c r="Z1521" i="5"/>
  <c r="Y1522" i="5"/>
  <c r="Z1522" i="5"/>
  <c r="Y1523" i="5"/>
  <c r="Z1523" i="5"/>
  <c r="Y1524" i="5"/>
  <c r="Z1524" i="5"/>
  <c r="Y1525" i="5"/>
  <c r="Z1525" i="5"/>
  <c r="Y1526" i="5"/>
  <c r="Z1526" i="5"/>
  <c r="Y1527" i="5"/>
  <c r="Z1527" i="5"/>
  <c r="Y1528" i="5"/>
  <c r="Z1528" i="5"/>
  <c r="Y1529" i="5"/>
  <c r="Z1529" i="5"/>
  <c r="Y1530" i="5"/>
  <c r="Z1530" i="5"/>
  <c r="Y1531" i="5"/>
  <c r="Z1531" i="5"/>
  <c r="Y1532" i="5"/>
  <c r="Z1532" i="5"/>
  <c r="Y1533" i="5"/>
  <c r="Z1533" i="5"/>
  <c r="Y1534" i="5"/>
  <c r="Z1534" i="5"/>
  <c r="Y1535" i="5"/>
  <c r="Z1535" i="5"/>
  <c r="Y1536" i="5"/>
  <c r="Z1536" i="5"/>
  <c r="Y1537" i="5"/>
  <c r="Z1537" i="5"/>
  <c r="Y1538" i="5"/>
  <c r="Z1538" i="5"/>
  <c r="Y1539" i="5"/>
  <c r="Z1539" i="5"/>
  <c r="Y1540" i="5"/>
  <c r="Z1540" i="5"/>
  <c r="Y1541" i="5"/>
  <c r="Z1541" i="5"/>
  <c r="Y1542" i="5"/>
  <c r="Z1542" i="5"/>
  <c r="Y1543" i="5"/>
  <c r="Z1543" i="5"/>
  <c r="Y1544" i="5"/>
  <c r="Z1544" i="5"/>
  <c r="Y1545" i="5"/>
  <c r="Z1545" i="5"/>
  <c r="Y1546" i="5"/>
  <c r="Z1546" i="5"/>
  <c r="Y1547" i="5"/>
  <c r="Z1547" i="5"/>
  <c r="Y1548" i="5"/>
  <c r="Z1548" i="5"/>
  <c r="Y1549" i="5"/>
  <c r="Z1549" i="5"/>
  <c r="Y1550" i="5"/>
  <c r="Z1550" i="5"/>
  <c r="Y1551" i="5"/>
  <c r="Z1551" i="5"/>
  <c r="Y1552" i="5"/>
  <c r="Z1552" i="5"/>
  <c r="Y1553" i="5"/>
  <c r="Z1553" i="5"/>
  <c r="Y1554" i="5"/>
  <c r="Z1554" i="5"/>
  <c r="Y1555" i="5"/>
  <c r="Z1555" i="5"/>
  <c r="Y1556" i="5"/>
  <c r="Z1556" i="5"/>
  <c r="Y1557" i="5"/>
  <c r="Z1557" i="5"/>
  <c r="Y1558" i="5"/>
  <c r="Z1558" i="5"/>
  <c r="Y1559" i="5"/>
  <c r="Z1559" i="5"/>
  <c r="Y1560" i="5"/>
  <c r="Z1560" i="5"/>
  <c r="Y1561" i="5"/>
  <c r="Z1561" i="5"/>
  <c r="Y1562" i="5"/>
  <c r="Z1562" i="5"/>
  <c r="Y1563" i="5"/>
  <c r="Z1563" i="5"/>
  <c r="Y1564" i="5"/>
  <c r="Z1564" i="5"/>
  <c r="Y1565" i="5"/>
  <c r="Z1565" i="5"/>
  <c r="Y1566" i="5"/>
  <c r="Z1566" i="5"/>
  <c r="Y1567" i="5"/>
  <c r="Z1567" i="5"/>
  <c r="Y1568" i="5"/>
  <c r="Z1568" i="5"/>
  <c r="Y1569" i="5"/>
  <c r="Z1569" i="5"/>
  <c r="Y1570" i="5"/>
  <c r="Z1570" i="5"/>
  <c r="Y1571" i="5"/>
  <c r="Z1571" i="5"/>
  <c r="Y1572" i="5"/>
  <c r="Z1572" i="5"/>
  <c r="Y1573" i="5"/>
  <c r="Z1573" i="5"/>
  <c r="Y1574" i="5"/>
  <c r="Z1574" i="5"/>
  <c r="Y1575" i="5"/>
  <c r="Z1575" i="5"/>
  <c r="Y1576" i="5"/>
  <c r="Z1576" i="5"/>
  <c r="Y1577" i="5"/>
  <c r="Z1577" i="5"/>
  <c r="Y1578" i="5"/>
  <c r="Z1578" i="5"/>
  <c r="Y1579" i="5"/>
  <c r="Z1579" i="5"/>
  <c r="Y1580" i="5"/>
  <c r="Z1580" i="5"/>
  <c r="Y1581" i="5"/>
  <c r="Z1581" i="5"/>
  <c r="Y1582" i="5"/>
  <c r="Z1582" i="5"/>
  <c r="Y1583" i="5"/>
  <c r="Z1583" i="5"/>
  <c r="Y1584" i="5"/>
  <c r="Z1584" i="5"/>
  <c r="Y1585" i="5"/>
  <c r="Z1585" i="5"/>
  <c r="Y1586" i="5"/>
  <c r="Z1586" i="5"/>
  <c r="Y1587" i="5"/>
  <c r="Z1587" i="5"/>
  <c r="Y1588" i="5"/>
  <c r="Z1588" i="5"/>
  <c r="Y1589" i="5"/>
  <c r="Z1589" i="5"/>
  <c r="Y1590" i="5"/>
  <c r="Z1590" i="5"/>
  <c r="Y1591" i="5"/>
  <c r="Z1591" i="5"/>
  <c r="Y1592" i="5"/>
  <c r="Z1592" i="5"/>
  <c r="Y1593" i="5"/>
  <c r="Z1593" i="5"/>
  <c r="Y1594" i="5"/>
  <c r="Z1594" i="5"/>
  <c r="Y1595" i="5"/>
  <c r="Z1595" i="5"/>
  <c r="Y1596" i="5"/>
  <c r="Z1596" i="5"/>
  <c r="Y1597" i="5"/>
  <c r="Z1597" i="5"/>
  <c r="Y1598" i="5"/>
  <c r="Z1598" i="5"/>
  <c r="Y1599" i="5"/>
  <c r="Z1599" i="5"/>
  <c r="Y1600" i="5"/>
  <c r="Z1600" i="5"/>
  <c r="Y1601" i="5"/>
  <c r="Z1601" i="5"/>
  <c r="Y1602" i="5"/>
  <c r="Z1602" i="5"/>
  <c r="Y1603" i="5"/>
  <c r="Z1603" i="5"/>
  <c r="Y1604" i="5"/>
  <c r="Z1604" i="5"/>
  <c r="Y1605" i="5"/>
  <c r="Z1605" i="5"/>
  <c r="Y1606" i="5"/>
  <c r="Z1606" i="5"/>
  <c r="Y1607" i="5"/>
  <c r="Z1607" i="5"/>
  <c r="Y1608" i="5"/>
  <c r="Z1608" i="5"/>
  <c r="Y1609" i="5"/>
  <c r="Z1609" i="5"/>
  <c r="Y1610" i="5"/>
  <c r="Z1610" i="5"/>
  <c r="Y1611" i="5"/>
  <c r="Z1611" i="5"/>
  <c r="Y1612" i="5"/>
  <c r="Z1612" i="5"/>
  <c r="Y1613" i="5"/>
  <c r="Z1613" i="5"/>
  <c r="Y1614" i="5"/>
  <c r="Z1614" i="5"/>
  <c r="Y1615" i="5"/>
  <c r="Z1615" i="5"/>
  <c r="Y1616" i="5"/>
  <c r="Z1616" i="5"/>
  <c r="Y1617" i="5"/>
  <c r="Z1617" i="5"/>
  <c r="Y1618" i="5"/>
  <c r="Z1618" i="5"/>
  <c r="Y1619" i="5"/>
  <c r="Z1619" i="5"/>
  <c r="Y1620" i="5"/>
  <c r="Z1620" i="5"/>
  <c r="Y1621" i="5"/>
  <c r="Z1621" i="5"/>
  <c r="Y1622" i="5"/>
  <c r="Z1622" i="5"/>
  <c r="Y1623" i="5"/>
  <c r="Z1623" i="5"/>
  <c r="Y1624" i="5"/>
  <c r="Z1624" i="5"/>
  <c r="Y1625" i="5"/>
  <c r="Z1625" i="5"/>
  <c r="Y1626" i="5"/>
  <c r="Z1626" i="5"/>
  <c r="Y1627" i="5"/>
  <c r="Z1627" i="5"/>
  <c r="Y1628" i="5"/>
  <c r="Z1628" i="5"/>
  <c r="Y1629" i="5"/>
  <c r="Z1629" i="5"/>
  <c r="Y1630" i="5"/>
  <c r="Z1630" i="5"/>
  <c r="Y1631" i="5"/>
  <c r="Z1631" i="5"/>
  <c r="Y1632" i="5"/>
  <c r="Z1632" i="5"/>
  <c r="Y1633" i="5"/>
  <c r="Z1633" i="5"/>
  <c r="Y1634" i="5"/>
  <c r="Z1634" i="5"/>
  <c r="Y1635" i="5"/>
  <c r="Z1635" i="5"/>
  <c r="Y1636" i="5"/>
  <c r="Z1636" i="5"/>
  <c r="Y1637" i="5"/>
  <c r="Z1637" i="5"/>
  <c r="Y1638" i="5"/>
  <c r="Z1638" i="5"/>
  <c r="Y1639" i="5"/>
  <c r="Z1639" i="5"/>
  <c r="Y1640" i="5"/>
  <c r="Z1640" i="5"/>
  <c r="Y1641" i="5"/>
  <c r="Z1641" i="5"/>
  <c r="Y1642" i="5"/>
  <c r="Z1642" i="5"/>
  <c r="Y1643" i="5"/>
  <c r="Z1643" i="5"/>
  <c r="Y1644" i="5"/>
  <c r="Z1644" i="5"/>
  <c r="Y1645" i="5"/>
  <c r="Z1645" i="5"/>
  <c r="Y1646" i="5"/>
  <c r="Z1646" i="5"/>
  <c r="Y1647" i="5"/>
  <c r="Z1647" i="5"/>
  <c r="Y1648" i="5"/>
  <c r="Z1648" i="5"/>
  <c r="Y1649" i="5"/>
  <c r="Z1649" i="5"/>
  <c r="Y1650" i="5"/>
  <c r="Z1650" i="5"/>
  <c r="Y1651" i="5"/>
  <c r="Z1651" i="5"/>
  <c r="Y1652" i="5"/>
  <c r="Z1652" i="5"/>
  <c r="Y1653" i="5"/>
  <c r="Z1653" i="5"/>
  <c r="Y1654" i="5"/>
  <c r="Z1654" i="5"/>
  <c r="Y1655" i="5"/>
  <c r="Z1655" i="5"/>
  <c r="Y1656" i="5"/>
  <c r="Z1656" i="5"/>
  <c r="Y1657" i="5"/>
  <c r="Z1657" i="5"/>
  <c r="Y1658" i="5"/>
  <c r="Z1658" i="5"/>
  <c r="Y1659" i="5"/>
  <c r="Z1659" i="5"/>
  <c r="Y1660" i="5"/>
  <c r="Z1660" i="5"/>
  <c r="Y1661" i="5"/>
  <c r="Z1661" i="5"/>
  <c r="Y1662" i="5"/>
  <c r="Z1662" i="5"/>
  <c r="Y1663" i="5"/>
  <c r="Z1663" i="5"/>
  <c r="Y1664" i="5"/>
  <c r="Z1664" i="5"/>
  <c r="Y1665" i="5"/>
  <c r="Z1665" i="5"/>
  <c r="Y1666" i="5"/>
  <c r="Z1666" i="5"/>
  <c r="Y1667" i="5"/>
  <c r="Z1667" i="5"/>
  <c r="Y1668" i="5"/>
  <c r="Z1668" i="5"/>
  <c r="Y1669" i="5"/>
  <c r="Z1669" i="5"/>
  <c r="Y1670" i="5"/>
  <c r="Z1670" i="5"/>
  <c r="Y1671" i="5"/>
  <c r="Z1671" i="5"/>
  <c r="Y1672" i="5"/>
  <c r="Z1672" i="5"/>
  <c r="Y1673" i="5"/>
  <c r="Z1673" i="5"/>
  <c r="Y1674" i="5"/>
  <c r="Z1674" i="5"/>
  <c r="Y1675" i="5"/>
  <c r="Z1675" i="5"/>
  <c r="Y1676" i="5"/>
  <c r="Z1676" i="5"/>
  <c r="Y1677" i="5"/>
  <c r="Z1677" i="5"/>
  <c r="Y1678" i="5"/>
  <c r="Z1678" i="5"/>
  <c r="Y1679" i="5"/>
  <c r="Z1679" i="5"/>
  <c r="Y1680" i="5"/>
  <c r="Z1680" i="5"/>
  <c r="Y1681" i="5"/>
  <c r="Z1681" i="5"/>
  <c r="Y1682" i="5"/>
  <c r="Z1682" i="5"/>
  <c r="Y1683" i="5"/>
  <c r="Z1683" i="5"/>
  <c r="Y1684" i="5"/>
  <c r="Z1684" i="5"/>
  <c r="Y1685" i="5"/>
  <c r="Z1685" i="5"/>
  <c r="Y1686" i="5"/>
  <c r="Z1686" i="5"/>
  <c r="Y1687" i="5"/>
  <c r="Z1687" i="5"/>
  <c r="Y1688" i="5"/>
  <c r="Z1688" i="5"/>
  <c r="Y1689" i="5"/>
  <c r="Z1689" i="5"/>
  <c r="Y1690" i="5"/>
  <c r="Z1690" i="5"/>
  <c r="Y1691" i="5"/>
  <c r="Z1691" i="5"/>
  <c r="Y1692" i="5"/>
  <c r="Z1692" i="5"/>
  <c r="Y1693" i="5"/>
  <c r="Z1693" i="5"/>
  <c r="Y1694" i="5"/>
  <c r="Z1694" i="5"/>
  <c r="Y1695" i="5"/>
  <c r="Z1695" i="5"/>
  <c r="Y1696" i="5"/>
  <c r="Z1696" i="5"/>
  <c r="Y1697" i="5"/>
  <c r="Z1697" i="5"/>
  <c r="Y1698" i="5"/>
  <c r="Z1698" i="5"/>
  <c r="Y1699" i="5"/>
  <c r="Z1699" i="5"/>
  <c r="Y1700" i="5"/>
  <c r="Z1700" i="5"/>
  <c r="Y1701" i="5"/>
  <c r="Z1701" i="5"/>
  <c r="Y1702" i="5"/>
  <c r="Z1702" i="5"/>
  <c r="Y1703" i="5"/>
  <c r="Z1703" i="5"/>
  <c r="Y1704" i="5"/>
  <c r="Z1704" i="5"/>
  <c r="Y1705" i="5"/>
  <c r="Z1705" i="5"/>
  <c r="Y1706" i="5"/>
  <c r="Z1706" i="5"/>
  <c r="Y1707" i="5"/>
  <c r="Z1707" i="5"/>
  <c r="Y1708" i="5"/>
  <c r="Z1708" i="5"/>
  <c r="Y1709" i="5"/>
  <c r="Z1709" i="5"/>
  <c r="Y1710" i="5"/>
  <c r="Z1710" i="5"/>
  <c r="Y1711" i="5"/>
  <c r="Z1711" i="5"/>
  <c r="Y1712" i="5"/>
  <c r="Z1712" i="5"/>
  <c r="Y1713" i="5"/>
  <c r="Z1713" i="5"/>
  <c r="Y1714" i="5"/>
  <c r="Z1714" i="5"/>
  <c r="Y1715" i="5"/>
  <c r="Z1715" i="5"/>
  <c r="Y1716" i="5"/>
  <c r="Z1716" i="5"/>
  <c r="Y1717" i="5"/>
  <c r="Z1717" i="5"/>
  <c r="Y1718" i="5"/>
  <c r="Z1718" i="5"/>
  <c r="Y1719" i="5"/>
  <c r="Z1719" i="5"/>
  <c r="Y1720" i="5"/>
  <c r="Z1720" i="5"/>
  <c r="Y1721" i="5"/>
  <c r="Z1721" i="5"/>
  <c r="Y1722" i="5"/>
  <c r="Z1722" i="5"/>
  <c r="Y1723" i="5"/>
  <c r="Z1723" i="5"/>
  <c r="Y1724" i="5"/>
  <c r="Z1724" i="5"/>
  <c r="Y1725" i="5"/>
  <c r="Z1725" i="5"/>
  <c r="Y1726" i="5"/>
  <c r="Z1726" i="5"/>
  <c r="Y1727" i="5"/>
  <c r="Z1727" i="5"/>
  <c r="Y1728" i="5"/>
  <c r="Z1728" i="5"/>
  <c r="Y1729" i="5"/>
  <c r="Z1729" i="5"/>
  <c r="Y1730" i="5"/>
  <c r="Z1730" i="5"/>
  <c r="Y1731" i="5"/>
  <c r="Z1731" i="5"/>
  <c r="Y1732" i="5"/>
  <c r="Z1732" i="5"/>
  <c r="Y1733" i="5"/>
  <c r="Z1733" i="5"/>
  <c r="Y1734" i="5"/>
  <c r="Z1734" i="5"/>
  <c r="Y1735" i="5"/>
  <c r="Z1735" i="5"/>
  <c r="Y1736" i="5"/>
  <c r="Z1736" i="5"/>
  <c r="Y1737" i="5"/>
  <c r="Z1737" i="5"/>
  <c r="Y1738" i="5"/>
  <c r="Z1738" i="5"/>
  <c r="Y1739" i="5"/>
  <c r="Z1739" i="5"/>
  <c r="Y1740" i="5"/>
  <c r="Z1740" i="5"/>
  <c r="Y1741" i="5"/>
  <c r="Z1741" i="5"/>
  <c r="Y1742" i="5"/>
  <c r="Z1742" i="5"/>
  <c r="Y1743" i="5"/>
  <c r="Z1743" i="5"/>
  <c r="Y1744" i="5"/>
  <c r="Z1744" i="5"/>
  <c r="Y1745" i="5"/>
  <c r="Z1745" i="5"/>
  <c r="Y1746" i="5"/>
  <c r="Z1746" i="5"/>
  <c r="Y1747" i="5"/>
  <c r="Z1747" i="5"/>
  <c r="Y1748" i="5"/>
  <c r="Z1748" i="5"/>
  <c r="Y1749" i="5"/>
  <c r="Z1749" i="5"/>
  <c r="Y1750" i="5"/>
  <c r="Z1750" i="5"/>
  <c r="Y1751" i="5"/>
  <c r="Z1751" i="5"/>
  <c r="Y1752" i="5"/>
  <c r="Z1752" i="5"/>
  <c r="Y1753" i="5"/>
  <c r="Z1753" i="5"/>
  <c r="Y1754" i="5"/>
  <c r="Z1754" i="5"/>
  <c r="Y1755" i="5"/>
  <c r="Z1755" i="5"/>
  <c r="Y1756" i="5"/>
  <c r="Z1756" i="5"/>
  <c r="Y1757" i="5"/>
  <c r="Z1757" i="5"/>
  <c r="Y1758" i="5"/>
  <c r="Z1758" i="5"/>
  <c r="Y1759" i="5"/>
  <c r="Z1759" i="5"/>
  <c r="Y1760" i="5"/>
  <c r="Z1760" i="5"/>
  <c r="Y1761" i="5"/>
  <c r="Z1761" i="5"/>
  <c r="Y1762" i="5"/>
  <c r="Z1762" i="5"/>
  <c r="Y1763" i="5"/>
  <c r="Z1763" i="5"/>
  <c r="Y1764" i="5"/>
  <c r="Z1764" i="5"/>
  <c r="Y1765" i="5"/>
  <c r="Z1765" i="5"/>
  <c r="Y1766" i="5"/>
  <c r="Z1766" i="5"/>
  <c r="Y1767" i="5"/>
  <c r="Z1767" i="5"/>
  <c r="Y1768" i="5"/>
  <c r="Z1768" i="5"/>
  <c r="Y1769" i="5"/>
  <c r="Z1769" i="5"/>
  <c r="Y1770" i="5"/>
  <c r="Z1770" i="5"/>
  <c r="Y1771" i="5"/>
  <c r="Z1771" i="5"/>
  <c r="Y1772" i="5"/>
  <c r="Z1772" i="5"/>
  <c r="Y1773" i="5"/>
  <c r="Z1773" i="5"/>
  <c r="Y1774" i="5"/>
  <c r="Z1774" i="5"/>
  <c r="Y1775" i="5"/>
  <c r="Z1775" i="5"/>
  <c r="Y1776" i="5"/>
  <c r="Z1776" i="5"/>
  <c r="Y1777" i="5"/>
  <c r="Z1777" i="5"/>
  <c r="Y1778" i="5"/>
  <c r="Z1778" i="5"/>
  <c r="Y1779" i="5"/>
  <c r="Z1779" i="5"/>
  <c r="Y1780" i="5"/>
  <c r="Z1780" i="5"/>
  <c r="Y1781" i="5"/>
  <c r="Z1781" i="5"/>
  <c r="Y1782" i="5"/>
  <c r="Z1782" i="5"/>
  <c r="Y1783" i="5"/>
  <c r="Z1783" i="5"/>
  <c r="Y1784" i="5"/>
  <c r="Z1784" i="5"/>
  <c r="Y1785" i="5"/>
  <c r="Z1785" i="5"/>
  <c r="Y1786" i="5"/>
  <c r="Z1786" i="5"/>
  <c r="Y1787" i="5"/>
  <c r="Z1787" i="5"/>
  <c r="Y1788" i="5"/>
  <c r="Z1788" i="5"/>
  <c r="Y1789" i="5"/>
  <c r="Z1789" i="5"/>
  <c r="Y1790" i="5"/>
  <c r="Z1790" i="5"/>
  <c r="Y1791" i="5"/>
  <c r="Z1791" i="5"/>
  <c r="Y1792" i="5"/>
  <c r="Z1792" i="5"/>
  <c r="Y1793" i="5"/>
  <c r="Z1793" i="5"/>
  <c r="Y1794" i="5"/>
  <c r="Z1794" i="5"/>
  <c r="Y1795" i="5"/>
  <c r="Z1795" i="5"/>
  <c r="Y1796" i="5"/>
  <c r="Z1796" i="5"/>
  <c r="Y1797" i="5"/>
  <c r="Z1797" i="5"/>
  <c r="Y1798" i="5"/>
  <c r="Z1798" i="5"/>
  <c r="Y1799" i="5"/>
  <c r="Z1799" i="5"/>
  <c r="Y1800" i="5"/>
  <c r="Z1800" i="5"/>
  <c r="Y1801" i="5"/>
  <c r="Z1801" i="5"/>
  <c r="Y1802" i="5"/>
  <c r="Z1802" i="5"/>
  <c r="Y1803" i="5"/>
  <c r="Z1803" i="5"/>
  <c r="Y1804" i="5"/>
  <c r="Z1804" i="5"/>
  <c r="Y1805" i="5"/>
  <c r="Z1805" i="5"/>
  <c r="Y1806" i="5"/>
  <c r="Z1806" i="5"/>
  <c r="Y1807" i="5"/>
  <c r="Z1807" i="5"/>
  <c r="Y1808" i="5"/>
  <c r="Z1808" i="5"/>
  <c r="Y1809" i="5"/>
  <c r="Z1809" i="5"/>
  <c r="Y1810" i="5"/>
  <c r="Z1810" i="5"/>
  <c r="Y1811" i="5"/>
  <c r="Z1811" i="5"/>
  <c r="Y1812" i="5"/>
  <c r="Z1812" i="5"/>
  <c r="Y1813" i="5"/>
  <c r="Z1813" i="5"/>
  <c r="Y1814" i="5"/>
  <c r="Z1814" i="5"/>
  <c r="Y1815" i="5"/>
  <c r="Z1815" i="5"/>
  <c r="Y1816" i="5"/>
  <c r="Z1816" i="5"/>
  <c r="Y1817" i="5"/>
  <c r="Z1817" i="5"/>
  <c r="Y1818" i="5"/>
  <c r="Z1818" i="5"/>
  <c r="Y1819" i="5"/>
  <c r="Z1819" i="5"/>
  <c r="Y1820" i="5"/>
  <c r="Z1820" i="5"/>
  <c r="Y1821" i="5"/>
  <c r="Z1821" i="5"/>
  <c r="Y1822" i="5"/>
  <c r="Z1822" i="5"/>
  <c r="Y1823" i="5"/>
  <c r="Z1823" i="5"/>
  <c r="Z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2" i="5"/>
  <c r="Y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102" i="5"/>
  <c r="Y103" i="5"/>
  <c r="Y104" i="5"/>
  <c r="Y105" i="5"/>
  <c r="Y106" i="5"/>
  <c r="Y107" i="5"/>
  <c r="Y108" i="5"/>
  <c r="Y109" i="5"/>
  <c r="Y110" i="5"/>
  <c r="Y111" i="5"/>
  <c r="Y112" i="5"/>
  <c r="Y113" i="5"/>
  <c r="Y114" i="5"/>
  <c r="Y115" i="5"/>
  <c r="Y116" i="5"/>
  <c r="Y117" i="5"/>
  <c r="Y118" i="5"/>
  <c r="Y119" i="5"/>
  <c r="Y120" i="5"/>
  <c r="Y121" i="5"/>
  <c r="Y122" i="5"/>
  <c r="Y123" i="5"/>
  <c r="Y124" i="5"/>
  <c r="Y125" i="5"/>
  <c r="Y126" i="5"/>
  <c r="Y127" i="5"/>
  <c r="Y128" i="5"/>
  <c r="Y129" i="5"/>
  <c r="Y130" i="5"/>
  <c r="Y131" i="5"/>
  <c r="Y132" i="5"/>
  <c r="Y133" i="5"/>
  <c r="Y134" i="5"/>
  <c r="Y135" i="5"/>
  <c r="Y136" i="5"/>
  <c r="Y137" i="5"/>
  <c r="Y138" i="5"/>
  <c r="Y139" i="5"/>
  <c r="Y140" i="5"/>
  <c r="Y141" i="5"/>
  <c r="Y142" i="5"/>
  <c r="Y143" i="5"/>
  <c r="Y144" i="5"/>
  <c r="Y145" i="5"/>
  <c r="Y146" i="5"/>
  <c r="Y147" i="5"/>
  <c r="Y148" i="5"/>
  <c r="Y149" i="5"/>
  <c r="Y150" i="5"/>
  <c r="Y151" i="5"/>
  <c r="Y152" i="5"/>
  <c r="Y153" i="5"/>
  <c r="Y154" i="5"/>
  <c r="Y155" i="5"/>
  <c r="Y156" i="5"/>
  <c r="Y157" i="5"/>
  <c r="Y158" i="5"/>
  <c r="Y159" i="5"/>
  <c r="Y160" i="5"/>
  <c r="Y161" i="5"/>
  <c r="Y162" i="5"/>
  <c r="Y163" i="5"/>
  <c r="Y164" i="5"/>
  <c r="Y165" i="5"/>
  <c r="Y166" i="5"/>
  <c r="Y167" i="5"/>
  <c r="Y168" i="5"/>
  <c r="Y169" i="5"/>
  <c r="Y170" i="5"/>
  <c r="Y171" i="5"/>
  <c r="Y172" i="5"/>
  <c r="Y173" i="5"/>
  <c r="Y174" i="5"/>
  <c r="Y175" i="5"/>
  <c r="Y176" i="5"/>
  <c r="Y177" i="5"/>
  <c r="Y178" i="5"/>
  <c r="Y179" i="5"/>
  <c r="Y180" i="5"/>
  <c r="Y181" i="5"/>
  <c r="Y182" i="5"/>
  <c r="Y183" i="5"/>
  <c r="Y184" i="5"/>
  <c r="Y185" i="5"/>
  <c r="Y186" i="5"/>
  <c r="Y187" i="5"/>
  <c r="Y188" i="5"/>
  <c r="Y189" i="5"/>
  <c r="Y190" i="5"/>
  <c r="Y191" i="5"/>
  <c r="Y192" i="5"/>
  <c r="Y193" i="5"/>
  <c r="Y194" i="5"/>
  <c r="Y195" i="5"/>
  <c r="Y196" i="5"/>
  <c r="Y197" i="5"/>
  <c r="Y198" i="5"/>
  <c r="Y199" i="5"/>
  <c r="Y200" i="5"/>
  <c r="Y201" i="5"/>
  <c r="Y202" i="5"/>
  <c r="Y203" i="5"/>
  <c r="Y204" i="5"/>
  <c r="Y205" i="5"/>
  <c r="Y206" i="5"/>
  <c r="Y207" i="5"/>
  <c r="Y208" i="5"/>
  <c r="Y209" i="5"/>
  <c r="Y210" i="5"/>
  <c r="Y211" i="5"/>
  <c r="Y212" i="5"/>
  <c r="Y213" i="5"/>
  <c r="Y214" i="5"/>
  <c r="Y215" i="5"/>
  <c r="Y216" i="5"/>
  <c r="Y217" i="5"/>
  <c r="Y218" i="5"/>
  <c r="Y219" i="5"/>
  <c r="Y220" i="5"/>
  <c r="Y221" i="5"/>
  <c r="Y222" i="5"/>
  <c r="Y223" i="5"/>
  <c r="Y224" i="5"/>
  <c r="Y225" i="5"/>
  <c r="Y226" i="5"/>
  <c r="Y227" i="5"/>
  <c r="Y228" i="5"/>
  <c r="Y229" i="5"/>
  <c r="Y230" i="5"/>
  <c r="Y231" i="5"/>
  <c r="Y232" i="5"/>
  <c r="Y233" i="5"/>
  <c r="Y234" i="5"/>
  <c r="Y235" i="5"/>
  <c r="Y236" i="5"/>
  <c r="Y237" i="5"/>
  <c r="Y238" i="5"/>
  <c r="Y239" i="5"/>
  <c r="Y240" i="5"/>
  <c r="Y241" i="5"/>
  <c r="Y242" i="5"/>
  <c r="Y243" i="5"/>
  <c r="Y244" i="5"/>
  <c r="Y245" i="5"/>
  <c r="Y246" i="5"/>
  <c r="Y247" i="5"/>
  <c r="Y248" i="5"/>
  <c r="Y249" i="5"/>
  <c r="Y250" i="5"/>
  <c r="Y251" i="5"/>
  <c r="Y252" i="5"/>
  <c r="Y253" i="5"/>
  <c r="Y254" i="5"/>
  <c r="Y255" i="5"/>
  <c r="Y256" i="5"/>
  <c r="Y257" i="5"/>
  <c r="Y258" i="5"/>
  <c r="Y259" i="5"/>
  <c r="Y260" i="5"/>
  <c r="Y261" i="5"/>
  <c r="Y262" i="5"/>
  <c r="Y263" i="5"/>
  <c r="Y264" i="5"/>
  <c r="Y265" i="5"/>
  <c r="Y266" i="5"/>
  <c r="Y267" i="5"/>
  <c r="Y268" i="5"/>
  <c r="Y269" i="5"/>
  <c r="Y270" i="5"/>
  <c r="Y271" i="5"/>
  <c r="Y272" i="5"/>
  <c r="Y273" i="5"/>
  <c r="Y274" i="5"/>
  <c r="Y275" i="5"/>
  <c r="Y276" i="5"/>
  <c r="Y277" i="5"/>
  <c r="Y278" i="5"/>
  <c r="Y279" i="5"/>
  <c r="Y280" i="5"/>
  <c r="Y281" i="5"/>
  <c r="Y282" i="5"/>
  <c r="Y283" i="5"/>
  <c r="Y284" i="5"/>
  <c r="Y285" i="5"/>
  <c r="Y286" i="5"/>
  <c r="Y287" i="5"/>
  <c r="Y288" i="5"/>
  <c r="Y289" i="5"/>
  <c r="Y290" i="5"/>
  <c r="Y291" i="5"/>
  <c r="Y292" i="5"/>
  <c r="Y293" i="5"/>
  <c r="Y294" i="5"/>
  <c r="Y295" i="5"/>
  <c r="Y296" i="5"/>
  <c r="Y297" i="5"/>
  <c r="Y298" i="5"/>
  <c r="Y299" i="5"/>
  <c r="Y300" i="5"/>
  <c r="Y301" i="5"/>
  <c r="Y302" i="5"/>
  <c r="Y303" i="5"/>
  <c r="Y304" i="5"/>
  <c r="Y305" i="5"/>
  <c r="Y306" i="5"/>
  <c r="Y307" i="5"/>
  <c r="Y308" i="5"/>
  <c r="Y309" i="5"/>
  <c r="Y310" i="5"/>
  <c r="Y311" i="5"/>
  <c r="Y312" i="5"/>
  <c r="Y313" i="5"/>
  <c r="Y314" i="5"/>
  <c r="Y315" i="5"/>
  <c r="Y316" i="5"/>
  <c r="Y317" i="5"/>
  <c r="Y318" i="5"/>
  <c r="Y319" i="5"/>
  <c r="Y320" i="5"/>
  <c r="Y321" i="5"/>
  <c r="Y322" i="5"/>
  <c r="Y323" i="5"/>
  <c r="Y324" i="5"/>
  <c r="Y325" i="5"/>
  <c r="Y326" i="5"/>
  <c r="Y327" i="5"/>
  <c r="Y328" i="5"/>
  <c r="Y329" i="5"/>
  <c r="Y330" i="5"/>
  <c r="Y331" i="5"/>
  <c r="Y332" i="5"/>
  <c r="Y333" i="5"/>
  <c r="Y334" i="5"/>
  <c r="Y335" i="5"/>
  <c r="Y336" i="5"/>
  <c r="Y337" i="5"/>
  <c r="Y338" i="5"/>
  <c r="Y339" i="5"/>
  <c r="Y340" i="5"/>
  <c r="Y341" i="5"/>
  <c r="Y342" i="5"/>
  <c r="Y343" i="5"/>
  <c r="Y344" i="5"/>
  <c r="Y345" i="5"/>
  <c r="Y346" i="5"/>
  <c r="Y347" i="5"/>
  <c r="Y348" i="5"/>
  <c r="Y349" i="5"/>
  <c r="Y350" i="5"/>
  <c r="Y351" i="5"/>
  <c r="Y352" i="5"/>
  <c r="Y353" i="5"/>
  <c r="Y354" i="5"/>
  <c r="Y355" i="5"/>
  <c r="Y356" i="5"/>
  <c r="Y357" i="5"/>
  <c r="Y358" i="5"/>
  <c r="Y359" i="5"/>
  <c r="Y360" i="5"/>
  <c r="Y361" i="5"/>
  <c r="Y362" i="5"/>
  <c r="Y363" i="5"/>
  <c r="Y364" i="5"/>
  <c r="Y365" i="5"/>
  <c r="Y366" i="5"/>
  <c r="Y367" i="5"/>
  <c r="Y368" i="5"/>
  <c r="Y369" i="5"/>
  <c r="Y370" i="5"/>
  <c r="Y371" i="5"/>
  <c r="Y372" i="5"/>
  <c r="Y373" i="5"/>
  <c r="Y374" i="5"/>
  <c r="Y375" i="5"/>
  <c r="Y376" i="5"/>
  <c r="Y377" i="5"/>
  <c r="Y378" i="5"/>
  <c r="Y379" i="5"/>
  <c r="Y380" i="5"/>
  <c r="Y381" i="5"/>
  <c r="Y382" i="5"/>
  <c r="Y383" i="5"/>
  <c r="Y384" i="5"/>
  <c r="Y385" i="5"/>
  <c r="Y386" i="5"/>
  <c r="Y387" i="5"/>
  <c r="Y388" i="5"/>
  <c r="Y389" i="5"/>
  <c r="Y390" i="5"/>
  <c r="Y391" i="5"/>
  <c r="Y392" i="5"/>
  <c r="Y393" i="5"/>
  <c r="Y394" i="5"/>
  <c r="Y395" i="5"/>
  <c r="Y396" i="5"/>
  <c r="Y397" i="5"/>
  <c r="Y398" i="5"/>
  <c r="Y399" i="5"/>
  <c r="Y400" i="5"/>
  <c r="Y401" i="5"/>
  <c r="Y402" i="5"/>
  <c r="Y403" i="5"/>
  <c r="Y404" i="5"/>
  <c r="Y405" i="5"/>
  <c r="Y406" i="5"/>
  <c r="Y407" i="5"/>
  <c r="Y408" i="5"/>
  <c r="Y409" i="5"/>
  <c r="Y410" i="5"/>
  <c r="Y411" i="5"/>
  <c r="Y412" i="5"/>
  <c r="Y413" i="5"/>
  <c r="Y414" i="5"/>
  <c r="Y415" i="5"/>
  <c r="Y416" i="5"/>
  <c r="Y417" i="5"/>
  <c r="Y418" i="5"/>
  <c r="Y419" i="5"/>
  <c r="Y420" i="5"/>
  <c r="Y421" i="5"/>
  <c r="Y422" i="5"/>
  <c r="Y423" i="5"/>
  <c r="Y424" i="5"/>
  <c r="Y425" i="5"/>
  <c r="Y426" i="5"/>
  <c r="Y427" i="5"/>
  <c r="Y428" i="5"/>
  <c r="Y429" i="5"/>
  <c r="Y430" i="5"/>
  <c r="Y431" i="5"/>
  <c r="Y432" i="5"/>
  <c r="Y433" i="5"/>
  <c r="Y434" i="5"/>
  <c r="Y435" i="5"/>
  <c r="Y436" i="5"/>
  <c r="Y437" i="5"/>
  <c r="Y438" i="5"/>
  <c r="Y439" i="5"/>
  <c r="Y440" i="5"/>
  <c r="Y441" i="5"/>
  <c r="Y442" i="5"/>
  <c r="Y443" i="5"/>
  <c r="Y444" i="5"/>
  <c r="Y445" i="5"/>
  <c r="Y446" i="5"/>
  <c r="Y447" i="5"/>
  <c r="Y448" i="5"/>
  <c r="Y449" i="5"/>
  <c r="Y450" i="5"/>
  <c r="Y451" i="5"/>
  <c r="Y452" i="5"/>
  <c r="Y453" i="5"/>
  <c r="Y454" i="5"/>
  <c r="Y455" i="5"/>
  <c r="Y456" i="5"/>
  <c r="Y457" i="5"/>
  <c r="Y458" i="5"/>
  <c r="Y459" i="5"/>
  <c r="Y460" i="5"/>
  <c r="Y461" i="5"/>
  <c r="Y462" i="5"/>
  <c r="Y463" i="5"/>
  <c r="Y464" i="5"/>
  <c r="Y465" i="5"/>
  <c r="Y466" i="5"/>
  <c r="Y467" i="5"/>
  <c r="Y468" i="5"/>
  <c r="Y469" i="5"/>
  <c r="Y470" i="5"/>
  <c r="Y471" i="5"/>
  <c r="Y472" i="5"/>
  <c r="Y473" i="5"/>
  <c r="Y474" i="5"/>
  <c r="Y475" i="5"/>
  <c r="Y476" i="5"/>
  <c r="Y477" i="5"/>
  <c r="Y478" i="5"/>
  <c r="Y479" i="5"/>
  <c r="Y480" i="5"/>
  <c r="Y481" i="5"/>
  <c r="Y482" i="5"/>
  <c r="Y483" i="5"/>
  <c r="Y484" i="5"/>
  <c r="Y485" i="5"/>
  <c r="Y486" i="5"/>
  <c r="Y487" i="5"/>
  <c r="Y488" i="5"/>
  <c r="Y489" i="5"/>
  <c r="Y490" i="5"/>
  <c r="Y491" i="5"/>
  <c r="Y492" i="5"/>
  <c r="Y493" i="5"/>
  <c r="Y494" i="5"/>
  <c r="Y495" i="5"/>
  <c r="Y496" i="5"/>
  <c r="Y497" i="5"/>
  <c r="Y498" i="5"/>
  <c r="Y499" i="5"/>
  <c r="Y500" i="5"/>
  <c r="Y501" i="5"/>
  <c r="Y502" i="5"/>
  <c r="Y503" i="5"/>
  <c r="Y504" i="5"/>
  <c r="Y505" i="5"/>
  <c r="Y506" i="5"/>
  <c r="Y507" i="5"/>
  <c r="Y508" i="5"/>
  <c r="Y509" i="5"/>
  <c r="Y510" i="5"/>
  <c r="Y511" i="5"/>
  <c r="Y512" i="5"/>
  <c r="Y513" i="5"/>
  <c r="Y514" i="5"/>
  <c r="Y515" i="5"/>
  <c r="Y516" i="5"/>
  <c r="Y517" i="5"/>
  <c r="Y518" i="5"/>
  <c r="Y519" i="5"/>
  <c r="Y520" i="5"/>
  <c r="Y521" i="5"/>
  <c r="Y522" i="5"/>
  <c r="Y523" i="5"/>
  <c r="Y524" i="5"/>
  <c r="Y525" i="5"/>
  <c r="Y526" i="5"/>
  <c r="Y527" i="5"/>
  <c r="Y528" i="5"/>
  <c r="Y529" i="5"/>
  <c r="Y530" i="5"/>
  <c r="Y531" i="5"/>
  <c r="Y532" i="5"/>
  <c r="Y533" i="5"/>
  <c r="Y534" i="5"/>
  <c r="Y535" i="5"/>
  <c r="Y536" i="5"/>
  <c r="Y537" i="5"/>
  <c r="Y538" i="5"/>
  <c r="Y539" i="5"/>
  <c r="Y540" i="5"/>
  <c r="Y541" i="5"/>
  <c r="Y542" i="5"/>
  <c r="Y543" i="5"/>
  <c r="Y544" i="5"/>
  <c r="Y545" i="5"/>
  <c r="Y546" i="5"/>
  <c r="Y547" i="5"/>
  <c r="Y548" i="5"/>
  <c r="Y549" i="5"/>
  <c r="Y550" i="5"/>
  <c r="Y551" i="5"/>
  <c r="Y552" i="5"/>
  <c r="Y553" i="5"/>
  <c r="Y554" i="5"/>
  <c r="Y555" i="5"/>
  <c r="Y556" i="5"/>
  <c r="Y557" i="5"/>
  <c r="Y558" i="5"/>
  <c r="Y559" i="5"/>
  <c r="Y560" i="5"/>
  <c r="Y561" i="5"/>
  <c r="Y562" i="5"/>
  <c r="Y563" i="5"/>
  <c r="Y564" i="5"/>
  <c r="Y565" i="5"/>
  <c r="Y566" i="5"/>
  <c r="Y567" i="5"/>
  <c r="Y568" i="5"/>
  <c r="Y569" i="5"/>
  <c r="Y570" i="5"/>
  <c r="Y571" i="5"/>
  <c r="Y572" i="5"/>
  <c r="Y573" i="5"/>
  <c r="Y574" i="5"/>
  <c r="Y575" i="5"/>
  <c r="Y576" i="5"/>
  <c r="Y577" i="5"/>
  <c r="Y578" i="5"/>
  <c r="Y579" i="5"/>
  <c r="Y580" i="5"/>
  <c r="Y581" i="5"/>
  <c r="Y582" i="5"/>
  <c r="Y583" i="5"/>
  <c r="Y584" i="5"/>
  <c r="Y585" i="5"/>
  <c r="Y586" i="5"/>
  <c r="Y587" i="5"/>
  <c r="Y588" i="5"/>
  <c r="Y589" i="5"/>
  <c r="Y590" i="5"/>
  <c r="Y591" i="5"/>
  <c r="Y592" i="5"/>
  <c r="Y593" i="5"/>
  <c r="Y594" i="5"/>
  <c r="Y595" i="5"/>
  <c r="Y596" i="5"/>
  <c r="Y597" i="5"/>
  <c r="Y598" i="5"/>
  <c r="Y599" i="5"/>
  <c r="Y600" i="5"/>
  <c r="Y601" i="5"/>
  <c r="Y602" i="5"/>
  <c r="Y603" i="5"/>
  <c r="Y604" i="5"/>
  <c r="Y605" i="5"/>
  <c r="Y606" i="5"/>
  <c r="Y607" i="5"/>
  <c r="Y608" i="5"/>
  <c r="Y609" i="5"/>
  <c r="Y610" i="5"/>
  <c r="Y611" i="5"/>
  <c r="Y612" i="5"/>
  <c r="Y613" i="5"/>
  <c r="Y614" i="5"/>
  <c r="Y615" i="5"/>
  <c r="Y616" i="5"/>
  <c r="Y617" i="5"/>
  <c r="Y618" i="5"/>
  <c r="Y619" i="5"/>
  <c r="Y620" i="5"/>
  <c r="Y621" i="5"/>
  <c r="Y622" i="5"/>
  <c r="Y623" i="5"/>
  <c r="Y624" i="5"/>
  <c r="Y625" i="5"/>
  <c r="Y626" i="5"/>
  <c r="Y627" i="5"/>
  <c r="Y628" i="5"/>
  <c r="Y629" i="5"/>
  <c r="Y630" i="5"/>
  <c r="Y631" i="5"/>
  <c r="Y632" i="5"/>
  <c r="Y633" i="5"/>
  <c r="Y634" i="5"/>
  <c r="Y635" i="5"/>
  <c r="Y636" i="5"/>
  <c r="Y637" i="5"/>
  <c r="Y638" i="5"/>
  <c r="Y639" i="5"/>
  <c r="Y640" i="5"/>
  <c r="Y641" i="5"/>
  <c r="Y642" i="5"/>
  <c r="Y643" i="5"/>
  <c r="Y644" i="5"/>
  <c r="Y645" i="5"/>
  <c r="Y646" i="5"/>
  <c r="Y647" i="5"/>
  <c r="Y648" i="5"/>
  <c r="Y649" i="5"/>
  <c r="Y650" i="5"/>
  <c r="Y651" i="5"/>
  <c r="Y652" i="5"/>
  <c r="Y653" i="5"/>
  <c r="Y654" i="5"/>
  <c r="Y655" i="5"/>
  <c r="Y656" i="5"/>
  <c r="Y657" i="5"/>
  <c r="Y658" i="5"/>
  <c r="Y659" i="5"/>
  <c r="Y660" i="5"/>
  <c r="Y661" i="5"/>
  <c r="Y662" i="5"/>
  <c r="Y663" i="5"/>
  <c r="Y664" i="5"/>
  <c r="Y665" i="5"/>
  <c r="Y666" i="5"/>
  <c r="Y667" i="5"/>
  <c r="Y668" i="5"/>
  <c r="Y669" i="5"/>
  <c r="Y670" i="5"/>
  <c r="Y671" i="5"/>
  <c r="Y672" i="5"/>
  <c r="Y673" i="5"/>
  <c r="Y674" i="5"/>
  <c r="Y675" i="5"/>
  <c r="Y676" i="5"/>
  <c r="Y677" i="5"/>
  <c r="Y678" i="5"/>
  <c r="Y679" i="5"/>
  <c r="Y680" i="5"/>
  <c r="Y681" i="5"/>
  <c r="Y682" i="5"/>
  <c r="Y683" i="5"/>
  <c r="Y684" i="5"/>
  <c r="Y685" i="5"/>
  <c r="Y686" i="5"/>
  <c r="Y687" i="5"/>
  <c r="Y688" i="5"/>
  <c r="Y689" i="5"/>
  <c r="Y690" i="5"/>
  <c r="Y691" i="5"/>
  <c r="Y692" i="5"/>
  <c r="Y693" i="5"/>
  <c r="Y694" i="5"/>
  <c r="Y695" i="5"/>
  <c r="Y696" i="5"/>
  <c r="Y697" i="5"/>
  <c r="Y698" i="5"/>
  <c r="Y699" i="5"/>
  <c r="Y700" i="5"/>
  <c r="Y701" i="5"/>
  <c r="Y702" i="5"/>
  <c r="Y703" i="5"/>
  <c r="Y704" i="5"/>
  <c r="Y705" i="5"/>
  <c r="Y706" i="5"/>
  <c r="Y707" i="5"/>
  <c r="Y708" i="5"/>
  <c r="Y709" i="5"/>
  <c r="Y710" i="5"/>
  <c r="Y711" i="5"/>
  <c r="Y712" i="5"/>
  <c r="Y713" i="5"/>
  <c r="Y714" i="5"/>
  <c r="Y715" i="5"/>
  <c r="Y716" i="5"/>
  <c r="Y717" i="5"/>
  <c r="Y718" i="5"/>
  <c r="Y719" i="5"/>
  <c r="Y720" i="5"/>
  <c r="Y2" i="5"/>
  <c r="D706" i="1" l="1"/>
  <c r="I706" i="1"/>
  <c r="I705" i="1"/>
  <c r="I704" i="1"/>
  <c r="I703" i="1"/>
  <c r="I702" i="1"/>
  <c r="I701" i="1"/>
  <c r="I700" i="1"/>
  <c r="I699" i="1"/>
  <c r="I698" i="1"/>
  <c r="W697" i="1"/>
  <c r="I697" i="1"/>
  <c r="W696" i="1"/>
  <c r="I696" i="1"/>
  <c r="W695" i="1"/>
  <c r="I695" i="1"/>
  <c r="I694" i="1"/>
  <c r="I693" i="1"/>
  <c r="I690" i="1"/>
  <c r="I691" i="1"/>
  <c r="I692" i="1"/>
  <c r="G67" i="1" l="1"/>
  <c r="W500" i="1"/>
  <c r="I500" i="1"/>
  <c r="D500" i="1"/>
  <c r="W507" i="1"/>
  <c r="I507" i="1"/>
  <c r="D507" i="1"/>
  <c r="W301" i="1"/>
  <c r="I301" i="1"/>
  <c r="D301" i="1"/>
  <c r="W269" i="1"/>
  <c r="I269" i="1"/>
  <c r="D269" i="1"/>
  <c r="G543" i="1"/>
  <c r="G450" i="1"/>
  <c r="I689" i="1"/>
  <c r="I688" i="1"/>
  <c r="I687" i="1"/>
  <c r="I686" i="1"/>
  <c r="I685" i="1"/>
  <c r="I684" i="1"/>
  <c r="W530" i="1"/>
  <c r="I530" i="1"/>
  <c r="D530" i="1"/>
  <c r="W529" i="1"/>
  <c r="I529" i="1"/>
  <c r="D529" i="1"/>
  <c r="W528" i="1"/>
  <c r="I528" i="1"/>
  <c r="D528" i="1"/>
  <c r="I679" i="1"/>
  <c r="I680" i="1"/>
  <c r="I681" i="1"/>
  <c r="I682" i="1"/>
  <c r="I683" i="1"/>
  <c r="W532" i="1" l="1"/>
  <c r="I532" i="1"/>
  <c r="D532" i="1"/>
  <c r="W531" i="1"/>
  <c r="I531" i="1"/>
  <c r="D531" i="1"/>
  <c r="W527" i="1"/>
  <c r="I527" i="1"/>
  <c r="D527" i="1"/>
  <c r="W535" i="1"/>
  <c r="I535" i="1"/>
  <c r="D535" i="1"/>
  <c r="W534" i="1"/>
  <c r="I534" i="1"/>
  <c r="D534" i="1"/>
  <c r="W533" i="1"/>
  <c r="I533" i="1"/>
  <c r="D533" i="1"/>
  <c r="W57" i="1"/>
  <c r="W393" i="1" l="1"/>
  <c r="W647" i="1"/>
  <c r="W646" i="1"/>
  <c r="W645" i="1"/>
  <c r="W643" i="1"/>
  <c r="W642" i="1"/>
  <c r="W623" i="1"/>
  <c r="W622" i="1"/>
  <c r="W602" i="1"/>
  <c r="W593" i="1"/>
  <c r="W592" i="1"/>
  <c r="W591" i="1"/>
  <c r="W590" i="1"/>
  <c r="W588" i="1"/>
  <c r="W587" i="1"/>
  <c r="W586" i="1"/>
  <c r="W575" i="1"/>
  <c r="W574" i="1"/>
  <c r="W573" i="1"/>
  <c r="W572" i="1"/>
  <c r="W569" i="1"/>
  <c r="W543" i="1"/>
  <c r="W542" i="1"/>
  <c r="W462" i="1"/>
  <c r="W452" i="1"/>
  <c r="W451" i="1"/>
  <c r="W450" i="1"/>
  <c r="W449" i="1"/>
  <c r="W411" i="1"/>
  <c r="W388" i="1"/>
  <c r="W362" i="1"/>
  <c r="W361" i="1"/>
  <c r="W359" i="1"/>
  <c r="W352" i="1"/>
  <c r="W330" i="1"/>
  <c r="W304" i="1"/>
  <c r="W303" i="1"/>
  <c r="W302" i="1"/>
  <c r="W274" i="1"/>
  <c r="W273" i="1"/>
  <c r="W272" i="1"/>
  <c r="W271" i="1"/>
  <c r="W270" i="1"/>
  <c r="W266" i="1"/>
  <c r="W191" i="1"/>
  <c r="W189" i="1"/>
  <c r="W164" i="1"/>
  <c r="W163" i="1"/>
  <c r="W162" i="1"/>
  <c r="W161" i="1"/>
  <c r="W130" i="1"/>
  <c r="W120" i="1"/>
  <c r="W119" i="1"/>
  <c r="W113" i="1"/>
  <c r="W96" i="1"/>
  <c r="W86" i="1"/>
  <c r="W85" i="1"/>
  <c r="W77" i="1"/>
  <c r="W76" i="1"/>
  <c r="W68" i="1"/>
  <c r="W67" i="1"/>
  <c r="W66" i="1"/>
  <c r="W65" i="1"/>
  <c r="W64" i="1"/>
  <c r="W58" i="1"/>
  <c r="W54" i="1"/>
  <c r="W53" i="1"/>
  <c r="W52" i="1"/>
  <c r="W51" i="1"/>
  <c r="W50" i="1"/>
  <c r="W13" i="1"/>
  <c r="W4" i="1"/>
  <c r="W2" i="1"/>
  <c r="W3" i="1"/>
  <c r="W634" i="1" l="1"/>
  <c r="W633" i="1"/>
  <c r="W632" i="1"/>
  <c r="W631" i="1"/>
  <c r="W630" i="1"/>
  <c r="W629" i="1"/>
  <c r="W628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W663" i="1"/>
  <c r="W664" i="1"/>
  <c r="W662" i="1"/>
  <c r="I664" i="1"/>
  <c r="I663" i="1"/>
  <c r="I662" i="1"/>
  <c r="W661" i="1"/>
  <c r="W660" i="1"/>
  <c r="W659" i="1"/>
  <c r="I661" i="1"/>
  <c r="I660" i="1"/>
  <c r="I659" i="1"/>
  <c r="W398" i="1"/>
  <c r="I398" i="1"/>
  <c r="I658" i="1" l="1"/>
  <c r="I657" i="1"/>
  <c r="I656" i="1"/>
  <c r="I655" i="1"/>
  <c r="I654" i="1"/>
  <c r="I653" i="1"/>
  <c r="I652" i="1"/>
  <c r="I651" i="1"/>
  <c r="W650" i="1" l="1"/>
  <c r="I650" i="1"/>
  <c r="W649" i="1"/>
  <c r="I649" i="1"/>
  <c r="W648" i="1"/>
  <c r="I648" i="1"/>
  <c r="I647" i="1"/>
  <c r="I646" i="1"/>
  <c r="D303" i="1"/>
  <c r="I303" i="1"/>
  <c r="D304" i="1"/>
  <c r="I304" i="1"/>
  <c r="I645" i="1"/>
  <c r="D645" i="1"/>
  <c r="I644" i="1"/>
  <c r="D644" i="1"/>
  <c r="G466" i="1"/>
  <c r="I466" i="1"/>
  <c r="W504" i="1" l="1"/>
  <c r="I504" i="1"/>
  <c r="D504" i="1"/>
  <c r="W514" i="1"/>
  <c r="I514" i="1"/>
  <c r="D514" i="1"/>
  <c r="I272" i="1"/>
  <c r="D272" i="1"/>
  <c r="I271" i="1"/>
  <c r="D271" i="1"/>
  <c r="D266" i="1" l="1"/>
  <c r="I641" i="1"/>
  <c r="I640" i="1"/>
  <c r="I639" i="1"/>
  <c r="I638" i="1"/>
  <c r="W637" i="1" l="1"/>
  <c r="I637" i="1"/>
  <c r="W636" i="1"/>
  <c r="I636" i="1"/>
  <c r="W635" i="1"/>
  <c r="I635" i="1"/>
  <c r="I634" i="1"/>
  <c r="I633" i="1"/>
  <c r="I632" i="1"/>
  <c r="I631" i="1"/>
  <c r="I630" i="1"/>
  <c r="I629" i="1"/>
  <c r="I628" i="1"/>
  <c r="W141" i="1"/>
  <c r="W142" i="1"/>
  <c r="W627" i="1" l="1"/>
  <c r="I627" i="1"/>
  <c r="W626" i="1"/>
  <c r="I626" i="1"/>
  <c r="W625" i="1"/>
  <c r="I625" i="1"/>
  <c r="W349" i="1"/>
  <c r="W350" i="1"/>
  <c r="W351" i="1"/>
  <c r="W560" i="1"/>
  <c r="W561" i="1"/>
  <c r="W562" i="1"/>
  <c r="W563" i="1"/>
  <c r="W564" i="1"/>
  <c r="W559" i="1"/>
  <c r="W472" i="1"/>
  <c r="W471" i="1"/>
  <c r="W470" i="1"/>
  <c r="W465" i="1"/>
  <c r="W464" i="1"/>
  <c r="W463" i="1"/>
  <c r="W424" i="1"/>
  <c r="W423" i="1"/>
  <c r="W422" i="1"/>
  <c r="W612" i="1"/>
  <c r="W611" i="1"/>
  <c r="W610" i="1"/>
  <c r="W603" i="1"/>
  <c r="W601" i="1"/>
  <c r="W600" i="1"/>
  <c r="W599" i="1"/>
  <c r="W598" i="1"/>
  <c r="W597" i="1"/>
  <c r="W596" i="1"/>
  <c r="W595" i="1"/>
  <c r="W594" i="1"/>
  <c r="W585" i="1"/>
  <c r="W584" i="1"/>
  <c r="W582" i="1"/>
  <c r="W581" i="1"/>
  <c r="W580" i="1"/>
  <c r="W579" i="1"/>
  <c r="W578" i="1"/>
  <c r="W576" i="1"/>
  <c r="W571" i="1"/>
  <c r="W570" i="1"/>
  <c r="W555" i="1"/>
  <c r="W554" i="1"/>
  <c r="W553" i="1"/>
  <c r="W552" i="1"/>
  <c r="W551" i="1"/>
  <c r="W550" i="1"/>
  <c r="W538" i="1"/>
  <c r="W537" i="1"/>
  <c r="W536" i="1"/>
  <c r="W418" i="1"/>
  <c r="W417" i="1"/>
  <c r="W416" i="1"/>
  <c r="W415" i="1"/>
  <c r="W410" i="1"/>
  <c r="W409" i="1"/>
  <c r="W403" i="1"/>
  <c r="W397" i="1"/>
  <c r="W395" i="1"/>
  <c r="W394" i="1"/>
  <c r="W367" i="1"/>
  <c r="W366" i="1"/>
  <c r="W365" i="1"/>
  <c r="W364" i="1"/>
  <c r="W360" i="1"/>
  <c r="W313" i="1"/>
  <c r="W312" i="1"/>
  <c r="W311" i="1"/>
  <c r="W310" i="1"/>
  <c r="W309" i="1"/>
  <c r="W308" i="1"/>
  <c r="W307" i="1"/>
  <c r="W306" i="1"/>
  <c r="W305" i="1"/>
  <c r="W268" i="1"/>
  <c r="W267" i="1"/>
  <c r="W247" i="1"/>
  <c r="W237" i="1"/>
  <c r="W236" i="1"/>
  <c r="W235" i="1"/>
  <c r="W234" i="1"/>
  <c r="W232" i="1"/>
  <c r="W231" i="1"/>
  <c r="W230" i="1"/>
  <c r="W229" i="1"/>
  <c r="W228" i="1"/>
  <c r="W227" i="1"/>
  <c r="W226" i="1"/>
  <c r="W225" i="1"/>
  <c r="W224" i="1"/>
  <c r="W223" i="1"/>
  <c r="W197" i="1"/>
  <c r="W196" i="1"/>
  <c r="W195" i="1"/>
  <c r="W185" i="1"/>
  <c r="W184" i="1"/>
  <c r="W183" i="1"/>
  <c r="W182" i="1"/>
  <c r="W181" i="1"/>
  <c r="W180" i="1"/>
  <c r="W179" i="1"/>
  <c r="W178" i="1"/>
  <c r="W177" i="1"/>
  <c r="W160" i="1"/>
  <c r="W159" i="1"/>
  <c r="W158" i="1"/>
  <c r="W157" i="1"/>
  <c r="W156" i="1"/>
  <c r="W149" i="1"/>
  <c r="W129" i="1"/>
  <c r="W128" i="1"/>
  <c r="W127" i="1"/>
  <c r="W126" i="1"/>
  <c r="W125" i="1"/>
  <c r="W124" i="1"/>
  <c r="W123" i="1"/>
  <c r="W122" i="1"/>
  <c r="W121" i="1"/>
  <c r="W114" i="1"/>
  <c r="W89" i="1"/>
  <c r="W88" i="1"/>
  <c r="W87" i="1"/>
  <c r="W75" i="1"/>
  <c r="W74" i="1"/>
  <c r="W73" i="1"/>
  <c r="W69" i="1"/>
  <c r="W61" i="1"/>
  <c r="W60" i="1"/>
  <c r="W59" i="1"/>
  <c r="W43" i="1"/>
  <c r="W36" i="1"/>
  <c r="W35" i="1"/>
  <c r="W34" i="1"/>
  <c r="W12" i="1"/>
  <c r="W11" i="1"/>
  <c r="W10" i="1"/>
  <c r="W9" i="1"/>
  <c r="W8" i="1"/>
  <c r="W621" i="1"/>
  <c r="W620" i="1"/>
  <c r="W619" i="1"/>
  <c r="W615" i="1"/>
  <c r="W614" i="1"/>
  <c r="W613" i="1"/>
  <c r="W609" i="1"/>
  <c r="W608" i="1"/>
  <c r="W607" i="1"/>
  <c r="W606" i="1"/>
  <c r="W605" i="1"/>
  <c r="W604" i="1"/>
  <c r="W567" i="1"/>
  <c r="W566" i="1"/>
  <c r="W565" i="1"/>
  <c r="W558" i="1"/>
  <c r="W557" i="1"/>
  <c r="W556" i="1"/>
  <c r="W549" i="1"/>
  <c r="W548" i="1"/>
  <c r="W547" i="1"/>
  <c r="W541" i="1"/>
  <c r="W540" i="1"/>
  <c r="W539" i="1"/>
  <c r="W526" i="1"/>
  <c r="W525" i="1"/>
  <c r="W524" i="1"/>
  <c r="W520" i="1"/>
  <c r="W519" i="1"/>
  <c r="W518" i="1"/>
  <c r="W517" i="1"/>
  <c r="W516" i="1"/>
  <c r="W513" i="1"/>
  <c r="W512" i="1"/>
  <c r="W510" i="1"/>
  <c r="W509" i="1"/>
  <c r="W493" i="1"/>
  <c r="W492" i="1"/>
  <c r="W491" i="1"/>
  <c r="W490" i="1"/>
  <c r="W489" i="1"/>
  <c r="W488" i="1"/>
  <c r="W487" i="1"/>
  <c r="W486" i="1"/>
  <c r="W485" i="1"/>
  <c r="W484" i="1"/>
  <c r="W483" i="1"/>
  <c r="W482" i="1"/>
  <c r="W481" i="1"/>
  <c r="W480" i="1"/>
  <c r="W479" i="1"/>
  <c r="W478" i="1"/>
  <c r="W477" i="1"/>
  <c r="W476" i="1"/>
  <c r="W475" i="1"/>
  <c r="W474" i="1"/>
  <c r="W473" i="1"/>
  <c r="W457" i="1"/>
  <c r="W456" i="1"/>
  <c r="W455" i="1"/>
  <c r="W454" i="1"/>
  <c r="W453" i="1"/>
  <c r="W445" i="1"/>
  <c r="W444" i="1"/>
  <c r="W443" i="1"/>
  <c r="W442" i="1"/>
  <c r="W441" i="1"/>
  <c r="W440" i="1"/>
  <c r="W439" i="1"/>
  <c r="W438" i="1"/>
  <c r="W437" i="1"/>
  <c r="W436" i="1"/>
  <c r="W435" i="1"/>
  <c r="W434" i="1"/>
  <c r="W433" i="1"/>
  <c r="W432" i="1"/>
  <c r="W431" i="1"/>
  <c r="W430" i="1"/>
  <c r="W429" i="1"/>
  <c r="W428" i="1"/>
  <c r="W427" i="1"/>
  <c r="W426" i="1"/>
  <c r="W425" i="1"/>
  <c r="W421" i="1"/>
  <c r="W387" i="1"/>
  <c r="W386" i="1"/>
  <c r="W385" i="1"/>
  <c r="W384" i="1"/>
  <c r="W383" i="1"/>
  <c r="W382" i="1"/>
  <c r="W381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58" i="1"/>
  <c r="W357" i="1"/>
  <c r="W356" i="1"/>
  <c r="W355" i="1"/>
  <c r="W354" i="1"/>
  <c r="W353" i="1"/>
  <c r="W348" i="1"/>
  <c r="W347" i="1"/>
  <c r="W346" i="1"/>
  <c r="W345" i="1"/>
  <c r="W344" i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31" i="1"/>
  <c r="W329" i="1"/>
  <c r="W328" i="1"/>
  <c r="W327" i="1"/>
  <c r="W326" i="1"/>
  <c r="W325" i="1"/>
  <c r="W324" i="1"/>
  <c r="W300" i="1"/>
  <c r="W299" i="1"/>
  <c r="W298" i="1"/>
  <c r="W297" i="1"/>
  <c r="W296" i="1"/>
  <c r="W295" i="1"/>
  <c r="W294" i="1"/>
  <c r="W293" i="1"/>
  <c r="W292" i="1"/>
  <c r="W291" i="1"/>
  <c r="W290" i="1"/>
  <c r="W289" i="1"/>
  <c r="W288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56" i="1"/>
  <c r="W255" i="1"/>
  <c r="W254" i="1"/>
  <c r="W253" i="1"/>
  <c r="W252" i="1"/>
  <c r="W251" i="1"/>
  <c r="W250" i="1"/>
  <c r="W249" i="1"/>
  <c r="W248" i="1"/>
  <c r="W243" i="1"/>
  <c r="W242" i="1"/>
  <c r="W241" i="1"/>
  <c r="W240" i="1"/>
  <c r="W239" i="1"/>
  <c r="W238" i="1"/>
  <c r="W218" i="1"/>
  <c r="W217" i="1"/>
  <c r="W216" i="1"/>
  <c r="W215" i="1"/>
  <c r="W214" i="1"/>
  <c r="W213" i="1"/>
  <c r="W212" i="1"/>
  <c r="W211" i="1"/>
  <c r="W210" i="1"/>
  <c r="W209" i="1"/>
  <c r="W208" i="1"/>
  <c r="W207" i="1"/>
  <c r="W206" i="1"/>
  <c r="W205" i="1"/>
  <c r="W194" i="1"/>
  <c r="W193" i="1"/>
  <c r="W192" i="1"/>
  <c r="W188" i="1"/>
  <c r="W187" i="1"/>
  <c r="W186" i="1"/>
  <c r="W176" i="1"/>
  <c r="W175" i="1"/>
  <c r="W174" i="1"/>
  <c r="W173" i="1"/>
  <c r="W172" i="1"/>
  <c r="W171" i="1"/>
  <c r="W168" i="1"/>
  <c r="W152" i="1"/>
  <c r="W151" i="1"/>
  <c r="W150" i="1"/>
  <c r="W148" i="1"/>
  <c r="W147" i="1"/>
  <c r="W146" i="1"/>
  <c r="W140" i="1"/>
  <c r="W139" i="1"/>
  <c r="W138" i="1"/>
  <c r="W137" i="1"/>
  <c r="W136" i="1"/>
  <c r="W135" i="1"/>
  <c r="W134" i="1"/>
  <c r="W133" i="1"/>
  <c r="W132" i="1"/>
  <c r="W131" i="1"/>
  <c r="W118" i="1"/>
  <c r="W117" i="1"/>
  <c r="W116" i="1"/>
  <c r="W115" i="1"/>
  <c r="W112" i="1"/>
  <c r="W111" i="1"/>
  <c r="W110" i="1"/>
  <c r="W109" i="1"/>
  <c r="W108" i="1"/>
  <c r="W107" i="1"/>
  <c r="W104" i="1"/>
  <c r="W103" i="1"/>
  <c r="W102" i="1"/>
  <c r="W101" i="1"/>
  <c r="W100" i="1"/>
  <c r="W99" i="1"/>
  <c r="W98" i="1"/>
  <c r="W97" i="1"/>
  <c r="W95" i="1"/>
  <c r="W94" i="1"/>
  <c r="W93" i="1"/>
  <c r="W92" i="1"/>
  <c r="W83" i="1"/>
  <c r="W82" i="1"/>
  <c r="W81" i="1"/>
  <c r="W80" i="1"/>
  <c r="W79" i="1"/>
  <c r="W78" i="1"/>
  <c r="W72" i="1"/>
  <c r="W71" i="1"/>
  <c r="W70" i="1"/>
  <c r="W49" i="1"/>
  <c r="W48" i="1"/>
  <c r="W46" i="1"/>
  <c r="W45" i="1"/>
  <c r="W44" i="1"/>
  <c r="W42" i="1"/>
  <c r="W41" i="1"/>
  <c r="W40" i="1"/>
  <c r="W39" i="1"/>
  <c r="W38" i="1"/>
  <c r="W37" i="1"/>
  <c r="W33" i="1"/>
  <c r="W32" i="1"/>
  <c r="W31" i="1"/>
  <c r="W30" i="1"/>
  <c r="W29" i="1"/>
  <c r="W28" i="1"/>
  <c r="W27" i="1"/>
  <c r="W26" i="1"/>
  <c r="W25" i="1"/>
  <c r="W24" i="1"/>
  <c r="W23" i="1"/>
  <c r="W16" i="1"/>
  <c r="W15" i="1"/>
  <c r="W14" i="1"/>
  <c r="I30" i="1"/>
  <c r="I16" i="1"/>
  <c r="I15" i="1"/>
  <c r="I14" i="1"/>
  <c r="I213" i="1"/>
  <c r="I210" i="1"/>
  <c r="I581" i="1" l="1"/>
  <c r="D581" i="1"/>
  <c r="I582" i="1"/>
  <c r="D582" i="1"/>
  <c r="W618" i="1" l="1"/>
  <c r="W617" i="1"/>
  <c r="W616" i="1"/>
  <c r="W523" i="1"/>
  <c r="W522" i="1"/>
  <c r="W521" i="1"/>
  <c r="W515" i="1"/>
  <c r="W511" i="1"/>
  <c r="W508" i="1"/>
  <c r="W506" i="1"/>
  <c r="W505" i="1"/>
  <c r="W503" i="1"/>
  <c r="W502" i="1"/>
  <c r="W501" i="1"/>
  <c r="W499" i="1"/>
  <c r="W414" i="1"/>
  <c r="W413" i="1"/>
  <c r="W412" i="1"/>
  <c r="W363" i="1"/>
  <c r="W323" i="1"/>
  <c r="W322" i="1"/>
  <c r="W321" i="1"/>
  <c r="W320" i="1"/>
  <c r="W319" i="1"/>
  <c r="W318" i="1"/>
  <c r="W317" i="1"/>
  <c r="W316" i="1"/>
  <c r="W315" i="1"/>
  <c r="W246" i="1"/>
  <c r="W245" i="1"/>
  <c r="W244" i="1"/>
  <c r="W222" i="1"/>
  <c r="W221" i="1"/>
  <c r="W220" i="1"/>
  <c r="W219" i="1"/>
  <c r="W200" i="1"/>
  <c r="W199" i="1"/>
  <c r="W198" i="1"/>
  <c r="W190" i="1"/>
  <c r="W170" i="1"/>
  <c r="W169" i="1"/>
  <c r="W155" i="1"/>
  <c r="W154" i="1"/>
  <c r="W153" i="1"/>
  <c r="W145" i="1"/>
  <c r="W144" i="1"/>
  <c r="W143" i="1"/>
  <c r="W106" i="1"/>
  <c r="W105" i="1"/>
  <c r="W91" i="1"/>
  <c r="W90" i="1"/>
  <c r="W63" i="1"/>
  <c r="W62" i="1"/>
  <c r="W56" i="1"/>
  <c r="W22" i="1"/>
  <c r="W21" i="1"/>
  <c r="W20" i="1"/>
  <c r="W7" i="1"/>
  <c r="W6" i="1"/>
  <c r="W5" i="1"/>
  <c r="I166" i="1" l="1"/>
  <c r="I624" i="1"/>
  <c r="D624" i="1"/>
  <c r="I119" i="1"/>
  <c r="I113" i="1"/>
  <c r="I302" i="1"/>
  <c r="D302" i="1"/>
  <c r="I50" i="1" l="1"/>
  <c r="I51" i="1"/>
  <c r="I5" i="1"/>
  <c r="I6" i="1"/>
  <c r="I7" i="1"/>
  <c r="I8" i="1"/>
  <c r="I9" i="1"/>
  <c r="I10" i="1"/>
  <c r="I11" i="1"/>
  <c r="I12" i="1"/>
  <c r="I330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8" i="1"/>
  <c r="I49" i="1"/>
  <c r="I52" i="1"/>
  <c r="I53" i="1"/>
  <c r="I361" i="1"/>
  <c r="I411" i="1"/>
  <c r="I450" i="1"/>
  <c r="I56" i="1"/>
  <c r="I57" i="1"/>
  <c r="I130" i="1"/>
  <c r="I59" i="1"/>
  <c r="I60" i="1"/>
  <c r="I61" i="1"/>
  <c r="I62" i="1"/>
  <c r="I63" i="1"/>
  <c r="I452" i="1"/>
  <c r="I2" i="1"/>
  <c r="I162" i="1"/>
  <c r="I574" i="1"/>
  <c r="I66" i="1"/>
  <c r="I575" i="1"/>
  <c r="I69" i="1"/>
  <c r="I70" i="1"/>
  <c r="I71" i="1"/>
  <c r="I72" i="1"/>
  <c r="I73" i="1"/>
  <c r="I74" i="1"/>
  <c r="I75" i="1"/>
  <c r="I3" i="1"/>
  <c r="I4" i="1"/>
  <c r="I78" i="1"/>
  <c r="I79" i="1"/>
  <c r="I80" i="1"/>
  <c r="I81" i="1"/>
  <c r="I82" i="1"/>
  <c r="I83" i="1"/>
  <c r="I67" i="1"/>
  <c r="I68" i="1"/>
  <c r="I76" i="1"/>
  <c r="I87" i="1"/>
  <c r="I88" i="1"/>
  <c r="I89" i="1"/>
  <c r="I90" i="1"/>
  <c r="I91" i="1"/>
  <c r="I92" i="1"/>
  <c r="I93" i="1"/>
  <c r="I94" i="1"/>
  <c r="I95" i="1"/>
  <c r="I163" i="1"/>
  <c r="I164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96" i="1"/>
  <c r="I114" i="1"/>
  <c r="I115" i="1"/>
  <c r="I116" i="1"/>
  <c r="I117" i="1"/>
  <c r="I118" i="1"/>
  <c r="I54" i="1"/>
  <c r="I161" i="1"/>
  <c r="I121" i="1"/>
  <c r="I122" i="1"/>
  <c r="I123" i="1"/>
  <c r="I124" i="1"/>
  <c r="I125" i="1"/>
  <c r="I126" i="1"/>
  <c r="I127" i="1"/>
  <c r="I128" i="1"/>
  <c r="I129" i="1"/>
  <c r="I13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462" i="1"/>
  <c r="I588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90" i="1"/>
  <c r="I352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1" i="1"/>
  <c r="I212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359" i="1"/>
  <c r="I267" i="1"/>
  <c r="I268" i="1"/>
  <c r="I573" i="1"/>
  <c r="I602" i="1"/>
  <c r="I622" i="1"/>
  <c r="I623" i="1"/>
  <c r="I642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189" i="1"/>
  <c r="I542" i="1"/>
  <c r="I587" i="1"/>
  <c r="I572" i="1"/>
  <c r="I305" i="1"/>
  <c r="I306" i="1"/>
  <c r="I307" i="1"/>
  <c r="I308" i="1"/>
  <c r="I309" i="1"/>
  <c r="I310" i="1"/>
  <c r="I311" i="1"/>
  <c r="I312" i="1"/>
  <c r="I313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592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643" i="1"/>
  <c r="I353" i="1"/>
  <c r="I354" i="1"/>
  <c r="I355" i="1"/>
  <c r="I356" i="1"/>
  <c r="I357" i="1"/>
  <c r="I358" i="1"/>
  <c r="I58" i="1"/>
  <c r="I360" i="1"/>
  <c r="I120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191" i="1"/>
  <c r="I389" i="1"/>
  <c r="I390" i="1"/>
  <c r="I391" i="1"/>
  <c r="I392" i="1"/>
  <c r="I393" i="1"/>
  <c r="I394" i="1"/>
  <c r="I395" i="1"/>
  <c r="I396" i="1"/>
  <c r="I397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86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40" i="1" l="1"/>
  <c r="I618" i="1" l="1"/>
  <c r="I617" i="1"/>
  <c r="I616" i="1"/>
  <c r="I487" i="1" l="1"/>
  <c r="D487" i="1"/>
  <c r="I486" i="1"/>
  <c r="D486" i="1"/>
  <c r="I485" i="1"/>
  <c r="D485" i="1"/>
  <c r="W400" i="1"/>
  <c r="W399" i="1"/>
  <c r="W402" i="1"/>
  <c r="W401" i="1"/>
  <c r="W408" i="1"/>
  <c r="W407" i="1"/>
  <c r="W406" i="1"/>
  <c r="W405" i="1"/>
  <c r="W404" i="1"/>
  <c r="W396" i="1"/>
  <c r="W392" i="1"/>
  <c r="W391" i="1"/>
  <c r="W390" i="1"/>
  <c r="W389" i="1"/>
  <c r="G20" i="3" l="1"/>
  <c r="C22" i="3" l="1"/>
  <c r="C25" i="3" s="1"/>
  <c r="H20" i="3"/>
  <c r="I600" i="1" l="1"/>
  <c r="I601" i="1"/>
  <c r="I593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77" i="1"/>
  <c r="I65" i="1"/>
  <c r="G64" i="1"/>
  <c r="I446" i="1"/>
  <c r="D476" i="1"/>
  <c r="D586" i="1" l="1"/>
  <c r="D270" i="1"/>
  <c r="D590" i="1"/>
  <c r="D591" i="1"/>
  <c r="D85" i="1"/>
  <c r="D594" i="1"/>
  <c r="D595" i="1"/>
  <c r="D596" i="1"/>
  <c r="D597" i="1"/>
  <c r="D598" i="1"/>
  <c r="D599" i="1"/>
  <c r="I586" i="1"/>
  <c r="I266" i="1"/>
  <c r="I270" i="1"/>
  <c r="I590" i="1"/>
  <c r="I591" i="1"/>
  <c r="I85" i="1"/>
  <c r="I594" i="1"/>
  <c r="I595" i="1"/>
  <c r="I596" i="1"/>
  <c r="I597" i="1"/>
  <c r="I598" i="1"/>
  <c r="I599" i="1"/>
  <c r="D569" i="1" l="1"/>
  <c r="D570" i="1"/>
  <c r="D571" i="1"/>
  <c r="D576" i="1"/>
  <c r="D578" i="1"/>
  <c r="D579" i="1"/>
  <c r="D580" i="1"/>
  <c r="D584" i="1"/>
  <c r="D585" i="1"/>
  <c r="I569" i="1" l="1"/>
  <c r="I570" i="1"/>
  <c r="I571" i="1"/>
  <c r="I576" i="1"/>
  <c r="I578" i="1"/>
  <c r="I579" i="1"/>
  <c r="I580" i="1"/>
  <c r="I584" i="1"/>
  <c r="I585" i="1"/>
  <c r="I539" i="1" l="1"/>
  <c r="I540" i="1"/>
  <c r="I541" i="1"/>
  <c r="I543" i="1"/>
  <c r="I449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469" i="1" l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1" i="1"/>
  <c r="I502" i="1"/>
  <c r="I503" i="1"/>
  <c r="I505" i="1"/>
  <c r="I506" i="1"/>
  <c r="I508" i="1"/>
  <c r="I509" i="1"/>
  <c r="I510" i="1"/>
  <c r="I511" i="1"/>
  <c r="I512" i="1"/>
  <c r="I513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36" i="1"/>
  <c r="I537" i="1"/>
  <c r="I538" i="1"/>
  <c r="D469" i="1"/>
  <c r="D470" i="1"/>
  <c r="D471" i="1"/>
  <c r="D472" i="1"/>
  <c r="D473" i="1"/>
  <c r="D474" i="1"/>
  <c r="D475" i="1"/>
  <c r="D477" i="1"/>
  <c r="D478" i="1"/>
  <c r="D479" i="1"/>
  <c r="D480" i="1"/>
  <c r="D481" i="1"/>
  <c r="D482" i="1"/>
  <c r="D483" i="1"/>
  <c r="D484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1" i="1"/>
  <c r="D502" i="1"/>
  <c r="D503" i="1"/>
  <c r="D505" i="1"/>
  <c r="D506" i="1"/>
  <c r="D508" i="1"/>
  <c r="D509" i="1"/>
  <c r="D510" i="1"/>
  <c r="D511" i="1"/>
  <c r="D512" i="1"/>
  <c r="D513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36" i="1"/>
  <c r="D537" i="1"/>
  <c r="D538" i="1"/>
  <c r="I451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1" i="1"/>
  <c r="I442" i="1"/>
  <c r="I443" i="1"/>
  <c r="I444" i="1"/>
  <c r="I445" i="1"/>
  <c r="I447" i="1"/>
  <c r="I448" i="1"/>
  <c r="I388" i="1"/>
  <c r="I273" i="1"/>
  <c r="I274" i="1"/>
  <c r="I362" i="1"/>
  <c r="I453" i="1"/>
  <c r="I454" i="1"/>
  <c r="I455" i="1"/>
  <c r="I456" i="1"/>
  <c r="I457" i="1"/>
  <c r="I458" i="1"/>
  <c r="I459" i="1"/>
  <c r="I460" i="1"/>
  <c r="I461" i="1"/>
  <c r="I64" i="1"/>
  <c r="I463" i="1"/>
  <c r="I464" i="1"/>
  <c r="I465" i="1"/>
  <c r="I467" i="1"/>
  <c r="I468" i="1"/>
</calcChain>
</file>

<file path=xl/sharedStrings.xml><?xml version="1.0" encoding="utf-8"?>
<sst xmlns="http://schemas.openxmlformats.org/spreadsheetml/2006/main" count="14569" uniqueCount="2796">
  <si>
    <t>SO</t>
  </si>
  <si>
    <t>AMNEAL PHARMACEUTICALS PVT LTD</t>
  </si>
  <si>
    <t>B-10ML RSP WHITE R2 (L)-ET</t>
  </si>
  <si>
    <t>C-TS RSP R2 2.0 PINK 64C-ET</t>
  </si>
  <si>
    <t>CR-33-WHT1-SG75M/0.035PRT(WHT)</t>
  </si>
  <si>
    <t>STRIDES PHARMA SCIENCE  LTD- B</t>
  </si>
  <si>
    <t>CR-33MM HS123/0.020 (WHT)</t>
  </si>
  <si>
    <t>DR.REDDY'S LABORATORIES LTD</t>
  </si>
  <si>
    <t>CR-33MM CR III 035/35 WLP(RED)</t>
  </si>
  <si>
    <t>CR-38MM HS 035/35 WLP (RED)</t>
  </si>
  <si>
    <t>Dr.Reddy' Laboratories Ltd- FT</t>
  </si>
  <si>
    <t>N-OPEN RSP NATURAL(L)-ET</t>
  </si>
  <si>
    <t>C-TS RSP R2 2.0 WHT 64C (H)-GS</t>
  </si>
  <si>
    <t>PIRAMAL PHARMA LTD</t>
  </si>
  <si>
    <t>SENTISS PHARMA PVT LTD</t>
  </si>
  <si>
    <t>B-5ML RSP WHITE 48C(L)-ET</t>
  </si>
  <si>
    <t>CIPLA/IND-IV/PHARMA/SEZ SEZ</t>
  </si>
  <si>
    <t>CR-33MM BLUE2945C HS130/020BLK</t>
  </si>
  <si>
    <t>N-OPEN RSP NATURAL-64C(L)-ET</t>
  </si>
  <si>
    <t>DR.REDDY'S LABORATORIES LTD -</t>
  </si>
  <si>
    <t>N-OPEN RSP 60MLTR NAT EZI-GS</t>
  </si>
  <si>
    <t>B-5ML RSP WHITE R2 48C(L)-ET</t>
  </si>
  <si>
    <t>B-15ML RSP WHITE R2 (L)-ET</t>
  </si>
  <si>
    <t>C-TAMPSAFE "I" WHITE (H)-GS</t>
  </si>
  <si>
    <t>B-5ML RSP NATURAL R2 NEW(L)-GS</t>
  </si>
  <si>
    <t>B-5ML RSP WHITE R2 NEW (L)-GS</t>
  </si>
  <si>
    <t>GLENMARK PHARMACEUTICALS LIMIT</t>
  </si>
  <si>
    <t>CR-38MM HS123/0.020 (WHT)</t>
  </si>
  <si>
    <t>Medical and Cosmetic products</t>
  </si>
  <si>
    <t>B-10ML RSP White -18C(L)-GS</t>
  </si>
  <si>
    <t>C-TAMPSAFE RSP WHITE(H)NEW-GS</t>
  </si>
  <si>
    <t>N-OPEN RSP WHITE (L)-GS</t>
  </si>
  <si>
    <t>N-OPEN RSP WHITE 64C(L)-ET</t>
  </si>
  <si>
    <t>OP-25000001</t>
  </si>
  <si>
    <t>C-TS RSP R22.0 PINK310239 E-GS</t>
  </si>
  <si>
    <t>CIPLA/PTG-II/PHARMA/EOU</t>
  </si>
  <si>
    <t>CR-38MM BLUE2945CHS130/020 BLK</t>
  </si>
  <si>
    <t>Alembic Pharmaceuticals Ltd,Fo</t>
  </si>
  <si>
    <t>B-10ML "I" WHITE-16C (L)-GS</t>
  </si>
  <si>
    <t>N-OPEN "I" NAT NEW 48C (L)-GS</t>
  </si>
  <si>
    <t>3085/OP</t>
  </si>
  <si>
    <t>DifGen Pharmaceuticals Private</t>
  </si>
  <si>
    <t>STERIL GENE LIFE SCIENCES PVT</t>
  </si>
  <si>
    <t>N-OPEN RSP-60MCL WHT 24C(L)-ET</t>
  </si>
  <si>
    <t>ONESOURCE SPECIALTY PHARMA LIM</t>
  </si>
  <si>
    <t>Strides Pharma Science Limited</t>
  </si>
  <si>
    <t>CR-38MM 035 FS 5-4 (RED)</t>
  </si>
  <si>
    <t>B-10ML RG WHITE 16C (L)-GS</t>
  </si>
  <si>
    <t>IPOP250510</t>
  </si>
  <si>
    <t>INDIANA OPHTHALMICS LLP</t>
  </si>
  <si>
    <t>C-TAMPSAFE SS(R) WHITE(H)-GS</t>
  </si>
  <si>
    <t>N-OPEN RG WHITE 64C (L)-GS</t>
  </si>
  <si>
    <t>CIPLA LTD - KURKUMBH</t>
  </si>
  <si>
    <t>PO/25-26/ 032</t>
  </si>
  <si>
    <t>LN LABORATORIES PRIVATE LIMITE</t>
  </si>
  <si>
    <t>C-TAMPSAFE RSP WHITE (H)-GS</t>
  </si>
  <si>
    <t>N-OPEN RSP NATURAL-64C(L)-GS</t>
  </si>
  <si>
    <t>PO/25-26/1428</t>
  </si>
  <si>
    <t>AUROLAB</t>
  </si>
  <si>
    <t>N-BLOCK RG NATURAL (L)-GS</t>
  </si>
  <si>
    <t>B-5ML RSP WHITE R2 48C(L)-GS</t>
  </si>
  <si>
    <t>B-5ML RSP NATURAL R2 48C(L)-GS</t>
  </si>
  <si>
    <t>CR-33MM HS035/35 WLP (RED)</t>
  </si>
  <si>
    <t>IPOP250719</t>
  </si>
  <si>
    <t>PHRPL/2025-26/063</t>
  </si>
  <si>
    <t>PRONTGEN HEALTH REMEDIES PRIVA</t>
  </si>
  <si>
    <t>B-10ML RSP WHITE R2 16C (L)-NS</t>
  </si>
  <si>
    <t>C-TS RSP R2 2.0 WHT 64C (H)-NS</t>
  </si>
  <si>
    <t>N-OPEN RSP WHITE 64C(L)-NS</t>
  </si>
  <si>
    <t>IPOP250752</t>
  </si>
  <si>
    <t>IPOP250753</t>
  </si>
  <si>
    <t>MANKIND PHARMA LTD-UNIT 3</t>
  </si>
  <si>
    <t>N-RISDROP 45 mcL NAT ASSY-ET</t>
  </si>
  <si>
    <t>B-5ML RG WHITE -12C (L)-GS</t>
  </si>
  <si>
    <t>STERICON PHARMA PVT LTD</t>
  </si>
  <si>
    <t>B-15ML EX.RG WHITE (L) 16C-GS</t>
  </si>
  <si>
    <t>N-OPEN RG NATURAL 64C(L)-GS</t>
  </si>
  <si>
    <t>FDC LIMITED, Sinnar, Formulati</t>
  </si>
  <si>
    <t>C-TAMPLOCK WHITE (H)-NS</t>
  </si>
  <si>
    <t>N-BLOCK RG NATURAL (L)-NS</t>
  </si>
  <si>
    <t>25-26/PO/01369</t>
  </si>
  <si>
    <t>C-TAMPSAFE "O" WHITE-24C(H)-ET</t>
  </si>
  <si>
    <t>B-5ML RSP WHITE 48C(L)-GS</t>
  </si>
  <si>
    <t>B-5ML "O" WHITE 48C(L)-ET</t>
  </si>
  <si>
    <t>SIDPO26-286</t>
  </si>
  <si>
    <t>SUNWAYS (INDIA) PRIVATE LIMITE</t>
  </si>
  <si>
    <t>SUNWAYS ROHTO PHARMACEUTICAL (</t>
  </si>
  <si>
    <t>C-DOUBLE SAFE NX ORANGE(H)-ET</t>
  </si>
  <si>
    <t>STRIDES PHARMA SCIENCE LIMITED</t>
  </si>
  <si>
    <t>RUBICON RESEARCH LTD</t>
  </si>
  <si>
    <t>RUBICON  RESEARCH LIMITED</t>
  </si>
  <si>
    <t>CR-28-WHT1-HS123/.020(WHT)</t>
  </si>
  <si>
    <t>25-26/PO/01753</t>
  </si>
  <si>
    <t>LRC/PO/2025-26/132</t>
  </si>
  <si>
    <t>LLOYD RESEARCH CENTRE PRIVATE</t>
  </si>
  <si>
    <t>B-4ML RSP WHITE R2 (L)-GS</t>
  </si>
  <si>
    <t>LAURUS LABS LIMITED- SEZ UNIT</t>
  </si>
  <si>
    <t>EUGIA PHARMA SPECIALITIES LTD-</t>
  </si>
  <si>
    <t>B-5ML RSP NATURAL R2 NEW(L)-ET</t>
  </si>
  <si>
    <t>MYLAN LABORATORIES LTD- HOSUR</t>
  </si>
  <si>
    <t>B-15ML RSP NATURAL(L)-GS</t>
  </si>
  <si>
    <t>CR-38MM HS123/020-(P-WHT)-1</t>
  </si>
  <si>
    <t>AJANTA PHARMA - DAHEJ- SEZ</t>
  </si>
  <si>
    <t>CR-33MM HS123/020-(P-WHT)-1</t>
  </si>
  <si>
    <t>LUPIN LIMITED-GOA</t>
  </si>
  <si>
    <t>CR-28-WHT1-HSP-001/35SFYP(BLK)</t>
  </si>
  <si>
    <t>STRIDES PHARMA SCIENCE LTD- PU</t>
  </si>
  <si>
    <t>B-5ML "I" WHITE 6C (L)-GS</t>
  </si>
  <si>
    <t>B-10ML RSP WHITE R2 (L)-GS</t>
  </si>
  <si>
    <t>N-OPEN RSP WHITE (L)-ET</t>
  </si>
  <si>
    <t>C-DOUBLESAFE WHITE NX (H)-ET</t>
  </si>
  <si>
    <t>USV PRIVATE LIMITED</t>
  </si>
  <si>
    <t>MANKIND RESEARCH CENTRE</t>
  </si>
  <si>
    <t>B-5ML RSP NAT R2(270G)(P)-ET</t>
  </si>
  <si>
    <t>MJP/2526/POS/PPM/00057</t>
  </si>
  <si>
    <t>JUGGAT PHARMA</t>
  </si>
  <si>
    <t>B-15ML RG WHITE (L)-ET</t>
  </si>
  <si>
    <t>C-TAMPLOCK RED (H)-ET</t>
  </si>
  <si>
    <t>N-BLOCK RG NATURAL (L)-ET</t>
  </si>
  <si>
    <t>ASPIRO PHARMA LIMITED</t>
  </si>
  <si>
    <t>B-15ML RSP WHITE R2 (L)-GS</t>
  </si>
  <si>
    <t>SUN PHARMACEUTICAL MEDICARE LI</t>
  </si>
  <si>
    <t>N-OPEN RSP 30mcl WHITE (L)-GS</t>
  </si>
  <si>
    <t>AJANTA PHARMA LIMITED.</t>
  </si>
  <si>
    <t>Sion Healthcare (SHL) Limited</t>
  </si>
  <si>
    <t>PM125260166</t>
  </si>
  <si>
    <t>MEPRO PHARMACEUTICALS PVT LTD.</t>
  </si>
  <si>
    <t>B-5ML RG NATURAL (L)-GS</t>
  </si>
  <si>
    <t>C-TAMPLOCK RED (H)-GS</t>
  </si>
  <si>
    <t>B-10ML RG NATURAL 16C (L)-GS</t>
  </si>
  <si>
    <t>C-TAMPLOCK UTILITY BLUE(H)-GS</t>
  </si>
  <si>
    <t>CR-38-WHT1-SG75M/0.035PRT(WHT)</t>
  </si>
  <si>
    <t>CR-38MM BLUE0.035 SG100(PLAIN)</t>
  </si>
  <si>
    <t>B-15ML RSP NATURAL R2(L)-ET</t>
  </si>
  <si>
    <t>C-TS RSP YW110543R2 2.0 64C-GS</t>
  </si>
  <si>
    <t>ZYDUS LIFESCIENCES LTD-MORAIYA</t>
  </si>
  <si>
    <t>AMANTA HEALTHCARE LIMITED</t>
  </si>
  <si>
    <t>N-OPEN RSP NATURAL(L)-GS</t>
  </si>
  <si>
    <t>C-TAMPLOCK WHITE (H)-GS</t>
  </si>
  <si>
    <t>LUPIN LIMITED - MANDIDEEP-ORAL</t>
  </si>
  <si>
    <t>CR-28-WHT1-FSLE1-13/035BLK-MAS</t>
  </si>
  <si>
    <t>CIRON DRUGS &amp; PHARMACEUTICALS</t>
  </si>
  <si>
    <t>C-TAMPSAFE "I" ORG 336940-GS</t>
  </si>
  <si>
    <t>B-5ML RSP NATURAL 48C(L)-GS</t>
  </si>
  <si>
    <t>AJANTA PHARMA LIMITED-GUWAHATI</t>
  </si>
  <si>
    <t>B-5ML "I" WHITE 12C-HW (L)-GS</t>
  </si>
  <si>
    <t>B-5ML "O" WHITE 48C(L)-GS</t>
  </si>
  <si>
    <t>C-TS "O" VILT91155 24C(H-M)-GS</t>
  </si>
  <si>
    <t>N-OPEN "O"NATURAL (L)-GS</t>
  </si>
  <si>
    <t>HETERO LABS LTD.(UNIT V)</t>
  </si>
  <si>
    <t>CR-38-WHT1- FSM1 SFYP/035(BLK)</t>
  </si>
  <si>
    <t>GLAND PHARMA LTD</t>
  </si>
  <si>
    <t>C1/PM/E/44353</t>
  </si>
  <si>
    <t>B-5ML EX. RG WHITE (L)-GS</t>
  </si>
  <si>
    <t>C-DOUBLESAFE WHITE NX (H)-GS</t>
  </si>
  <si>
    <t>N-BLOCK RG WHITE-3R (L)-GS</t>
  </si>
  <si>
    <t>C-DSNX BLUE 408856 - GS</t>
  </si>
  <si>
    <t>Acme Generics Pvt. Ltd. (CIPLA</t>
  </si>
  <si>
    <t>LUPIN LIMITED - Aurangabad</t>
  </si>
  <si>
    <t>CR-33MM CRIII HS 123/035 (BLK)</t>
  </si>
  <si>
    <t>EB/PO25/0003</t>
  </si>
  <si>
    <t>JAMP INDIA PHARMACEUTICALS (P)</t>
  </si>
  <si>
    <t>C-TS RSP R2 2.0 WHT 64C (H)-ET</t>
  </si>
  <si>
    <t>N-OPEN RSP-30mcl NAT NEW(L)-ET</t>
  </si>
  <si>
    <t>SIDPO26-484</t>
  </si>
  <si>
    <t>SIDPO26-485</t>
  </si>
  <si>
    <t>B-10ML "O" WHITE-18C (L)-GS</t>
  </si>
  <si>
    <t>SIDPO26-487</t>
  </si>
  <si>
    <t>PURE &amp; CURE HEALTHCARE PVT LTD</t>
  </si>
  <si>
    <t>INDIANA OPTHALMIC</t>
  </si>
  <si>
    <t>C-TS RSP R2 2.0 TANBR 64C-GS</t>
  </si>
  <si>
    <t>C1/PM/E/44439</t>
  </si>
  <si>
    <t>B-10ML EX.RG WHITE 16C (L)-GS</t>
  </si>
  <si>
    <t>TORRENT PHARMACEUTICALS LTD.</t>
  </si>
  <si>
    <t>KAMLA LIFESCIENCES LIMITED (CI</t>
  </si>
  <si>
    <t>B-5ML RSP WHT 48C(L).-GS</t>
  </si>
  <si>
    <t>C-TS RSP R2 2.0 TURQ. 64C-ET</t>
  </si>
  <si>
    <t>N-OPEN RSP-30mcl WHT NEW(L)-ET</t>
  </si>
  <si>
    <t>CR-33MM HS123/035-(P-WHT)-1</t>
  </si>
  <si>
    <t>C-TAMPSAFE RSP GREY (H)-GS</t>
  </si>
  <si>
    <t>N-OPEN RSP WHITE 64C(L)-GS</t>
  </si>
  <si>
    <t>CR-38MM HS123/.020 (BLK)</t>
  </si>
  <si>
    <t>CR-38MM -035 WLPM FSM -1 (BLK)</t>
  </si>
  <si>
    <t>SEVO 3.1 - ASSEMBLY</t>
  </si>
  <si>
    <t>LUPIN  LIMITED- Nagpur- SEZ- 6</t>
  </si>
  <si>
    <t>AKUMS DRUGS &amp; PHARMACEUTICALS</t>
  </si>
  <si>
    <t>Akums Drugs &amp; Pharmaceuticals</t>
  </si>
  <si>
    <t>B-5ML EX. RG WHITE (L)-ET</t>
  </si>
  <si>
    <t>C-TS RSP BLUE R2 2.0 64C-GS</t>
  </si>
  <si>
    <t>FBIPL-R/PM/25-26_0008</t>
  </si>
  <si>
    <t>FLAGSHIP BIOTECH INTERNATIONAL</t>
  </si>
  <si>
    <t>DIVINE LABORATORIES PVT  LTD</t>
  </si>
  <si>
    <t>C1/PM/E/44474-A1</t>
  </si>
  <si>
    <t>MJP/2526/POS/PPM/00217</t>
  </si>
  <si>
    <t>B-10ML RG WHITE 16C (L)-NS</t>
  </si>
  <si>
    <t>C-TAMPSAFE SS(R)U.BLUE(H)-NS</t>
  </si>
  <si>
    <t>N-OPEN RG NATURAL 64C(L)-NS</t>
  </si>
  <si>
    <t>OP-25000385</t>
  </si>
  <si>
    <t>C-TAMPSAFE RSP WHITE (H)-ET</t>
  </si>
  <si>
    <t>SUN PHARMA LABORATORIES LIMITE</t>
  </si>
  <si>
    <t>SUN PHARMACEUTICAL INDUSTRIES</t>
  </si>
  <si>
    <t>100/25/5/345</t>
  </si>
  <si>
    <t>UNIZA HEALTHCARE LLP</t>
  </si>
  <si>
    <t>DPI_CB(B-W)-SWASHALER</t>
  </si>
  <si>
    <t>VIVIMED LABS LIMITED-HYD</t>
  </si>
  <si>
    <t>B-5ML EX. RG WHITE (L-F)-GS</t>
  </si>
  <si>
    <t>N-BLOCK RG WHITE (L-F)-GS</t>
  </si>
  <si>
    <t>C-TAMPSAFE "O" WHITE (H)-GS</t>
  </si>
  <si>
    <t>B-10ML EX.RG O.GREEN 16C(L)-ET</t>
  </si>
  <si>
    <t>C-DOUBLESAFE NX O.GREEN (H)-ET</t>
  </si>
  <si>
    <t>POPM25261343</t>
  </si>
  <si>
    <t>B-10ML "I"O.GRN91151-16C(L)-GS</t>
  </si>
  <si>
    <t>B-5ML "I" O GREEN (L)-GS</t>
  </si>
  <si>
    <t>C-TAMP SAFE"I" O.GREEN-GS</t>
  </si>
  <si>
    <t>N-OPEN "I" O.GREEN (L)-GS</t>
  </si>
  <si>
    <t>IPOP251517</t>
  </si>
  <si>
    <t>B-15ML RG WHITE (L)-GS</t>
  </si>
  <si>
    <t>INDOCO REMEDIES LTD - WALUJ</t>
  </si>
  <si>
    <t>B-10ML RG NATURAL 16C (L)-NS</t>
  </si>
  <si>
    <t>C-TAMPSAFE SS(R) WHITE(H)-NS</t>
  </si>
  <si>
    <t xml:space="preserve"> B-7ML RSP R2 WHITE (L)-ET</t>
  </si>
  <si>
    <t>B-10ML RSP NATURAL R2 (L)-ET</t>
  </si>
  <si>
    <t>N-28mcl SUSPENSION NAT APL-ET</t>
  </si>
  <si>
    <t>INDOCO REMEDIES LTD</t>
  </si>
  <si>
    <t>B-5ML RSP R2 NAT. 1810E NEW-ET</t>
  </si>
  <si>
    <t>B-10ML RSP NAT R2 1810E (L)-ET</t>
  </si>
  <si>
    <t>C-TS RSP R2 2.0 WHT 1905(H)-ET</t>
  </si>
  <si>
    <t>BPREX-187/2025-26</t>
  </si>
  <si>
    <t>NOOR HERBALS</t>
  </si>
  <si>
    <t>N-BLOCK RG O. GREEN (L)-ET</t>
  </si>
  <si>
    <t>PM/U4/2025-26/0406</t>
  </si>
  <si>
    <t>HANUCHEM LABORATORIES</t>
  </si>
  <si>
    <t>OP-25000404</t>
  </si>
  <si>
    <t>B-5ML RSP WHITE R2(270G)(P)-ET</t>
  </si>
  <si>
    <t>ADORE PHARMACEUTICAL PVT LTD-A</t>
  </si>
  <si>
    <t>Reckitt Benckiser-ISD</t>
  </si>
  <si>
    <t>CR-38-RED 1700-(NL)</t>
  </si>
  <si>
    <t>C-TS RSP R2 2.0 GREY 64C-GS</t>
  </si>
  <si>
    <t>SGAPOPM25260089</t>
  </si>
  <si>
    <t>STALLION LABORATORIES PRIVATE</t>
  </si>
  <si>
    <t>CR-33MM 0.020 SG75M (PLAIN)</t>
  </si>
  <si>
    <t>ZYDUS LIFESCIENCES LIMITED(Sik</t>
  </si>
  <si>
    <t>ZYDUS LIFESCIENCES LTD-SEZ</t>
  </si>
  <si>
    <t>Zydus Lifesciences Ltd- Baddi</t>
  </si>
  <si>
    <t>CR-38MM HS123/035-(P-WHT)-1</t>
  </si>
  <si>
    <t>B-5ML EX.RG P.GREEN (L)-GS</t>
  </si>
  <si>
    <t>C-DOUBLESAFE NX P.GREEN (H)-GS</t>
  </si>
  <si>
    <t>N-BLOCK RG P.GREEN (L)-GS</t>
  </si>
  <si>
    <t>B-10ML O DESIGN O.GRN18C(L)-GS</t>
  </si>
  <si>
    <t>C-TAMPSAFE "O" O.GREEN (H)-GS</t>
  </si>
  <si>
    <t>N-OPEN "O" O. GREEN (L)-GS</t>
  </si>
  <si>
    <t>BPPM252416</t>
  </si>
  <si>
    <t>INSPIRA ASSEMBLY</t>
  </si>
  <si>
    <t>C-DOUBLESAFE NX O.GREEN (H)-GS</t>
  </si>
  <si>
    <t>C-TAMPSAFE NS WHITE (H)-NS</t>
  </si>
  <si>
    <t>CR-38MM HS123/035-(P-BLK)-1</t>
  </si>
  <si>
    <t>CR-33MM HS123/035-(P-BLK)-1</t>
  </si>
  <si>
    <t>CR-33MM 035 FS 5-4 (RED)</t>
  </si>
  <si>
    <t>PORFPM25260361</t>
  </si>
  <si>
    <t>RENOVA LIFESCINECES  PVT LTD</t>
  </si>
  <si>
    <t>N-OPEN RSP-30mcl WHT NEW(L)-GS</t>
  </si>
  <si>
    <t>B-10ML RSP NATURAL(H)-GS</t>
  </si>
  <si>
    <t>C1/PM/E/44607</t>
  </si>
  <si>
    <t>C-TS "O" U.Yellow 24C (H-M)-GS</t>
  </si>
  <si>
    <t>TORRENT PHARMACEUTICALS LIMITE</t>
  </si>
  <si>
    <t>C1/PM/E/44611</t>
  </si>
  <si>
    <t>S BL Pvt Ltd</t>
  </si>
  <si>
    <t>B-10ML "I" NATURAL-16C(L)-GS</t>
  </si>
  <si>
    <t>B-5ML "I" NATURAL 6C (L)-GS</t>
  </si>
  <si>
    <t>SAPOPM252600316</t>
  </si>
  <si>
    <t>SIONALL HEALTHCARE LIMITED</t>
  </si>
  <si>
    <t>B-10ML EX.RG O.GREEN (L-F)-NS</t>
  </si>
  <si>
    <t>B-5ML EX.RG O.GREEN (L-F)-NS</t>
  </si>
  <si>
    <t>C-DOUBLESAFE NX O.GREEN (H)-NS</t>
  </si>
  <si>
    <t>N-BLOCK RG O.GREEN-3R (L)-NS</t>
  </si>
  <si>
    <t>C1/PM/E/44663</t>
  </si>
  <si>
    <t>B-5ML RSP WHITE (L)-GS</t>
  </si>
  <si>
    <t>ILPO-CAP/25-26/01031</t>
  </si>
  <si>
    <t>Immacule Lifesciences Pvt. Ltd</t>
  </si>
  <si>
    <t>LUPIN LIMITED-PUNE R&amp;D</t>
  </si>
  <si>
    <t>C-TAMPSAFE SS(R)BLUE 408856-ET</t>
  </si>
  <si>
    <t>N-OPEN RG WHITE 64C (L)-ET</t>
  </si>
  <si>
    <t>N-BLOCK RG WHITE-3R (L)-ET</t>
  </si>
  <si>
    <t>Pfizer Healthcare India Pvt. L</t>
  </si>
  <si>
    <t>4505364455/5205</t>
  </si>
  <si>
    <t>30mL Plastic Bottle 20mmFinish</t>
  </si>
  <si>
    <t>Hospira INC.</t>
  </si>
  <si>
    <t>20mL Plastic Bottle 20mmFinish</t>
  </si>
  <si>
    <t>RECKITT BENCKISER HEALTHCARE (</t>
  </si>
  <si>
    <t>CRC - SPEEDY BLUE</t>
  </si>
  <si>
    <t>U125FF0081-V0</t>
  </si>
  <si>
    <t>R K PHARMA INC</t>
  </si>
  <si>
    <t>RK Pharma Inc.</t>
  </si>
  <si>
    <t>4505408919/5210</t>
  </si>
  <si>
    <t>Pfizer (Hospira INC)</t>
  </si>
  <si>
    <t>KLEVA PHARMACEUTICALS SA</t>
  </si>
  <si>
    <t>4505406268/5205</t>
  </si>
  <si>
    <t>10mL Plastic Bottle 20mmFinish</t>
  </si>
  <si>
    <t>B-5ML RG WHITE (L)-GS</t>
  </si>
  <si>
    <t>N-BLOCK RG WHITE (L)-GS</t>
  </si>
  <si>
    <t>C-DOUBLESAFE NX RED  (H)-GS</t>
  </si>
  <si>
    <t>4505368103/5205</t>
  </si>
  <si>
    <t>B-5ML RSP WHITE R2(270G)(P)-GS</t>
  </si>
  <si>
    <t>Haleon Lanka Enterprises Limit</t>
  </si>
  <si>
    <t>24MM SQUEEZE LOC PLGSEAL(PICT)</t>
  </si>
  <si>
    <t>BPREX-176/2025-26</t>
  </si>
  <si>
    <t>HEALTHCARE PHARMACEUTICALS LTD</t>
  </si>
  <si>
    <t>U125FF0154-V0</t>
  </si>
  <si>
    <t>EAST INDIA PHARMACEUTICAL WORK</t>
  </si>
  <si>
    <t>Vivimed Labs Limited</t>
  </si>
  <si>
    <t>B-30ML OVAL WHITE (L-J)-NS</t>
  </si>
  <si>
    <t>N-NS ASSY-OPEN WHITE (L-J)-NS</t>
  </si>
  <si>
    <t>C-28MM BEV ORGANGE (GM) 72C(H)</t>
  </si>
  <si>
    <t>CADILA PHARMACEUTICALS LIMITED</t>
  </si>
  <si>
    <t>JNTL CONSUMER HEALTH (INDIA) P</t>
  </si>
  <si>
    <t>C-C&amp;C FLIP TOP (P)(NL)-20mm</t>
  </si>
  <si>
    <t>B-15ML EX.RG WHITE (L) 16C-ET</t>
  </si>
  <si>
    <t>IPOP250508</t>
  </si>
  <si>
    <t>IPOP250751</t>
  </si>
  <si>
    <t>N-NASAL SPRAY OPEN NAT (L-J)</t>
  </si>
  <si>
    <t>B-5ML RG WHITE -12C (L)-NS</t>
  </si>
  <si>
    <t>B-30ML RG WHITE (L)-NS</t>
  </si>
  <si>
    <t>IPOP250990</t>
  </si>
  <si>
    <t>Medreich Limited</t>
  </si>
  <si>
    <t>CR-28 WHT MEDI DSB1500 WHT (H)</t>
  </si>
  <si>
    <t>Ciron Drugs &amp; Pharmaceuticals</t>
  </si>
  <si>
    <t>C1/PM/E/44244</t>
  </si>
  <si>
    <t>Medreich Limited-Unit 1</t>
  </si>
  <si>
    <t>C1/PM/E/44438</t>
  </si>
  <si>
    <t>Dabur India Ltd-Amla Ext/Honey</t>
  </si>
  <si>
    <t>DABUR SSFT (P)-25mm ASSEMBLY</t>
  </si>
  <si>
    <t>DABUR SSFT (P)-22mm ASSEMBLY</t>
  </si>
  <si>
    <t>Hella India Automotive Private</t>
  </si>
  <si>
    <t>RPAS- SENSOR COVER</t>
  </si>
  <si>
    <t>RPAS- ECU COVER</t>
  </si>
  <si>
    <t>GlaxoSmithKline Pharmaceutical</t>
  </si>
  <si>
    <t>VL/PM/0017/K</t>
  </si>
  <si>
    <t>Tata Consumer Product Limited</t>
  </si>
  <si>
    <t>180ML TGP CUP PRT LEMONY S&amp;W</t>
  </si>
  <si>
    <t>180ML TGP CUP PRT ORANGEY S&amp;W</t>
  </si>
  <si>
    <t>PO NO</t>
  </si>
  <si>
    <t>OR DT</t>
  </si>
  <si>
    <t>LN</t>
  </si>
  <si>
    <t>RQ DT</t>
  </si>
  <si>
    <t>SEG</t>
  </si>
  <si>
    <t>KAM</t>
  </si>
  <si>
    <t>R2</t>
  </si>
  <si>
    <t>CRC</t>
  </si>
  <si>
    <t>KERR</t>
  </si>
  <si>
    <t>RSP</t>
  </si>
  <si>
    <t>DEVICE</t>
  </si>
  <si>
    <t>ED</t>
  </si>
  <si>
    <t>NS</t>
  </si>
  <si>
    <t>SVP Vials</t>
  </si>
  <si>
    <t>CRC-SP</t>
  </si>
  <si>
    <t>BEVCAP</t>
  </si>
  <si>
    <t>NHC</t>
  </si>
  <si>
    <t>TATA</t>
  </si>
  <si>
    <t>Rite Labs</t>
  </si>
  <si>
    <t>Devbhoomi Pharma</t>
  </si>
  <si>
    <t>APPASAMY OCULAR DEVICES (P) LTD</t>
  </si>
  <si>
    <t>Maya Biotech pvt Ltd</t>
  </si>
  <si>
    <t>Archegos Ventures</t>
  </si>
  <si>
    <t>SamChunDang Pharm. Co., Ltd.</t>
  </si>
  <si>
    <t>B-10ML "I" WHITE (L-J)-GS</t>
  </si>
  <si>
    <t>N-OPEN "I" NATURAL NEW(L-J)-GS</t>
  </si>
  <si>
    <t>B-5ML "I" WHITE (L-J)-GS</t>
  </si>
  <si>
    <t>DPI-CB Assy Brethaler(MB 654C)</t>
  </si>
  <si>
    <t>C-TAMPSAFE RSP TANBR (H)-GS</t>
  </si>
  <si>
    <t>B-5ML RSP NATURAL (S)(L)-GS</t>
  </si>
  <si>
    <t>B-5ML "O" O. GREEN (L)-GS</t>
  </si>
  <si>
    <t>30mcl white RSP LDPE nozzle - GS,</t>
  </si>
  <si>
    <t>10ml RSP R2 bottle white HDPE - GS</t>
  </si>
  <si>
    <t>Tampsafe RPS R2 - 30 TARQ HDPE cap - GS </t>
  </si>
  <si>
    <t>CONFIRMED</t>
  </si>
  <si>
    <t>CONFIRMED-BGIPL</t>
  </si>
  <si>
    <t>LINCOLN PHARMACEUTICALS LTD</t>
  </si>
  <si>
    <t>RUBICON RESEARCH LIMITED</t>
  </si>
  <si>
    <t>ENTOD PHARMACEUTICALS LTD</t>
  </si>
  <si>
    <t>KILITCH HEALTHCARE LIMITED</t>
  </si>
  <si>
    <t>B-5ML RG WHITE 18C (L-F)-GS</t>
  </si>
  <si>
    <t>N-BLOCK RG NATURAL-3R (L)-GS</t>
  </si>
  <si>
    <t>B-10ML RSP R2 GRNPE6M415143-GS</t>
  </si>
  <si>
    <t>C-TSRSPR2 2.0 GRN415143 64C-GS</t>
  </si>
  <si>
    <t>N-OPEN RSP-30mcl GRN NEW(L)-GS</t>
  </si>
  <si>
    <t>B-5ML RG O. GREEN-12C (L) -GS</t>
  </si>
  <si>
    <t>N-OPEN RG O. GREEN 64C(L)-GS</t>
  </si>
  <si>
    <t>C-TAMPSAFE SS(R)O.GREEN (H)-GS</t>
  </si>
  <si>
    <t>B-5ML EX.RG O.GREEN (L)-GS</t>
  </si>
  <si>
    <t>N-BLOCK RG O.GREEN-3R (L)-GS</t>
  </si>
  <si>
    <t>B-10ML RG O.GREEN 16C (L)-GS</t>
  </si>
  <si>
    <t>MYLAN LABORATORIES LTD - NASHIK</t>
  </si>
  <si>
    <t>SOMERSET THERAPEUTICS PRIVATE LIMITED</t>
  </si>
  <si>
    <t>B-5ML RSP WHT R2 EZI-FLOW-GS</t>
  </si>
  <si>
    <t>C-TS RSP R2 2.0 PINK64C EZI-GS</t>
  </si>
  <si>
    <t>CR-38MM 0.020 SG75M (PLAIN)</t>
  </si>
  <si>
    <t>B-15ML RSP NATURAL R2(L)-GS</t>
  </si>
  <si>
    <t>Lupin Limited</t>
  </si>
  <si>
    <t>Zydus Lifesciences</t>
  </si>
  <si>
    <t>CR-28MM 0.035 SG75M PRTD (WHT)</t>
  </si>
  <si>
    <t>TOTAL</t>
  </si>
  <si>
    <t>POYTR</t>
  </si>
  <si>
    <t>TBB</t>
  </si>
  <si>
    <t>B-10ML EX.RG NATURAL 16C(L)-GS</t>
  </si>
  <si>
    <t>CIPLA LTD.</t>
  </si>
  <si>
    <t>DABUR SSFT (P)-19mm ASSEMBLY</t>
  </si>
  <si>
    <t>POYTR-BGIPL</t>
  </si>
  <si>
    <t>APPASAMY OCULAR DEVICES (P) LT</t>
  </si>
  <si>
    <t>BELL PHARMA PVT. LTD.</t>
  </si>
  <si>
    <t>BELL PHARMA PVT LTD</t>
  </si>
  <si>
    <t>AMSPM2526000405</t>
  </si>
  <si>
    <t>ED/BD-25-03689</t>
  </si>
  <si>
    <t>818/24/12/2025</t>
  </si>
  <si>
    <t>Reliance</t>
  </si>
  <si>
    <t>MANKIND PHARMA LTD</t>
  </si>
  <si>
    <t>Reckitt Benckiser</t>
  </si>
  <si>
    <t xml:space="preserve"> B-60ML DAL NATURAL (PET) </t>
  </si>
  <si>
    <t>Column Labels</t>
  </si>
  <si>
    <t>Sum of Value</t>
  </si>
  <si>
    <t>SEGMENT</t>
  </si>
  <si>
    <t>FORECAST</t>
  </si>
  <si>
    <t>         2,00,000</t>
  </si>
  <si>
    <t>         3,00,000</t>
  </si>
  <si>
    <t>         1,00,000</t>
  </si>
  <si>
    <t>         5,00,000</t>
  </si>
  <si>
    <t>CODE</t>
  </si>
  <si>
    <t>DESCRIPTION</t>
  </si>
  <si>
    <t>QTY</t>
  </si>
  <si>
    <t>TENTATIVE DISPATCH DATE</t>
  </si>
  <si>
    <t>BUDGET HC</t>
  </si>
  <si>
    <t>ACTUAL HC</t>
  </si>
  <si>
    <t>BUDGET NHC</t>
  </si>
  <si>
    <t>ACTUAL NHC</t>
  </si>
  <si>
    <t>TOTAL BUDGET</t>
  </si>
  <si>
    <t>GAP</t>
  </si>
  <si>
    <t>SALES TARGET</t>
  </si>
  <si>
    <t>BAIN</t>
  </si>
  <si>
    <t>BGIPL</t>
  </si>
  <si>
    <t xml:space="preserve"> TOTAL</t>
  </si>
  <si>
    <t>ADDITIONAL</t>
  </si>
  <si>
    <t>TAKE/PAY</t>
  </si>
  <si>
    <t xml:space="preserve">Grand total </t>
  </si>
  <si>
    <t xml:space="preserve">CUSTOMER NAME SOLD TO </t>
  </si>
  <si>
    <t xml:space="preserve">CUSTOMER NAME SHIP TO </t>
  </si>
  <si>
    <t>MAT</t>
  </si>
  <si>
    <t xml:space="preserve">DESCRIPTION </t>
  </si>
  <si>
    <t>PRICE</t>
  </si>
  <si>
    <t>VALUE</t>
  </si>
  <si>
    <t>STATUS</t>
  </si>
  <si>
    <t>INTRANSIT</t>
  </si>
  <si>
    <t>MCD</t>
  </si>
  <si>
    <t>PACKING</t>
  </si>
  <si>
    <t>Q REL</t>
  </si>
  <si>
    <t>STERLIZATION</t>
  </si>
  <si>
    <t>DISPATCH DATE</t>
  </si>
  <si>
    <t>MIHIR</t>
  </si>
  <si>
    <t>PARTH</t>
  </si>
  <si>
    <t>PRIYANK</t>
  </si>
  <si>
    <t>RAHUL</t>
  </si>
  <si>
    <t>RAM</t>
  </si>
  <si>
    <t>SAGAR</t>
  </si>
  <si>
    <t>SKU STATUS</t>
  </si>
  <si>
    <t>PRODUCTION</t>
  </si>
  <si>
    <t>FROM STOCK</t>
  </si>
  <si>
    <t>B-5ML "I" WHITE 12C-HW (L)-NS</t>
  </si>
  <si>
    <t>B-10ML "I" WHITE-16C (L)-NS</t>
  </si>
  <si>
    <t>B-15ML RSP White (L)-GS</t>
  </si>
  <si>
    <t>CAPACITY ISSUE</t>
  </si>
  <si>
    <t>VAMSI PHARMA</t>
  </si>
  <si>
    <t>CF DEC HC</t>
  </si>
  <si>
    <t>CF DEC NHC</t>
  </si>
  <si>
    <t>CR-33-WHT1- FSM1 SFYP/035(BLK)</t>
  </si>
  <si>
    <t>BIODEAL</t>
  </si>
  <si>
    <t>B-5ML "I" NATURAL 12C-HW(L)-GS</t>
  </si>
  <si>
    <t xml:space="preserve">SHI STATUS </t>
  </si>
  <si>
    <t>B-15ML RSP WHITE R2(L)-GS</t>
  </si>
  <si>
    <t>B-10ML RSP NATURAL R2 (L)-GS</t>
  </si>
  <si>
    <t>IN STERILIZATION</t>
  </si>
  <si>
    <t>C-TAMPSAFE SS(R)ROSEPINK(H)-GS</t>
  </si>
  <si>
    <t>N-OPEN RSP-60MCL WHT 24C(L)-GS</t>
  </si>
  <si>
    <t>B-5ML RSP NATURAL 48C(L)-ET</t>
  </si>
  <si>
    <t>C-TAMPSAFE RSP YELLOW(H)-ET</t>
  </si>
  <si>
    <t>SHIPPED</t>
  </si>
  <si>
    <t xml:space="preserve">Healthgate </t>
  </si>
  <si>
    <t xml:space="preserve">LUPIN </t>
  </si>
  <si>
    <t>JAN V3</t>
  </si>
  <si>
    <t>MAKCUR LABORATORIES LTD</t>
  </si>
  <si>
    <t>B-10ML EX.RG O.GREEN 16C(L)-GS</t>
  </si>
  <si>
    <t>N-BLOCK RG O. GREEN (L)-GS</t>
  </si>
  <si>
    <t>SYNTHO PHARMACEUTICALS PVT. LT</t>
  </si>
  <si>
    <t>B-5ML RG NATURAL -12C (L)-GS</t>
  </si>
  <si>
    <t>C-TAMPSAFE SS(R)U.BLUE(H)-GS</t>
  </si>
  <si>
    <t>C-TAMPSAFE SS(R)U.YELLOW(H)-GS</t>
  </si>
  <si>
    <t>C-TAMPSAFE SS(R)RED (H)-GS</t>
  </si>
  <si>
    <t>STOCK</t>
  </si>
  <si>
    <t>IN STOCK</t>
  </si>
  <si>
    <t>C-TAMPSAFE RSP D.BLUE(H)-GS</t>
  </si>
  <si>
    <t>DR.REDDY'S LABORATORIES LTD- T</t>
  </si>
  <si>
    <t>B-5ML RSP NAT R2(270G)-TYV-NS</t>
  </si>
  <si>
    <t>N-RISDROP 45MLTR W ASY-TYV-NS</t>
  </si>
  <si>
    <t>C-TS RSP R2 2.0 WT 64C-TVY-NS</t>
  </si>
  <si>
    <t>B-5ML RSP NAT R2(270G)-TYV-ET</t>
  </si>
  <si>
    <t>N-RISDROP 45MLTR W ASY-TYV-ET</t>
  </si>
  <si>
    <t>C-TS RSP R2 2.0 WHT 64C-TVY-ET</t>
  </si>
  <si>
    <t>RISK</t>
  </si>
  <si>
    <t>JAN V4</t>
  </si>
  <si>
    <t>RESIN</t>
  </si>
  <si>
    <t>MB</t>
  </si>
  <si>
    <t>RESIN QTY</t>
  </si>
  <si>
    <t>MB QTY</t>
  </si>
  <si>
    <t>PRIMARY CODE</t>
  </si>
  <si>
    <t>PRIMARY DESCRIPTION</t>
  </si>
  <si>
    <t>SECONDARY CODE</t>
  </si>
  <si>
    <t>SECONDARY DESCRIPTION</t>
  </si>
  <si>
    <t>N-OPEN RSP-30mcl NAT(L)-NS</t>
  </si>
  <si>
    <t>LDPE: PURELL PE 1840 H</t>
  </si>
  <si>
    <t>N-OPEN RSP NAT.(1810E) (L)-NS</t>
  </si>
  <si>
    <t>LDPE: PURELL PE 1810 E</t>
  </si>
  <si>
    <t>C-TAMP SAFE RSP O.GREEN (H)-NS</t>
  </si>
  <si>
    <t>HDPE: PURELL GC7260</t>
  </si>
  <si>
    <t>C-TAMP SAFE"I" TANBRN223270-NS</t>
  </si>
  <si>
    <t>HDPE: RELENE E52009</t>
  </si>
  <si>
    <t>B-5ML"I" NAT. POPLOGO (L) -NS</t>
  </si>
  <si>
    <t>B-5ML EX.RL WHITE (L-3020D)-NS</t>
  </si>
  <si>
    <t>B-30ML RG WHITE LOMISCO (L)-NS</t>
  </si>
  <si>
    <t>B-10ML EX.RL WHITE(L-3020)-NS</t>
  </si>
  <si>
    <t>C-TAMPSAFE SS(R)U.YELLOW(H)-NS</t>
  </si>
  <si>
    <t>C-TAMPSAFE SS(R)G.YELLOW(H)-NS</t>
  </si>
  <si>
    <t>C-TAMPSAFE RSP YELLOW(H)NEW-NS</t>
  </si>
  <si>
    <t>C-TAMPSAFE RSP TURQ.(H)NEW-NS</t>
  </si>
  <si>
    <t>C-TAMPSAFE RSP TURQ.(H)-NS</t>
  </si>
  <si>
    <t>C-TAMPSAFE RSP TANBR (H)-NS</t>
  </si>
  <si>
    <t>C-TAMPSAFE RSP PUR.NEW(H)-NS</t>
  </si>
  <si>
    <t>B-10ML "I" NAT. POP LOGO(L)-NS</t>
  </si>
  <si>
    <t>B-10ML EX.RL O. GREEN (L)-NS</t>
  </si>
  <si>
    <t>N-OPEN RSP 30mcl WHITE (L)-NS</t>
  </si>
  <si>
    <t>N-OPEN "I"NEW THT NAT. (L)-NS</t>
  </si>
  <si>
    <t>C-TAMPSAFE SS(R)P.GREEN (H)-NS</t>
  </si>
  <si>
    <t>C-TAMPSAFE SS(R)I.YELLOW(H)-NS</t>
  </si>
  <si>
    <t>C-TAMPSAFE SS(R)C.BROWN (H)-NS</t>
  </si>
  <si>
    <t>C-TAMPSAFE RSP BLUE (H)-NS</t>
  </si>
  <si>
    <t>B-5ML EX. RL O. GREEN (L)-NS</t>
  </si>
  <si>
    <t>B-10ML VIAL GLENMARK (PP)-NS</t>
  </si>
  <si>
    <t>TOTAL POLYPROPYLENE PPMR021S01</t>
  </si>
  <si>
    <t>B-10ML RSP WHITE (DUPONT20)-NS</t>
  </si>
  <si>
    <t>B-10ML EX.RL NATURAL (L)-NS</t>
  </si>
  <si>
    <t>33MM INNER CAPS NAT.(H110MA)</t>
  </si>
  <si>
    <t>PPHP: REPOL H110MA</t>
  </si>
  <si>
    <t>N-OPEN RG NAT. NEW(1840H)-NS</t>
  </si>
  <si>
    <t>N-OPEN NBSR WHITE(1005FY20)</t>
  </si>
  <si>
    <t>N-BLOCK RL NATURAL(L-3020D)-NS</t>
  </si>
  <si>
    <t>C-TAMPSAFE "I" U.YELLOW-NS</t>
  </si>
  <si>
    <t>C-TAMPSAFE RSP OR1585(H)NEW-NS</t>
  </si>
  <si>
    <t>C-TAMPSAFE RSP GREY(H)NEW-NS</t>
  </si>
  <si>
    <t>C-TAMPSAFE "I" TANBR (H)-NS</t>
  </si>
  <si>
    <t>C-TAMPSAFE "I" BRILL RED(H)-NS</t>
  </si>
  <si>
    <t>C-DOUBLESAFE NX U.BLUE (H)-NS</t>
  </si>
  <si>
    <t>C-DOUBLE SAFE NX ORANGE(H)-NS</t>
  </si>
  <si>
    <t>B-5ML VIAL GLENMARK (PP)-NS</t>
  </si>
  <si>
    <t>B-5ML RSP WHITE (DUPONT20)-NS</t>
  </si>
  <si>
    <t>B-5ML RSP NATURAL NEW (L)-NS</t>
  </si>
  <si>
    <t>B-5ML RG WHITE (L-1840H)-NS</t>
  </si>
  <si>
    <t>B-5ML EX. RL NATURAL (L)-NS</t>
  </si>
  <si>
    <t>B-10ML"O" WHITE POPLOGO(L)-NS</t>
  </si>
  <si>
    <t>B-10ML "I" WHITE POPLOGO(L)-NS</t>
  </si>
  <si>
    <t>33MMPIC OUTERCAPS BLUE466276</t>
  </si>
  <si>
    <t>PPHP: COPYLENE CH120LN</t>
  </si>
  <si>
    <t>N-OPEN RSP O.GREEN (L)-NS</t>
  </si>
  <si>
    <t>C-TAMPSAFE SS(R)VIOLET(H)-NS</t>
  </si>
  <si>
    <t>C-TAMPSAFE RSP WHITE(H)NEW-NS</t>
  </si>
  <si>
    <t>C-TAMPSAFE RSP YELLOW(H)-NS</t>
  </si>
  <si>
    <t>C-TAMPSAFE RSP PURPLE (H)-NS</t>
  </si>
  <si>
    <t>C-TAMPSAFE "O" O.GREEN (H)-NS</t>
  </si>
  <si>
    <t>C-TAMPSAFE "I" I.YELLOW-NS</t>
  </si>
  <si>
    <t>B-5ML"O" WHITE POPLOGO(L)-NS</t>
  </si>
  <si>
    <t>B-5ML "I" WHITE POPLOGO(L)-NS</t>
  </si>
  <si>
    <t>B-30ML RG NBSR WHITE NEW(L)-NS</t>
  </si>
  <si>
    <t>B-10ML RSP O. GREEN (L)-NS</t>
  </si>
  <si>
    <t>B-10ML EX. RL WHITE (L)-NS</t>
  </si>
  <si>
    <t>38MM OUTER CAPS BEIGE(AMPACET)</t>
  </si>
  <si>
    <t>33MM OUTER WHITE CAPS (H110MA)</t>
  </si>
  <si>
    <t>33MM OUTER CAPS MEVO L. GREEN</t>
  </si>
  <si>
    <t>N-OPEN RG NATURAL (L-1840H)-NS</t>
  </si>
  <si>
    <t>C-TAMPSAFE RSP WHITE (H)-NS</t>
  </si>
  <si>
    <t>C-DOUBLESAFE U.YELLOW (H)-NS</t>
  </si>
  <si>
    <t>B-5ML RSP WHITE(L) NEW-NS</t>
  </si>
  <si>
    <t>B-5ML RSP NATURAL (S)(L)-NS</t>
  </si>
  <si>
    <t>B-5ML EX. RL WHITE (L)-NS</t>
  </si>
  <si>
    <t>B-10ML RSP NATURAL (H)-NS</t>
  </si>
  <si>
    <t>HDPE: PURELL GF4750</t>
  </si>
  <si>
    <t>C-TAMPSAFE RSP RED (H)-NS</t>
  </si>
  <si>
    <t>C-TAMPSAFE RSP PINK (H)-NS</t>
  </si>
  <si>
    <t>C-TAMPSAFE RSP OR1585 (H)-NS</t>
  </si>
  <si>
    <t>C-TAMPSAFE RSP GREY (H)-NS</t>
  </si>
  <si>
    <t>C-TAMPSAFE NBSR WHITE (H)-NS</t>
  </si>
  <si>
    <t>C-DOUBLESAFE G.YELLOW (H)-NS</t>
  </si>
  <si>
    <t>B-5ML EX.RG O.GREEN (L)-NS</t>
  </si>
  <si>
    <t>B-10ML EX.RG O.GREEN (L)-NS</t>
  </si>
  <si>
    <t>B-10ML EX. RG NATURAL (L)-NS</t>
  </si>
  <si>
    <t>N-BLOCK RL O. GREEN (L)-NS</t>
  </si>
  <si>
    <t>C-TAMPSAFE "I" RED 224669-NS</t>
  </si>
  <si>
    <t>C-TAMPSAFE SS(R)O.GREEN (H)-NS</t>
  </si>
  <si>
    <t>C-TAMPSAFE "O" WHITE (H)-NS</t>
  </si>
  <si>
    <t>C-TAMPSAFE "I" WHITE (H)-NS</t>
  </si>
  <si>
    <t>C-DOUBLESAFE U.BLUE (H)-NS</t>
  </si>
  <si>
    <t>C-DOUBLESAFE P.GREEN (H)-NS</t>
  </si>
  <si>
    <t>C-DOUBLESAFE I.YELLOW (H)-NS</t>
  </si>
  <si>
    <t>B-5ML RSP WHITE(S)(L)-NS</t>
  </si>
  <si>
    <t>B-30ML RG NBSR WHITE (L)-NS</t>
  </si>
  <si>
    <t>B-15ML EX.RG WHITE (L)-NS</t>
  </si>
  <si>
    <t>B-10ML RSP WHITE (H)-NS</t>
  </si>
  <si>
    <t>B-10ML "O" NATURAL (H)-NS</t>
  </si>
  <si>
    <t>33MM OUTER CAPS WHITE PIC</t>
  </si>
  <si>
    <t>N-OPEN RSP NATURAL(L)-NS</t>
  </si>
  <si>
    <t>C-TAMPSAFE "I" SKY BLUE (H)-NS</t>
  </si>
  <si>
    <t>C-TAMPLOCK G. YELLOW (H)-NS</t>
  </si>
  <si>
    <t>HDPE: RELENE M60075</t>
  </si>
  <si>
    <t>C-DOUBLESAFE NX TANBR (H)-NS</t>
  </si>
  <si>
    <t>C-24MM PRESS FIT CAP (L)-NS</t>
  </si>
  <si>
    <t>C-20MM PRESS FIT CAP (L)-NS</t>
  </si>
  <si>
    <t>B-5ML RG O. GREEN (L) -NS</t>
  </si>
  <si>
    <t>B-5ML "I" NATURAL 6C (L)-NS</t>
  </si>
  <si>
    <t>B-5ML EX. RG WHITE (L)-NS</t>
  </si>
  <si>
    <t>B-30ML RG NATURAL(L-1840H)-NS</t>
  </si>
  <si>
    <t>B-15ML RSP NATURAL(L)-NS</t>
  </si>
  <si>
    <t>B-15ML RG WHITE (L-1840H)-NS</t>
  </si>
  <si>
    <t>B-10ML RSP NATURAL(L)-NS</t>
  </si>
  <si>
    <t>B-10ML RG O.GREEN (L) NEW-NS</t>
  </si>
  <si>
    <t>B-10ML "O" WHITE (H)-NS</t>
  </si>
  <si>
    <t>B-10ML EX.RG WHITE (L)-NS</t>
  </si>
  <si>
    <t>38MM INNER CAPS NAT.(H110MA)</t>
  </si>
  <si>
    <t>N-OPEN "O" O. GREEN (L)-NS</t>
  </si>
  <si>
    <t>N-BLOCK RL NATURAL(L)-NS</t>
  </si>
  <si>
    <t>C-TAMPLOCK O.GREEN (H)-NS</t>
  </si>
  <si>
    <t>C-TAMPSAFE RSP RED1797 (H)-NS</t>
  </si>
  <si>
    <t>C-TAMPSAFE RSP PINK197(H)-NS</t>
  </si>
  <si>
    <t>C-TAMPSAFE "I" RED (H)-NS</t>
  </si>
  <si>
    <t>C-TAMPLOCK UTILITY BLUE(H)-NS</t>
  </si>
  <si>
    <t>C-TAMPLOCK PARROT GREEN(H)-NS</t>
  </si>
  <si>
    <t>C-TAMPLOCK IVORY YELLOW (H)-NS</t>
  </si>
  <si>
    <t>C-DOUBLESAFE TEAL GREEN (H)-NS</t>
  </si>
  <si>
    <t>C-DOUBLESAFE PALE BROWN (H)-NS</t>
  </si>
  <si>
    <t>B-5ML RSP NATURAL(L)-NS</t>
  </si>
  <si>
    <t>B-15ML "O" O.GREEN (L)-NS</t>
  </si>
  <si>
    <t>N-OPEN RSP WHITE (L)-NS</t>
  </si>
  <si>
    <t>N-OPEN RG O.GREEN NEW (L)-NS</t>
  </si>
  <si>
    <t>N-OPEN RG NATURAL NEW (L)-NS</t>
  </si>
  <si>
    <t>N-OPEN "O"NATURAL (L)-NS</t>
  </si>
  <si>
    <t>N-OPEN "I" NATURAL (L)-NS</t>
  </si>
  <si>
    <t>N-NASAL SPRAY OPEN NATURAL (L)</t>
  </si>
  <si>
    <t>C-DOUBLESAFE ROSE PINK (H)-NS</t>
  </si>
  <si>
    <t>C-DOUBLESAFE DARK BLUE (H)-NS</t>
  </si>
  <si>
    <t>C-DOUBLESAFE O. GREEN (H)-NS</t>
  </si>
  <si>
    <t>B-5ML RG NATURAL (L) DS - NS</t>
  </si>
  <si>
    <t>B-5ML "I" WHITE 6C (L)-NS</t>
  </si>
  <si>
    <t>B-15ML RSP WHITE (L)-NS</t>
  </si>
  <si>
    <t>B-15ML "O" NATURAL (L)-NS</t>
  </si>
  <si>
    <t>B-10ML RSP WHITE (L)-NS</t>
  </si>
  <si>
    <t>B-10ML "O" NATURAL (L)-NS</t>
  </si>
  <si>
    <t>B-10ML "I" NATURAL (L)-NS</t>
  </si>
  <si>
    <t>38MM OUTER CAPS WHITE(H110MA)</t>
  </si>
  <si>
    <t>38MM OUTER CAPS VIOLET (2612C)</t>
  </si>
  <si>
    <t>38MM OUTER CAPS BLUE (2945C)</t>
  </si>
  <si>
    <t>33MM OUTER CAPS VIOLET(2612C)</t>
  </si>
  <si>
    <t>33MM OUTER CAPS BLUE (2945C)</t>
  </si>
  <si>
    <t>PLUNGER STOPPER PSI/0066-05</t>
  </si>
  <si>
    <t>POM: DELRIN FG500P NC010</t>
  </si>
  <si>
    <t>N-BLOCK RL WHITE (L)-NS</t>
  </si>
  <si>
    <t>N-BLOCK RG O. GREEN (L)-NS</t>
  </si>
  <si>
    <t>C-TAMPSAFE SS(R)RED (H)-NS</t>
  </si>
  <si>
    <t>C-DOUBLESAFE WHITE NX (H)-NS</t>
  </si>
  <si>
    <t>C-DOUBLESAFE SKY BLUE (H)-NS</t>
  </si>
  <si>
    <t>C-DOUBLESAFE C. BROWN (H)-NS</t>
  </si>
  <si>
    <t>B-5ML RSP WHITE (L)-NS</t>
  </si>
  <si>
    <t>B-5ML "O"NATURAL (L)-NS</t>
  </si>
  <si>
    <t>B-5ML "I" NATURAL (L)-NS</t>
  </si>
  <si>
    <t>38MM OUTER CAPS BLUE(466276)</t>
  </si>
  <si>
    <t>33MM OUTER CAPS BLUE(466276)</t>
  </si>
  <si>
    <t>N-OPEN RG WHITE NEW (L)-NS</t>
  </si>
  <si>
    <t>N-OPEN RG O. GREEN 64C(L)-NS</t>
  </si>
  <si>
    <t>N-OPEN "O" WHITE (L)-NS</t>
  </si>
  <si>
    <t>N-OPEN "I" WHITE (L)-NS</t>
  </si>
  <si>
    <t>N-OPEN NASAL SPRAY WHITE (L)</t>
  </si>
  <si>
    <t>N-BLOCK RG SKY BLUE (L)-NS</t>
  </si>
  <si>
    <t>C-DOUBLESAFE NATURAL (H)-NS</t>
  </si>
  <si>
    <t>B-15ML "O" WHITE (L)-NS</t>
  </si>
  <si>
    <t>B-10ML RG WHITE NEW (L)-NS</t>
  </si>
  <si>
    <t>B-10ML RG O. GREEN (L)-NS</t>
  </si>
  <si>
    <t>B-10ML "O" WHITE (L)-NS</t>
  </si>
  <si>
    <t>B-10ML "I" WHITE (L)-NS</t>
  </si>
  <si>
    <t>C-TAMPLOCK SKY BLUE (H)-NS</t>
  </si>
  <si>
    <t>C-DOUBLESAFE VIOLET (H)-NS</t>
  </si>
  <si>
    <t>C-DOUBLESAFE ORANGE (H)-NS</t>
  </si>
  <si>
    <t>B-5ML RL WHITE (L)-NS</t>
  </si>
  <si>
    <t>B-5ML "O" WHITE (L)-NS</t>
  </si>
  <si>
    <t>B-5ML "I" WHITE (L)-NS</t>
  </si>
  <si>
    <t>N-OPEN NBSR WHITE (L)</t>
  </si>
  <si>
    <t>CURVED SPATULA GLENMARK-NS</t>
  </si>
  <si>
    <t>C-DOUBLESAFE NX BLACK - NS</t>
  </si>
  <si>
    <t>C-DOUBLESAFE WHITE (H)-NS</t>
  </si>
  <si>
    <t>B-5ML RG WHITE (L) DS-NS</t>
  </si>
  <si>
    <t>B-5ML RG SKY BLUE (L)-NS</t>
  </si>
  <si>
    <t>B-30ML RG NATURAL (L)-NS</t>
  </si>
  <si>
    <t>B-30ML FLAT WHITE (L)-NS</t>
  </si>
  <si>
    <t>B-15ML RG NATURAL (L)-NS</t>
  </si>
  <si>
    <t>B-10ML RG NATURAL (L)-NS</t>
  </si>
  <si>
    <t>N-BLOCK RG WHITE (L)-NS</t>
  </si>
  <si>
    <t>C-DOUBLESAFE GREY (H)-NS</t>
  </si>
  <si>
    <t>B-5ML RG NATURAL (L)-NS</t>
  </si>
  <si>
    <t>38MM INNER CAPS NATURAL</t>
  </si>
  <si>
    <t>33MM INNER CAPS NATURAL</t>
  </si>
  <si>
    <t>N-OPEN RG WHITE (L)-NS</t>
  </si>
  <si>
    <t>FLAT SPATULA GLENMARK-NS</t>
  </si>
  <si>
    <t>C-DOUBLESAFE RED (H)-NS</t>
  </si>
  <si>
    <t>B-15ML RG WHITE (L)-NS</t>
  </si>
  <si>
    <t>B-10ML RG WHITE (L)-NS</t>
  </si>
  <si>
    <t>OUTER BODY OI/0066-03</t>
  </si>
  <si>
    <t>B-5ML RG WHITE (L)-NS</t>
  </si>
  <si>
    <t>38MM OUTER CAPS WHITE</t>
  </si>
  <si>
    <t>33MM OUTER CAPS WHITE</t>
  </si>
  <si>
    <t>28MM OUTER CAPS WHITE</t>
  </si>
  <si>
    <t>28MM INNER CAPS NATURAL</t>
  </si>
  <si>
    <t>C-TAMPLOCK RED (H)-NS</t>
  </si>
  <si>
    <t>HDPE: MARLEX HHM 5502 BN</t>
  </si>
  <si>
    <t>PLUNGER - PI/0066-04</t>
  </si>
  <si>
    <t>C-DOUBLE SAFE NX SKY BLUE - NS</t>
  </si>
  <si>
    <t>CAP - CI/0066-02</t>
  </si>
  <si>
    <t>N-OPEN RSP-60 MLTR NAT (L)-NS</t>
  </si>
  <si>
    <t>B-10ML O DESIGN O.GREEN (L)-NS</t>
  </si>
  <si>
    <t>C-TAMPSAFE SS(R)WT7541PH(H)-NS</t>
  </si>
  <si>
    <t>N-OPEN RSP-60 MLTR WHITE(L)-NS</t>
  </si>
  <si>
    <t>N-RISDROP 30MLTR INSERT WT-NS</t>
  </si>
  <si>
    <t>N-OPEN RSP-30mcl WHT NEW(L)-NS</t>
  </si>
  <si>
    <t>B-10ML RING WHITE (RB6F) (L)-N</t>
  </si>
  <si>
    <t>C-TAMPSAFE RSP BLUE NEW(H)-NS</t>
  </si>
  <si>
    <t>C-DOUBLE SAFE NX DARK BLUE- NS</t>
  </si>
  <si>
    <t>28MM OUTER CAPS BLUE (2945C)</t>
  </si>
  <si>
    <t>B-5ML "I" O.GRN POPLOGO(L)-NS</t>
  </si>
  <si>
    <t>B-10ML "I" O.GRN POPLOGO(L)-NS</t>
  </si>
  <si>
    <t>C-TAMP SAFE"I" O.GREEN-NS</t>
  </si>
  <si>
    <t>N-OPEN "I" O.GREEN (L)-NS</t>
  </si>
  <si>
    <t>C-DOUBLESAFE NX ROSE PINK(H)NS</t>
  </si>
  <si>
    <t>C-TAMPSAFE RSP WT NEW 1905-NS</t>
  </si>
  <si>
    <t>B-5ML RSP1810E WTPH75525(S)-NS</t>
  </si>
  <si>
    <t>B-5ML RSP 1810E WHITE (S)-NS</t>
  </si>
  <si>
    <t>B-10ML RSP O. GREEN 415143-NS</t>
  </si>
  <si>
    <t>N-OPEN RSP O.GREEN 415143-NS</t>
  </si>
  <si>
    <t>C-TAMPSAFE NBSR WHITE (REL)-NS</t>
  </si>
  <si>
    <t>B-10ML RG RED240740 (L) NEW-NS</t>
  </si>
  <si>
    <t>B-10ML RG BLUE240737 (L)NEW-NS</t>
  </si>
  <si>
    <t>B-5ML RG NATURAL -12C (L)-NS</t>
  </si>
  <si>
    <t>B-5ML RSP NATURAL R2 NEW(L)-NS</t>
  </si>
  <si>
    <t>B-5ML RSP WHITE R2 NEW (L)-NS</t>
  </si>
  <si>
    <t>B-5ML "O" O. GREEN (L)-NS</t>
  </si>
  <si>
    <t>C-TAMPSAFE RSP WT R2 NEW-NS</t>
  </si>
  <si>
    <t>B-5ML RG WHITE-12C(L-1840H)-NS</t>
  </si>
  <si>
    <t>B-15ML EX.RG NATURAL (L)-NS</t>
  </si>
  <si>
    <t>N-OPEN "I" NATURAL NEW (L)-NS</t>
  </si>
  <si>
    <t>N-OPEN "I" WHITE NEW (L)-NS</t>
  </si>
  <si>
    <t>N-28mcl SUSPENSION NAT (L)-NS</t>
  </si>
  <si>
    <t>B-10ML RSP NATURAL R2 (L)-NS</t>
  </si>
  <si>
    <t>B-10ML RSP WHITE R2 (L)-NS</t>
  </si>
  <si>
    <t>C-TAMPSAFE RSP TURQ.NEW R2-NS</t>
  </si>
  <si>
    <t>C-TAMPSAFE RSP TANBR NEW R2-NS</t>
  </si>
  <si>
    <t>C-TAMPSAFE RSP GREY NEW R2-NS</t>
  </si>
  <si>
    <t>B-5ML RG O. GREEN (L) DS-NS</t>
  </si>
  <si>
    <t>B-10ML RG NATURAL 12C (L)-NS</t>
  </si>
  <si>
    <t>B-10ML RG WHITE 12C (L)-NS</t>
  </si>
  <si>
    <t>C-DOUBLESAFE NX OR247913(H)-NS</t>
  </si>
  <si>
    <t>HDPE: PURELL ACP 6541A</t>
  </si>
  <si>
    <t>C-TS RSP YELLOW 110543 NEW-NS</t>
  </si>
  <si>
    <t>B-10ML "I" NAT.POP LOGO NEW-NS</t>
  </si>
  <si>
    <t>B-10ML "I" WHT POPLOGO NEW-NS</t>
  </si>
  <si>
    <t>N-UIED INSERT 45 MLTR WHT  -NS</t>
  </si>
  <si>
    <t>N-UIED NOZZLE 45 MLTR NAT-NS</t>
  </si>
  <si>
    <t>C-DOUBLESAFE NX P.GREEN (H)-NS</t>
  </si>
  <si>
    <t>B-5ML RG O. GREEN (L) DS -NS</t>
  </si>
  <si>
    <t>B-15ML RSP NATURAL R2 (L)-NS</t>
  </si>
  <si>
    <t>B-10ML "I" WHITE 6C-2 (L)-NS</t>
  </si>
  <si>
    <t>CAP - SPEEDY - 8C</t>
  </si>
  <si>
    <t>COLLAR - SPEEDY - 8C</t>
  </si>
  <si>
    <t>B-15ML RSP WHITE R2 (L)-NS</t>
  </si>
  <si>
    <t>B-10ML ROUND WHITE (L)-NS</t>
  </si>
  <si>
    <t>C-TS RSP R2 PINK197 (H) NEW-NS</t>
  </si>
  <si>
    <t>33MM OUTER CAPS WHT-64C</t>
  </si>
  <si>
    <t>B-5ML RSP R2 NAT. 1810E NEW-NS</t>
  </si>
  <si>
    <t>C-TS RSP R2 TR 5M176273 IND-NS</t>
  </si>
  <si>
    <t>C-TS RSP BR 6130 R2 2.0 IND-NS</t>
  </si>
  <si>
    <t>TOPICAL APPLICATOR - BOTTLE-NS</t>
  </si>
  <si>
    <t>TOPICAL APPLICATOR - CAP-NS</t>
  </si>
  <si>
    <t>TOPICAL APPLICATOR - HOLDER-NS</t>
  </si>
  <si>
    <t>B-5ML RSP R2 WT 176031 NEW-NS</t>
  </si>
  <si>
    <t>N-OPEN RSP WHITE 176031 (L)-NS</t>
  </si>
  <si>
    <t>C-TAMPSAFE RSP OR1585 R2(H)-NS</t>
  </si>
  <si>
    <t>C-TS RSP YELLOW 110543 R2-NS</t>
  </si>
  <si>
    <t>C-TAMPSAFE RSP PURPLE R2(H)-NS</t>
  </si>
  <si>
    <t>C-TAMPSAFE RSP BLUE R2(H)-NS</t>
  </si>
  <si>
    <t>B-10ML RSP WHITE R2 (H)-NS</t>
  </si>
  <si>
    <t>B-10ML RSP WHT R2 1810E (L)-NS</t>
  </si>
  <si>
    <t>B-10ML RSP NAT R2 1810E (L)-NS</t>
  </si>
  <si>
    <t>B-10ML "I" NATURAL 6C-2 (L)-NS</t>
  </si>
  <si>
    <t>B-5ML RSP R2 1810 WT 75542 -NS</t>
  </si>
  <si>
    <t>B-5ML RSP R2 1810 CEG75525 -NS</t>
  </si>
  <si>
    <t>C-TAMPSAFE RSP R2 WT 1905-NS</t>
  </si>
  <si>
    <t>C-TAMPSAFE RSP R2 WT 75542-NS</t>
  </si>
  <si>
    <t>B-15ML RSP R2 1810 CEG75525-NS</t>
  </si>
  <si>
    <t>N-OPEN RSP WHITE CEG75525-NS</t>
  </si>
  <si>
    <t>B-15ML RSP R2 NAT 1810E -NS</t>
  </si>
  <si>
    <t>C-TAMPSAFE RSP R2 WT 176031-NS</t>
  </si>
  <si>
    <t>CAP FOR 10ML ROUND BOTTLE-NS</t>
  </si>
  <si>
    <t>PPHP: REPOL H110MAS</t>
  </si>
  <si>
    <t>NOZZLE FR 10ML ROUND BOTTLE-NS</t>
  </si>
  <si>
    <t>PPRC : EXXON MOBIL 9122</t>
  </si>
  <si>
    <t>50mL Plastic Bottle 20mmFinish</t>
  </si>
  <si>
    <t>N-NFC NOZZLE NATURAL (L)-NS</t>
  </si>
  <si>
    <t>B-5ML RG NATURAL (L-1840H)-NS</t>
  </si>
  <si>
    <t>C-TAMPSAFE NS ORANGE (H)-NS</t>
  </si>
  <si>
    <t>B-10ML RSP R2 1810 WT75542-NS</t>
  </si>
  <si>
    <t>C-TAMPSAFE RSP R2 PK 176237-NS</t>
  </si>
  <si>
    <t>B-10ML "I" O GREEN 6C-2(L)-NS</t>
  </si>
  <si>
    <t>B-5ML "I" O GREEN (L)-NS</t>
  </si>
  <si>
    <t>B-5ML RSP NAT 1810E NEW (L)-NS</t>
  </si>
  <si>
    <t>B-10ML RSP WHITE 1810E (L)-NS</t>
  </si>
  <si>
    <t>B-5ML RSP WHITE 1810E (L)-NS</t>
  </si>
  <si>
    <t>C-TAMPSAFE RSP R2 OR 176046-NS</t>
  </si>
  <si>
    <t>B-10ML RSP R2 NATURAL (H)-NS</t>
  </si>
  <si>
    <t>B-10ML RG O.GREEN 12C (L)-NS</t>
  </si>
  <si>
    <t>CAP_BLACK - SPEEDY- 8C</t>
  </si>
  <si>
    <t>COLLAR _BLACK - SPEEDY- 8C</t>
  </si>
  <si>
    <t>B-5ML RSP GRN PE6M415143 R2-NS</t>
  </si>
  <si>
    <t>B-10ML RSP R2 WHT176031-NS</t>
  </si>
  <si>
    <t>B-15ML RSP R2 GRNPE6M415143-NS</t>
  </si>
  <si>
    <t>N-OPEN RSP 60MCL WHT176031-NS</t>
  </si>
  <si>
    <t>C-TS RSP PURP PE4M176057 R2-NS</t>
  </si>
  <si>
    <t>C-TS RSP GRN (348C) (H) R2 -NS</t>
  </si>
  <si>
    <t>B-10ML RSP R2 GRNPE6M415143-NS</t>
  </si>
  <si>
    <t>B-15ML RG  O.GRN 91151-NS</t>
  </si>
  <si>
    <t>B-5ML EX. RG NATURAL (L)-NS</t>
  </si>
  <si>
    <t>N-RISDROP NOZZLE 45MLTR WHT-NS</t>
  </si>
  <si>
    <t>C-TS RSP R2 WHT EP-75542 - NS</t>
  </si>
  <si>
    <t>B-10ML "O" NATURAL 1810E - NS</t>
  </si>
  <si>
    <t>33MM CRIII OUTER CAPS WT(MAS)</t>
  </si>
  <si>
    <t>C-DOUBLESAFE BLUE 275733(H)-NS</t>
  </si>
  <si>
    <t>N-OPEN RG NAT 64C(L-1840H)-NS</t>
  </si>
  <si>
    <t>C-DS NX BLUE 275733(H)-NS</t>
  </si>
  <si>
    <t>C-DOUBLESAFE NATURAL NX(H)-NS</t>
  </si>
  <si>
    <t>N-OPEN RG WHITE 64C (L)-NS</t>
  </si>
  <si>
    <t>33MM OUTER CAPS WHITE (MAS)</t>
  </si>
  <si>
    <t>38MM OUTER CAPS WHITE(MAS)</t>
  </si>
  <si>
    <t>B-10ML EX.RG O.GREEN 16C(L)-NS</t>
  </si>
  <si>
    <t>B-10ML EX.RG NATURAL 16C(L)-NS</t>
  </si>
  <si>
    <t>B-10ML EX.RG WHITE 16C (L)-NS</t>
  </si>
  <si>
    <t>33MM CRIII INNER CAPS NAT(MAS)</t>
  </si>
  <si>
    <t>33MM INNER CAPS NATURAL(MAS)</t>
  </si>
  <si>
    <t>38MM INNER CAPS NATURAL(MAS)</t>
  </si>
  <si>
    <t>B-10ML RG WHITE 1840H (L)-NS</t>
  </si>
  <si>
    <t>B-10ML RG WHT 1840H 12C (L)-NS</t>
  </si>
  <si>
    <t>C-TS RSP RED1797 R2 NEW (H)-NS</t>
  </si>
  <si>
    <t>C-TS RSP GRN(373C)R2 2.0(H)-NS</t>
  </si>
  <si>
    <t>N-RISDROP 45MLTR INSERT WT</t>
  </si>
  <si>
    <t>B-5ML RSP TURQ(326C)(L)-NS</t>
  </si>
  <si>
    <t>N-OPEN RSP TURQ(326) (L)-NS</t>
  </si>
  <si>
    <t>C-TAMPSAFE SS(R) T.GREEN(H)-NS</t>
  </si>
  <si>
    <t>N-OPEN RSP GREEN (348C) (L)-NS</t>
  </si>
  <si>
    <t>C-DOUBLESAFE NX RED  (H)-NS</t>
  </si>
  <si>
    <t>C-DOUBLESAFE NX VIOLET  (H)-NS</t>
  </si>
  <si>
    <t>C-TAMP SAFE RSP P.GREEN (H)-NS</t>
  </si>
  <si>
    <t>N-45mcl SUSPENSION (L)-NS</t>
  </si>
  <si>
    <t>C-TAMPSAFE SS(R) RED240740 -NS</t>
  </si>
  <si>
    <t>C-TAMPSAFE SS(R) BLUE240737-NS</t>
  </si>
  <si>
    <t>C-TS RSPTURQ.NEW R2 Modifid-NS</t>
  </si>
  <si>
    <t>C-TAMPSAFE SS(R) BLACK(H)-NS</t>
  </si>
  <si>
    <t>B-5ML RSP P.GREEN (L)-NS</t>
  </si>
  <si>
    <t>N-OPEN RSP P.GREEN(L)-NS</t>
  </si>
  <si>
    <t>N-OPEN OPLUS 45mcl NAT(L-J)-NS</t>
  </si>
  <si>
    <t>LDPE: RELENE J1020FF20</t>
  </si>
  <si>
    <t>B-5ML RSP R2 WHT 1810E NEW-NS</t>
  </si>
  <si>
    <t>C-DOUBLESAFE NX MRN 224669 -NS</t>
  </si>
  <si>
    <t>N-28mcl SUSPENSION NAT APL-NS</t>
  </si>
  <si>
    <t>B-10ML RSP R2 WHT HW-NS</t>
  </si>
  <si>
    <t>B-15ML "O" WHITE (L-J)-NS</t>
  </si>
  <si>
    <t>N-OPEN "O"NATURAL (L-J)-NS</t>
  </si>
  <si>
    <t>B-10ML "I" WHITE (L-J)-NS</t>
  </si>
  <si>
    <t>N-OPEN "I" NATURAL NEW(L-J)-NS</t>
  </si>
  <si>
    <t>N-OPEN "I" WHITE NEW (L-J)-NS</t>
  </si>
  <si>
    <t>C-DOUBLESAFE NX U.YELLOW(H)-NS</t>
  </si>
  <si>
    <t>N-28mcl SUSPENSION WHT APL-NS</t>
  </si>
  <si>
    <t>B-5ML EX.RG P.GREEN (L)-NS</t>
  </si>
  <si>
    <t>N-BLOCK RG P.GREEN (L)-NS</t>
  </si>
  <si>
    <t>B-30ML RG NBSR WHT (L-J)NEW-NS</t>
  </si>
  <si>
    <t>N-OPEN NBSR WHITE (L-J)</t>
  </si>
  <si>
    <t>C-TAMPSAFE SS(R)ROSEPINK(H)-NS</t>
  </si>
  <si>
    <t>C-TAMPLOCK WHITE (REL) (H)-NS</t>
  </si>
  <si>
    <t>C-TAMPSAFE RSP D.BLUE(H)-NS</t>
  </si>
  <si>
    <t>C-DOUBLESAFE NX I.YELLOW(H)-NS</t>
  </si>
  <si>
    <t>C-DOUBLESAFE NX T.GREEN (H)-NS</t>
  </si>
  <si>
    <t>28MM OUTER CAPS WHITE (MAS)</t>
  </si>
  <si>
    <t>28MM INNER CAPS NATURAL (MAS)</t>
  </si>
  <si>
    <t>B-5ML RG NATURAL (L-J)-NS</t>
  </si>
  <si>
    <t>38MM OUTER BLUE (466276) (MAS)</t>
  </si>
  <si>
    <t>33MM OUTER BLUE (466276) (MAS)</t>
  </si>
  <si>
    <t>38MM OUTER CAPS BEIGE (MAS)</t>
  </si>
  <si>
    <t>N-OPEN RG NATURAL 64C(L-J)-NS</t>
  </si>
  <si>
    <t>N-OPEN RG WHITE 64C (L-J)-NS</t>
  </si>
  <si>
    <t>B-10ML RG NATURAL  (L-J)-NS</t>
  </si>
  <si>
    <t>B-10ML RG WHITE  (L-J)-NS</t>
  </si>
  <si>
    <t>B-5ML "I" WHITE (L-J)-NS</t>
  </si>
  <si>
    <t>N-NASAL SPRAY OPEN WHITE (L-J)</t>
  </si>
  <si>
    <t>38MM OUTER BLUE (2945C) (MAS)</t>
  </si>
  <si>
    <t>33MM OUTER BLUE (2945C) (MAS)</t>
  </si>
  <si>
    <t>N-35mcl SOLUTION WHITE ORBI-NS</t>
  </si>
  <si>
    <t>B-5ML "I" NATURAL 12C-HW(L)-NS</t>
  </si>
  <si>
    <t>B-5ML "I" WHITE 12C-A (L)-NS</t>
  </si>
  <si>
    <t>B-10ML RG NAT 16C (L-1840H)-NS</t>
  </si>
  <si>
    <t>C-TS RSP R2 WHT Modified(H)-NS</t>
  </si>
  <si>
    <t>C-TAMPSAFE "O" P.GREEN (H)-NS</t>
  </si>
  <si>
    <t>C-TS RSP R2 PURP Modifid(H)-NS</t>
  </si>
  <si>
    <t>B-10ML RG NAT 6C (L-1840H)-NS</t>
  </si>
  <si>
    <t>C-TAMPSAFE SS(R) ORANGE(H)-NS</t>
  </si>
  <si>
    <t>B-10ML "I" O.GREEN 91151(L)-NS</t>
  </si>
  <si>
    <t>N-OPEN "I" O.GREEN 32C (L)-NS</t>
  </si>
  <si>
    <t>C-TAMPSAFE RSP WT R2 2.0(H)-NS</t>
  </si>
  <si>
    <t>C-TS RSP R2 PINK197 2.0(H)-NS</t>
  </si>
  <si>
    <t>C-TAMPSAFE RSP TANBR R2-2.0-NS</t>
  </si>
  <si>
    <t>SEVO - CAP</t>
  </si>
  <si>
    <t>HDPE: MARLEX 9012</t>
  </si>
  <si>
    <t>SEVO- BODY</t>
  </si>
  <si>
    <t>SEVO - VALVE STEM</t>
  </si>
  <si>
    <t>SEVO- STEM SUPPORT</t>
  </si>
  <si>
    <t>B-5ML RSP NAT R2(270G)(P)-NS</t>
  </si>
  <si>
    <t>PP: Purell RP270G</t>
  </si>
  <si>
    <t>B-5ML RSP WHITE R2(270G)(P)-NS</t>
  </si>
  <si>
    <t>DPI-CB_MOUTH PIECE WHITE</t>
  </si>
  <si>
    <t>ABS: NOVODUR HD M203FC</t>
  </si>
  <si>
    <t>DPI-CB_BODY WHITE</t>
  </si>
  <si>
    <t>N-45mcl RSP NAT SUSPENSION-NS</t>
  </si>
  <si>
    <t>N-BLOCK RG NATURAL-3R (L)-NS</t>
  </si>
  <si>
    <t>C-TS RSP R2 GREY 2.0(H)-NS</t>
  </si>
  <si>
    <t>C-TS RSP R2 GRN(348C)2.0(H)-NS</t>
  </si>
  <si>
    <t>C-TS RSP RED1797 R2 2.0 (H)-NS</t>
  </si>
  <si>
    <t>C-TS RSP PURPLE R2 2.0 (H)-NS</t>
  </si>
  <si>
    <t>C-TS RSP BLUE R2 2.0 (H)-NS</t>
  </si>
  <si>
    <t>N-BLOCK RG WHITE-3R (L)-NS</t>
  </si>
  <si>
    <t>C-TS RSP YELLOW110543R2 2.0-NS</t>
  </si>
  <si>
    <t>DPI-CB_CAP</t>
  </si>
  <si>
    <t>C-TAMPSAFE RSP TURQ.R2 2.0-NS</t>
  </si>
  <si>
    <t>DPI-CB_BOTTOM WHITE</t>
  </si>
  <si>
    <t>C-TAMPSAFE RSP OR1585R2 2.0-NS</t>
  </si>
  <si>
    <t>DPI-CB_BUTTON BLUE</t>
  </si>
  <si>
    <t>MABS: TERLUX HD 2812</t>
  </si>
  <si>
    <t>N-BLOCK RG WHT(L-1840H) 64C-NS</t>
  </si>
  <si>
    <t>B-5ML EX.RG WHITE (L-1840H)-NS</t>
  </si>
  <si>
    <t>B-15ML EX.RG WHITE(L-1840H)-NS</t>
  </si>
  <si>
    <t>C-TAMPSAFE "O" O GRN 24C(H)-NS</t>
  </si>
  <si>
    <t>DESFLURANE - CAP</t>
  </si>
  <si>
    <t>DES - NOZZLE</t>
  </si>
  <si>
    <t>DES - SCREW BASE</t>
  </si>
  <si>
    <t>DES - SPRING COVER</t>
  </si>
  <si>
    <t>28MM OUTER CAPS VIOLET(2612C)</t>
  </si>
  <si>
    <t>28MM OUTER VIOLET(2612C)(MAS)</t>
  </si>
  <si>
    <t>B-5ML RSP NAT R2 EZI-FLOW-NS</t>
  </si>
  <si>
    <t>B-5ML RSP WHT R2 EZI-FLOW-NS</t>
  </si>
  <si>
    <t>B-10ML RSP NAT R2 EZI-FLOW-NS</t>
  </si>
  <si>
    <t>B-10ML RSP WHT R2 EZI-FLOW-NS</t>
  </si>
  <si>
    <t>C-TS RSP R2 PINK197EZI-FLOW-NS</t>
  </si>
  <si>
    <t>C-TS RSP YELLOW R2 EZI-FLOW-NS</t>
  </si>
  <si>
    <t>N-OPEN RSP NAT EZI-FLOW-NS</t>
  </si>
  <si>
    <t>N-OPEN RSP WHT EZI-FLOW-NS</t>
  </si>
  <si>
    <t>C-TS "O" VIOLET 91155 (H)-NS</t>
  </si>
  <si>
    <t>INSPIRA-CAP VIOLET(2583C)-ABS</t>
  </si>
  <si>
    <t>DPI-CB_CAP VIOLET(2583C)-MABS</t>
  </si>
  <si>
    <t>DPI-CB_BUTTON VIO(2583C)-MABS</t>
  </si>
  <si>
    <t>INSPIRA - BUTTON (2583C)-  ABS</t>
  </si>
  <si>
    <t>C-TS "O" U.YELLOW (H-M)-NS</t>
  </si>
  <si>
    <t>C-TS "O" VIOLET 91155 (H-M)-NS</t>
  </si>
  <si>
    <t>B-15ML RSP NAT R2 EZI-FLOW-NS</t>
  </si>
  <si>
    <t>B-15ML RSP WHT R2 EZI-FLOW-NS</t>
  </si>
  <si>
    <t>B-10ML "O" P. GREEN (L)-NS</t>
  </si>
  <si>
    <t>N-OPEN "O" P. GREEN (L)-NS</t>
  </si>
  <si>
    <t>DPI-CB_BUTTON ORANGE(165C)</t>
  </si>
  <si>
    <t>INSPIRA - BUTTON (264C)-MABS</t>
  </si>
  <si>
    <t>INSPIRA -CAP VIOLET(264C)-MABS</t>
  </si>
  <si>
    <t>INSPIRA -CAP ORANGE(165C)-MABS</t>
  </si>
  <si>
    <t>C-TS RSP EZI-F OR1585R2 2.0-NS</t>
  </si>
  <si>
    <t>N-OPEN RSP-30mcl NAT NEW(L)-NS</t>
  </si>
  <si>
    <t>C-TS RSP R2 2.0 WHT 1905(H)-NS</t>
  </si>
  <si>
    <t>C-TS RSPTURQ R2 2.0EZI-FLOW-NS</t>
  </si>
  <si>
    <t>N-45mcl RSP WHT SUSPENSION-NS</t>
  </si>
  <si>
    <t>C-DABUR SSFT (P)-19mm</t>
  </si>
  <si>
    <t>PPCP: REPOL SRM100NC</t>
  </si>
  <si>
    <t>C-DABUR SSFT (P)-22mm</t>
  </si>
  <si>
    <t>C-DABUR SSFT (P)-25mm</t>
  </si>
  <si>
    <t>C-TS RSP R2 2.0 WT 176031-NS</t>
  </si>
  <si>
    <t>B-5ML "O" P. GREEN (L)-NS</t>
  </si>
  <si>
    <t>B-4ML RSP WHITE R2 (L)-NS</t>
  </si>
  <si>
    <t>B-7ML RSP NATURAL R2 (L)-NS</t>
  </si>
  <si>
    <t>33MM INNER CAPS NAT (MAS)-64C</t>
  </si>
  <si>
    <t>33MM OUTER CAPS WHITE(MAS)-64C</t>
  </si>
  <si>
    <t>C-TS RSP R2 2.0 PINK197 EZI-NS</t>
  </si>
  <si>
    <t>N-OPEN RSP 60MLTR NAT EZI-NS</t>
  </si>
  <si>
    <t>N-OPEN RSP 60MLTR WHT EZI-NS</t>
  </si>
  <si>
    <t>C-TAMPSAFE "I" ROSEPINK (H)-NS</t>
  </si>
  <si>
    <t>B-10ML RSP NATURAL R2(L)HW</t>
  </si>
  <si>
    <t>LLDPE: RELENE JF19010</t>
  </si>
  <si>
    <t>C-TAMPSAFE "I" 314735(H)-NS</t>
  </si>
  <si>
    <t>C-TAMPSAFE "I"YELLOW 290706-NS</t>
  </si>
  <si>
    <t>C-TAMPSAFE "I" 334904(H)-NS</t>
  </si>
  <si>
    <t>C-C&amp;C FLIP TOP (P)-20mm</t>
  </si>
  <si>
    <t>C-TAMPSAFE "I" ORG 336940-NS</t>
  </si>
  <si>
    <t>C-TAMPSAFE "I" VIO 336941-NS</t>
  </si>
  <si>
    <t>C-TAMPSAFE "I"YELLOW 336942-NS</t>
  </si>
  <si>
    <t>33MM OUTER CAPS WHITE PIC(MAS)</t>
  </si>
  <si>
    <t>INSPIRA - BUTTON RED (186C)</t>
  </si>
  <si>
    <t>PNEUMOHALER FLAP</t>
  </si>
  <si>
    <t>PNEUMOHALER VALVE</t>
  </si>
  <si>
    <t>PNEUMOHALER BOTTOM</t>
  </si>
  <si>
    <t>PP: PURELL RP378T</t>
  </si>
  <si>
    <t>PNEUMOHALER ACTUATOR-LUPIN</t>
  </si>
  <si>
    <t>PNEUMOHALER OUTER TUBE</t>
  </si>
  <si>
    <t>PNEUMOHALER INNER TUBE</t>
  </si>
  <si>
    <t>PNEUMOHALER DUST CAP -P165C</t>
  </si>
  <si>
    <t>PNEUMOHALER WINDOW</t>
  </si>
  <si>
    <t>MAKROLON 2458 POLYCORBONATE</t>
  </si>
  <si>
    <t>B-60ML DAL NATURAL (PET)</t>
  </si>
  <si>
    <t>PET: RELPET G5801</t>
  </si>
  <si>
    <t>B-15ML "O" O.GREEN (PDP)(L)-NS</t>
  </si>
  <si>
    <t>C-TS "O" O.GREEN (PDP)(H)-NS</t>
  </si>
  <si>
    <t>N-OPEN "O" O. GREEN(PDP)(L)-NS</t>
  </si>
  <si>
    <t>B-5ML "O" WHITE (PDP)(L)-NS</t>
  </si>
  <si>
    <t>C-TAMPSAFE "O" WHT (PDP)(H)-NS</t>
  </si>
  <si>
    <t>N-OPEN "O"NATURAL (PDP) (L)-NS</t>
  </si>
  <si>
    <t>B-5ML "O"NATURAL (PDP) (L)-NS</t>
  </si>
  <si>
    <t>B-15ML "O" NATURAL (PDP)(L)-NS</t>
  </si>
  <si>
    <t>B-5 ML RSP O. GREEN (L)-NS</t>
  </si>
  <si>
    <t>INSPIRA-BUTTON VIO(7655C)-OPQ</t>
  </si>
  <si>
    <t>INSPIRA-CAP VIOLET(7655C)-ABS</t>
  </si>
  <si>
    <t>B-10ML RSP TANBROWN R2 (L)-NS</t>
  </si>
  <si>
    <t>PPCP: REPOL SR20NC</t>
  </si>
  <si>
    <t>B-15ML RSP TANBROWN R2 (L)-NS</t>
  </si>
  <si>
    <t>DPI-CB_MOUTH PIECE WHITE -PP</t>
  </si>
  <si>
    <t>DPI-CB_BODY WHITE-PP</t>
  </si>
  <si>
    <t>DPI-CB_BOTTOM WHITE-PP</t>
  </si>
  <si>
    <t>INSPIRA-BUTTON VIO(PP41420385)</t>
  </si>
  <si>
    <t>DPI-CB_CAP WHITE 43100-PP</t>
  </si>
  <si>
    <t>C-TS RSP NATURAL R2 2.0(H)-NS</t>
  </si>
  <si>
    <t>28MM OUTER VIO PP4M415386(MAS)</t>
  </si>
  <si>
    <t>28MM OUTER PUR5121018PPPH(MAS)</t>
  </si>
  <si>
    <t>28MM OUTER CAPS 43100 WHT(MAS)</t>
  </si>
  <si>
    <t>33MM OUTER CAPS 43100 WHT(MAS)</t>
  </si>
  <si>
    <t>38MM OUTER CAPS 43100 WHT(MAS)</t>
  </si>
  <si>
    <t>33MM OUTER CAPS 43100 WHT</t>
  </si>
  <si>
    <t>38MM OUTER CAPS 43100 WHT</t>
  </si>
  <si>
    <t>33MM OUTER CAPS 43100 WHT PIC</t>
  </si>
  <si>
    <t>B-10ML ROUND NATURAL (L)-NS</t>
  </si>
  <si>
    <t>N-OPEN RSP-30mcl NAT NEW(P)-NS</t>
  </si>
  <si>
    <t>N-BLOCK RG NATURAL-3R (LL)-NS</t>
  </si>
  <si>
    <t>N-OPEN RSP-30mcl GRN NEW(L)-NS</t>
  </si>
  <si>
    <t>C-TSRSP R2 GRN415143 2.0(H)-NS</t>
  </si>
  <si>
    <t>B-5ML RSP P.GREEN (S)(L)-NS</t>
  </si>
  <si>
    <t>B-15ML "O" WHITE (H-G)-NS</t>
  </si>
  <si>
    <t>B-10ML RG O.GREEN 16C (L)-NS</t>
  </si>
  <si>
    <t>B-10ML RG WHT 1840H 16C (L)-NS</t>
  </si>
  <si>
    <t>B-15 ML RSP O.GREEN (L)-NS</t>
  </si>
  <si>
    <t>C-TS RSP PURP R2 2.0-24C(H)-NS</t>
  </si>
  <si>
    <t>C-TS RSP BLUE R2 2.0-24C(H)-NS</t>
  </si>
  <si>
    <t>C-TS RSP TURQ.R2 2.0-24C(H)-NS</t>
  </si>
  <si>
    <t>C-TAMPSAFE "O" SKY BLUE (H)-NS</t>
  </si>
  <si>
    <t>B-10ML RSP WHITE R2 SP (L)-NS</t>
  </si>
  <si>
    <t>B-15ML RSP WHITE R2 SP (L)-NS</t>
  </si>
  <si>
    <t>B-10ML RSP WHITE R2 5104(L)-NS</t>
  </si>
  <si>
    <t>LDPE: MARLEX 5104</t>
  </si>
  <si>
    <t>B-5ML RSP NATURAL R2 NEW(H)-NS</t>
  </si>
  <si>
    <t>B-10ML RG NATURAL (PP-S)-NS</t>
  </si>
  <si>
    <t>B-10ML RG NATURAL (PP-E)-NS</t>
  </si>
  <si>
    <t>C-TS RSP WT R2 2.0 24C (H)-NS</t>
  </si>
  <si>
    <t>C-TS RSP R2 GREY 2.0 24C(H)-NS</t>
  </si>
  <si>
    <t>C-TS RSP OR1585R2 2.0 24C-NS</t>
  </si>
  <si>
    <t>C-TS RSP R2 BR 2.0 IND 24C-NS</t>
  </si>
  <si>
    <t>C-TS RSP R2GRN 373C 2.0 24C-NS</t>
  </si>
  <si>
    <t>C-TS RSP R2 PINK197 2.0 24C-NS</t>
  </si>
  <si>
    <t>C-TS RSPR2 GRN(348C)2.0 24C-NS</t>
  </si>
  <si>
    <t>C-TS RSP RED1797 R2 2.0 24C-NS</t>
  </si>
  <si>
    <t>C-TS RSP PURPLE R2 2.0 24C-NS</t>
  </si>
  <si>
    <t>C-TS RSP BLUE R2 2.0 24C(H)-NS</t>
  </si>
  <si>
    <t>C-TS RSP YW110543R2 2.0 24C-NS</t>
  </si>
  <si>
    <t>C-TS RSP TURQ.R2 2.0 24C-NS</t>
  </si>
  <si>
    <t>C-TS RSP TANBR R2 2.0 24C-NS</t>
  </si>
  <si>
    <t>C-TS RSPR2 2.0 WHT1905 24C-NS</t>
  </si>
  <si>
    <t>C-TS RSPR2 2.0PK 176237 24C-NS</t>
  </si>
  <si>
    <t>C-TS RSP R2 TUR 2.0 24C EZI-NS</t>
  </si>
  <si>
    <t>C-TS RSPR2 2.0WT 176031 24C-NS</t>
  </si>
  <si>
    <t>C-TS RSPR2 2.0 PK197 24C EZ-NS</t>
  </si>
  <si>
    <t>C-TS RSP NAT R2 2.0 24C (H)-NS</t>
  </si>
  <si>
    <t>C-TSRSPR2 GRN415143 2.0 24C-NS</t>
  </si>
  <si>
    <t>C-TSRSPR2 OR1585 2.0 24CEZI-NS</t>
  </si>
  <si>
    <t>C-TS RSPR2 YLW110543 2.0 EF-NS</t>
  </si>
  <si>
    <t>B-10ML "I" NATURAL-16C(L)-NS</t>
  </si>
  <si>
    <t>B-10ML "I"O.GRN91151-16C(L)-NS</t>
  </si>
  <si>
    <t>DPI -CB_BUTTON-YELLOW(106C)</t>
  </si>
  <si>
    <t>DPI -CB_CAP- YELLOW(106C)-MABS</t>
  </si>
  <si>
    <t>N-OPEN RSP-60MCL NAT 24C(L)-NS</t>
  </si>
  <si>
    <t>N-OPEN RSP-60MCL WHT 24C(L)-NS</t>
  </si>
  <si>
    <t>B-4ML RSP NATURAL R2 (L)-NS</t>
  </si>
  <si>
    <t>N-OPEN RSP60MCL GRN348C 24C-NS</t>
  </si>
  <si>
    <t>B-5ML RSP WHITE176031 (L)-NS</t>
  </si>
  <si>
    <t>B-10ML RSP WHITE176031 (L)-NS</t>
  </si>
  <si>
    <t>B-5ML RG O. GRN 5373(1840H)-NS</t>
  </si>
  <si>
    <t>B-10ML RG O.GRN 5373(1840H)-NS</t>
  </si>
  <si>
    <t>B-10ML RSP WHT176031 R2(L)-NS</t>
  </si>
  <si>
    <t>B-5ML RSP WHITE176031 R2(L)-NS</t>
  </si>
  <si>
    <t>N-OPEN "I" NAT NEW 48C (L)-NS</t>
  </si>
  <si>
    <t>N-OPEN "I" WHITE NEW 48C(L)-NS</t>
  </si>
  <si>
    <t>B-5ML RSP WHITE R2 (H)-NS</t>
  </si>
  <si>
    <t>B-5ML RSP NATURAL R2 (H)-NS</t>
  </si>
  <si>
    <t>B-5ML RSP GREEN 5143 R2 (H)-NS</t>
  </si>
  <si>
    <t>B-5ML "O" WHITE (L-J)-NS</t>
  </si>
  <si>
    <t>B-10ML "O" WHITE (L-J)-NS</t>
  </si>
  <si>
    <t>B-5ML "I" WHITE 12C (L-J)-NS</t>
  </si>
  <si>
    <t>B-10ML "I" WHITE 16C (L-J)-NS</t>
  </si>
  <si>
    <t>B-10ML RSP GREEN 5143 R2(H)-NS</t>
  </si>
  <si>
    <t>33MM OUTERCAP 43100WHT 64C-MAS</t>
  </si>
  <si>
    <t>INSPIRA-CAP BLUE-MABS</t>
  </si>
  <si>
    <t>INSPIRA-CAP RED-MABS</t>
  </si>
  <si>
    <t>C-TAMPSAFE "O" WHITE-24C(H)-NS</t>
  </si>
  <si>
    <t>B-5ML RSPR2 O.GRN373-1840H-NS</t>
  </si>
  <si>
    <t>B-10ML RSPR2 O.GRN373-1840H-NS</t>
  </si>
  <si>
    <t>N-OPEN RSP O.GRN373-1840H-NS</t>
  </si>
  <si>
    <t>C-TS RSPR2 2.0 O.GRN373-24C-NS</t>
  </si>
  <si>
    <t>N-RISDROP NOZZLE 60MLTR WHT-NS</t>
  </si>
  <si>
    <t>N-RISDROP NOZZLE 60MLTR NAT-NS</t>
  </si>
  <si>
    <t>B-10ML RSP WHITE R2 (H+L)-NS</t>
  </si>
  <si>
    <t>B-15ML RSP WHITE R2 (H+L)-NS</t>
  </si>
  <si>
    <t>N-RISDROP 45MCLWHT-L-MARLEX-NS</t>
  </si>
  <si>
    <t>C-TS RSPR2 WT43100-(PP6331)-NS</t>
  </si>
  <si>
    <t>N-RISDROP NOZZLE 45 mcL NAT</t>
  </si>
  <si>
    <t>N-RISDROP NOZZLE 30 mcL NAT</t>
  </si>
  <si>
    <t>B-10ML RG O. GREEN271(L-F)-NS</t>
  </si>
  <si>
    <t>DPI-CB_BODY WHT-UHR-45LPM</t>
  </si>
  <si>
    <t>DPI-CB_CAP NATURAL-MABS</t>
  </si>
  <si>
    <t>B-5ML RSP R2 GREEN5271(L) -NS</t>
  </si>
  <si>
    <t>B-10ML RSP R2 GREEN5271(L) -NS</t>
  </si>
  <si>
    <t>N-OPEN RSP GREEN5271(L) -NS</t>
  </si>
  <si>
    <t>C-TS RSP R2 2.0GRN5271-24C-NS</t>
  </si>
  <si>
    <t>C-RSP TE LESS WHITE(H)-NS</t>
  </si>
  <si>
    <t>DOWLEX 2517 POLYETHYLENE RESIN</t>
  </si>
  <si>
    <t>DPI-CD_TRANSMISSION</t>
  </si>
  <si>
    <t>B-15ML RSP WHT176031 R2(L)-NS</t>
  </si>
  <si>
    <t>B-15ML RSP R2 GREEN5271(L) -NS</t>
  </si>
  <si>
    <t>B-15ML RSPR2 O.GRN373-1840H-NS</t>
  </si>
  <si>
    <t>C-TAMPSAFE SS(R) WHITE(H)3P-NS</t>
  </si>
  <si>
    <t>B-15ML RG WHITE (L) 3P-NS</t>
  </si>
  <si>
    <t>N-OPEN RG WHITE 64C(L) 3P-NS</t>
  </si>
  <si>
    <t>B-15ML EX.RG WHITE (L) 16C-NS</t>
  </si>
  <si>
    <t>B-5ML "I" OGREEN-12C-HW(L)-NS</t>
  </si>
  <si>
    <t>C-TS RSP R2 2.0WHT6541A-24C-NS</t>
  </si>
  <si>
    <t>C-TS RSPR2 2.0PINK6541A-24C-NS</t>
  </si>
  <si>
    <t>C-TS RSPR2 2.0TURQ6541A-24C-NS</t>
  </si>
  <si>
    <t>C-TSRSPR2 2.0TANBR6541A-24C-NS</t>
  </si>
  <si>
    <t>N-35mcl RSP WHT SUSPENSION-NS</t>
  </si>
  <si>
    <t>C-TAMPSAFE RSP GRN415143(H)-NS</t>
  </si>
  <si>
    <t>C-TAMPSAFE RSP GRN348C (H)-NS</t>
  </si>
  <si>
    <t>C-TAMPSAFE RSP GRN373 (H)-NS</t>
  </si>
  <si>
    <t>PNEUMOHALER TOP CAP</t>
  </si>
  <si>
    <t>PNEUMOHALER SPRING HOLDER</t>
  </si>
  <si>
    <t>PNEUMOHALER BLOCK SPRING NAT</t>
  </si>
  <si>
    <t>38MM OUTER CAP BLUE(2945C)-MAS</t>
  </si>
  <si>
    <t>33MM OUTER CAP BLUE(2945C)-MAS</t>
  </si>
  <si>
    <t>C-TS RSP R2 2.0 YEL 24C EZI-NS</t>
  </si>
  <si>
    <t xml:space="preserve"> B-7ML RSP R2 WHITE (L)-NS</t>
  </si>
  <si>
    <t>N-OPEN RSP GRN415198(L)-NS</t>
  </si>
  <si>
    <t>N-OPEN RSP NATURAL-64C(L)-NS</t>
  </si>
  <si>
    <t>C-TS RSP R2 2.0 TANBR 64C-NS</t>
  </si>
  <si>
    <t>C-TSRSPR2 2.0 GRN415143 64C-NS</t>
  </si>
  <si>
    <t>C-TS RSP R2 2.0 TURQ. 64C-NS</t>
  </si>
  <si>
    <t>C-TS RSP R2 2.0 GREY 64C-NS</t>
  </si>
  <si>
    <t>C-TS RSP R2 2.0 PINK 64C-NS</t>
  </si>
  <si>
    <t>B-5ML "I" WHITE 16C-HW (L)-NS</t>
  </si>
  <si>
    <t>N-RISDROP NOZZL 30mcl O.GRN-NS</t>
  </si>
  <si>
    <t>N-RISDROP 30mcl INSRT O.GRN-NS</t>
  </si>
  <si>
    <t>N-45mcl SUSPENSION NAT APL-NS</t>
  </si>
  <si>
    <t>N-45mcl SUSPENSION WHT APL-NS</t>
  </si>
  <si>
    <t>C-TS RSP R22.0 PINK310239 E-NS</t>
  </si>
  <si>
    <t>C-TS RSPR2 2.0 PINK ACP6541-NS</t>
  </si>
  <si>
    <t>B-5ML RSP WHT PL0M415169(L)-NS</t>
  </si>
  <si>
    <t>C-TS RSP OR1585R2 2.0 64C-NS</t>
  </si>
  <si>
    <t>C-TS RSP PURPLE R2 2.0 64C-NS</t>
  </si>
  <si>
    <t>C-TS RSP BLUE R2 2.0 64C-NS</t>
  </si>
  <si>
    <t>C-TAMPSAFE "O" P.GRN 24C(H)-NS</t>
  </si>
  <si>
    <t>B-5ML RSP WHT415169 R2 (L)-NS</t>
  </si>
  <si>
    <t>B-10ML RSP WHT415169 R2 (L)-NS</t>
  </si>
  <si>
    <t>180ML TGP CUP WHITE</t>
  </si>
  <si>
    <t>PP: REPOL H050MN</t>
  </si>
  <si>
    <t>PP: C015 EG</t>
  </si>
  <si>
    <t>N-RISDROP 45MLTR BLUE 2945C-NS</t>
  </si>
  <si>
    <t>N-RISDROP 45MLTR INSRT BLUE-NS</t>
  </si>
  <si>
    <t>PNEUMOHALER ACTUATOR-ZYDUS</t>
  </si>
  <si>
    <t>PNEUMOHALER ACTUATOR-RUSBIO</t>
  </si>
  <si>
    <t>PNEUMOHALER ACTUATOR-AMPHASTAR</t>
  </si>
  <si>
    <t>C-TS RSP RED1797 R2 2.0 64C-NS</t>
  </si>
  <si>
    <t>33MM INNER CAPS CH120LN-BRK</t>
  </si>
  <si>
    <t>C-TS RSP R2 2.0 PINK64C EZI-NS</t>
  </si>
  <si>
    <t>C-TS RSP R2 2.0 YEL 64C EZI-NS</t>
  </si>
  <si>
    <t>180ML TGP CUP PRT ORANGEY</t>
  </si>
  <si>
    <t>180ML TGP CUP PRT LEMONY</t>
  </si>
  <si>
    <t>PNEUMOHALER LOCK NUT</t>
  </si>
  <si>
    <t>28MM MEDI-LOC OUTER WHT(HD50)</t>
  </si>
  <si>
    <t>RELENE HD50MA180</t>
  </si>
  <si>
    <t>28MM MEDI-LOC INNER NAT(MAS)</t>
  </si>
  <si>
    <t>C-TS RSP R2 2 YEL110543 64C-NS</t>
  </si>
  <si>
    <t>B-10ML RSP NAT R2 16C (L)-NS</t>
  </si>
  <si>
    <t>B-10ML RSP R2 GRN415143-16C-NS</t>
  </si>
  <si>
    <t>B-5ML RSP WHITE R2 48C(L)-NS</t>
  </si>
  <si>
    <t>B-5ML RSP NATURAL R2 48C(L)-NS</t>
  </si>
  <si>
    <t>B-5ML RSP NATURAL 48C(L)-NS</t>
  </si>
  <si>
    <t>B-5ML RSP WHITE 48C(L)-NS</t>
  </si>
  <si>
    <t>B-5ML "O" WHITE 48C(L)-NS</t>
  </si>
  <si>
    <t>B-5ML "O" NATURAL 48C(L)-NS</t>
  </si>
  <si>
    <t>B-10ML "O" WHITE 18C(L-J)-NS</t>
  </si>
  <si>
    <t>B-10ML O DESIGN O.GRN18C(L)-NS</t>
  </si>
  <si>
    <t>C-TS RSP R2 GRN348C 64C(H)-NS</t>
  </si>
  <si>
    <t>C-TS RSP YW110543R2 2.0 64C-NS</t>
  </si>
  <si>
    <t>B-5ML RSP WHITE R2 NEW (H)-NS</t>
  </si>
  <si>
    <t>B-10ML RSP WHITE-18C (L)-NS</t>
  </si>
  <si>
    <t>C-TS "O" VILT91155 24C(H-M)-NS</t>
  </si>
  <si>
    <t>B-10ML RSP O. GREEN-18C (L)-NS</t>
  </si>
  <si>
    <t>B-15ML EX.RG NAT (L) 16C-NS</t>
  </si>
  <si>
    <t>B-5ML "I" OGREEN-16C-HW(L)-NS</t>
  </si>
  <si>
    <t>B-10ML RSP WHITE-JMJ (L)-NS</t>
  </si>
  <si>
    <t>SEVO- BODY V3</t>
  </si>
  <si>
    <t>B-5ML RG O. GREEN-12C (L) -NS</t>
  </si>
  <si>
    <t>PNEUMOHALER BLOCK SPRING GREEN</t>
  </si>
  <si>
    <t>B-10ML "O"O.GREEN -18C(L)-NS</t>
  </si>
  <si>
    <t>PNEUMOHALER DUST CAP -P212C</t>
  </si>
  <si>
    <t>PNEUMOHALER DUST CAP -P215C</t>
  </si>
  <si>
    <t>PNEUMOHALER DUST CAP -P1495C</t>
  </si>
  <si>
    <t>PNEUMOHALER DUST CAP -P201C</t>
  </si>
  <si>
    <t>PNEUMOHALER DUST CAP -P528C</t>
  </si>
  <si>
    <t>PNEUMOHALER DUST CAP -P7628C</t>
  </si>
  <si>
    <t>PNEUMOHALER DUST CAP -P7629C</t>
  </si>
  <si>
    <t>PNEUMOHALER DUST CAP -P2338C</t>
  </si>
  <si>
    <t>PNEUMOHALER DUST CAP -P529C</t>
  </si>
  <si>
    <t>PNEUMOHALER DUST CAP -P2337C</t>
  </si>
  <si>
    <t>B-10ML RSP NATURAL-18C(L)-NS</t>
  </si>
  <si>
    <t>N-OPEN RSP NATURAL(L) SCD-NS</t>
  </si>
  <si>
    <t>C-TAMP SAFE"I" GREY75198(H)-NS</t>
  </si>
  <si>
    <t>PNEUMOHALER TOP CAP PP0M415313</t>
  </si>
  <si>
    <t>C-TAMPSAFE "O" DARK BLUE(H)-NS</t>
  </si>
  <si>
    <t>C-TAMPSAFE SS(R)BLUE 275733-NS</t>
  </si>
  <si>
    <t>38MM OUTER CAP WHITE(MAS)-ENGR</t>
  </si>
  <si>
    <t>C-TAMPSAFE "O" SKY BLUE 24C-NS</t>
  </si>
  <si>
    <t>DPI-CB_BODY WHT-HR-65 LPM</t>
  </si>
  <si>
    <t>C-TS "O" U.Yellow 24C (H-M)-NS</t>
  </si>
  <si>
    <t>C-TAMPSAFE SS(R) TURQ (H)-NS</t>
  </si>
  <si>
    <t>C-TS"O" TE LESS WHITE(H)-NS</t>
  </si>
  <si>
    <t>DPI-CB_CAP RED(MC)-MABS</t>
  </si>
  <si>
    <t>B-10ML "O" WHITE-18C (L)-NS</t>
  </si>
  <si>
    <t>B-5ML RSP NAT 48C(L).-NS</t>
  </si>
  <si>
    <t>C-TS RSPR2 2.0 O.GRN373-64C-NS</t>
  </si>
  <si>
    <t>B-15ML RSP NATURAL(H)-NS</t>
  </si>
  <si>
    <t>B-15ML RSP WHITE (H)-NS</t>
  </si>
  <si>
    <t>C-TS RSP R2GRN 373C 2.0 64C-NS</t>
  </si>
  <si>
    <t>PNEUMOHALER OUTER TUBE VIO2635</t>
  </si>
  <si>
    <t>PNEUMOHALER TOP CAP-2635C</t>
  </si>
  <si>
    <t>PNEUMOHALER BOTTOM-2635C</t>
  </si>
  <si>
    <t>N-45mcl SUSPENSION WHT AMNL-NS</t>
  </si>
  <si>
    <t>B-15ML RSP WHT R2 1810E(L)-NS</t>
  </si>
  <si>
    <t>B-5ML RSP WHT 48C(L).-NS</t>
  </si>
  <si>
    <t>C-TS RSP RED 1797C P (H)-NS</t>
  </si>
  <si>
    <t>PNEUMOHALEROUTERTUBE VIO518297</t>
  </si>
  <si>
    <t>PNEUMOHALER TOP CAP-(MEV)2635C</t>
  </si>
  <si>
    <t>PNEUMOHALER BOTTOM-(MEV)2635C</t>
  </si>
  <si>
    <t>DPI-CB_BOTTOM WHITE (BB)</t>
  </si>
  <si>
    <t>DPI-CB_BODY WHITE_BB</t>
  </si>
  <si>
    <t>DPI-CB_ MOUTH PIECE WHITE-BB</t>
  </si>
  <si>
    <t>C-TAMPSAFE "O" T.BROWN (H)-NS</t>
  </si>
  <si>
    <t>C-DOUBLESAFE NX TRQS (H)-NS</t>
  </si>
  <si>
    <t>BERRYHALER MOUTH ADAPTER</t>
  </si>
  <si>
    <t>C-TS RSP PUR R2 2.0 64C EZI-NS</t>
  </si>
  <si>
    <t>DPI-CB-CAP (MB 485C)</t>
  </si>
  <si>
    <t>DPI-CB_BODY WHITE-65 LPM</t>
  </si>
  <si>
    <t>DPI-CB_BODY WHITE-45 LPM ABS</t>
  </si>
  <si>
    <t>DPI-CB_BODY WHITE-MacHaler PRT</t>
  </si>
  <si>
    <t>INSPIRA - BUTTON RED (485C MB)</t>
  </si>
  <si>
    <t>BERRYHALER LOADING CAP</t>
  </si>
  <si>
    <t>BERRYHALER DOSING RING</t>
  </si>
  <si>
    <t>BERRYHALER GEAR RING</t>
  </si>
  <si>
    <t>BERRYHALER DRIVER</t>
  </si>
  <si>
    <t>BERRYHALER WINDOW</t>
  </si>
  <si>
    <t>DPI-CB_BDY WHT 45 Machaler PRT</t>
  </si>
  <si>
    <t>B-5ML RSP WHT R2 48C(L)SCD-NS</t>
  </si>
  <si>
    <t>C-TS RSP R2 2.0 GRY 64C SCD-NS</t>
  </si>
  <si>
    <t>N-RSP-30mcl NAT NEW(L)SCD-NS</t>
  </si>
  <si>
    <t>C-DSNX BLUE 408856 - NS</t>
  </si>
  <si>
    <t>C-TAMPSAFE SS(R)BLUE 408856-NS</t>
  </si>
  <si>
    <t>DPI-CBCAPMABS-MB654 C-BH print</t>
  </si>
  <si>
    <t>B-10ML RSP NAT R2 MDI-APT-NS</t>
  </si>
  <si>
    <t>N-OPEN RSP NAT MDI-APT-NS</t>
  </si>
  <si>
    <t>C-TS RSP R2 2.0 WHT 64C MDI-NS</t>
  </si>
  <si>
    <t>N-OPEN RSP NATURAL 64C SCD-NS</t>
  </si>
  <si>
    <t>N-BLOCK RG WHITE-3R (LL)-NS</t>
  </si>
  <si>
    <t>C-RSP TE LESS RED1797(H)-NS</t>
  </si>
  <si>
    <t>B-10ML EX.RG WHT 16C-MAF(L)-NS</t>
  </si>
  <si>
    <t>DPI-CB_CAP_POLYLAC PA</t>
  </si>
  <si>
    <t>ABS: POLYLAC PA-704LRP</t>
  </si>
  <si>
    <t>DPI-CB_CAP_MABS (MEVPUR WHITE)</t>
  </si>
  <si>
    <t>N-35mcl SOLUTION NAT ORBI-NS</t>
  </si>
  <si>
    <t>DPI-CB_BUTTON RED (RD TR)</t>
  </si>
  <si>
    <t>N-OPEN RSP NATURAL-3 RING</t>
  </si>
  <si>
    <t>DPI-CB_CAP RED(413307)-MABS</t>
  </si>
  <si>
    <t>DPI-CB_CAP RED-CC10413307BG(A)</t>
  </si>
  <si>
    <t>N-OPEN RSP WHITE-3 RING-NS</t>
  </si>
  <si>
    <t>DPI- BUTTON RED-CC10413307BG-A</t>
  </si>
  <si>
    <t>BERRYHALER TRANSMISSION</t>
  </si>
  <si>
    <t>BERRYHALER PIERCING SPRING</t>
  </si>
  <si>
    <t>BERRYHALER FRONT LID</t>
  </si>
  <si>
    <t>BERRYHALER COVER</t>
  </si>
  <si>
    <t>BERRYHALER FRONT HOUSING</t>
  </si>
  <si>
    <t>BERRYHALER REAR HOUSING</t>
  </si>
  <si>
    <t>BERRYHALER GUIDE PLATE</t>
  </si>
  <si>
    <t>BERRYHALER MAGAZINE COVER</t>
  </si>
  <si>
    <t>BERRYHALER FRONT CAP</t>
  </si>
  <si>
    <t>BERRYHALER REAR CAP</t>
  </si>
  <si>
    <t>N-OPEN RSP WHT-3 RING (LL)-NS</t>
  </si>
  <si>
    <t>DPI-CB_ MOUTH PIECE_POLYLAC PA</t>
  </si>
  <si>
    <t>DPI-CB_BOTTOM_POLYLAC PA</t>
  </si>
  <si>
    <t>DPI-CB_ BODY_WHT_POLYLAC PA</t>
  </si>
  <si>
    <t>SEVO 3.1 - CAP</t>
  </si>
  <si>
    <t>C-TAMPSAFE "O" GREEN-24C(H)-NS</t>
  </si>
  <si>
    <t>C-TAMPSAFE "O" PINK-24C(H)-NS</t>
  </si>
  <si>
    <t>C-TAMPSAFE "O" BROWN-24C(H)-NS</t>
  </si>
  <si>
    <t>C-TAMPSAFE "O" L-BLUE-24C(H)NS</t>
  </si>
  <si>
    <t>B-5ML RSP WHITE 48C(R)-NS</t>
  </si>
  <si>
    <t>N-OPEN RSP WHITE 64C(R)-NS</t>
  </si>
  <si>
    <t>C-DOUBLESAFE NX G.YELLOW(H)-NS</t>
  </si>
  <si>
    <t>C-DOUBLESAFE NX C. BROWN(H)-NS</t>
  </si>
  <si>
    <t>C-DOUBLESAFE NX REMA.RED(H)-NS</t>
  </si>
  <si>
    <t>38MM OUTER CAPS 1700 RED(MAS)</t>
  </si>
  <si>
    <t>C-DOUBLESAFE PL WHT NX (H)-NS</t>
  </si>
  <si>
    <t>N-BLOCK RG PL WHITE (L)-NS</t>
  </si>
  <si>
    <t>N-OPEN RG PL WHITE 64C (L)-NS</t>
  </si>
  <si>
    <t>B-10ML RG PL WHITE (L)-NS</t>
  </si>
  <si>
    <t>E-LUPI -PCB MOUNTING_POLYLAC</t>
  </si>
  <si>
    <t>E-LUPI -MAIN CASING_POLYLAC</t>
  </si>
  <si>
    <t>E-LUPI -BATTERY CASING_POLYLAC</t>
  </si>
  <si>
    <t>E-LUPI -PIERCING LEVER_POLYLAC</t>
  </si>
  <si>
    <t>C-TAMPSAFE RSP WHITE(H)BLD-NS</t>
  </si>
  <si>
    <t>N-OPEN RSP WHITE (L)BLD-NS</t>
  </si>
  <si>
    <t>N-RISDROP INSERT NAT-NS</t>
  </si>
  <si>
    <t>B-10ML EX.RG PL WHT 16C (L)-NS</t>
  </si>
  <si>
    <t>B-10ML RG PL WHT 1840H (L)-NS</t>
  </si>
  <si>
    <t>N-BLOCK RG PL WHITE-3R (L)-NS</t>
  </si>
  <si>
    <t>B-10ML RG PL WHITE 16C (L)-NS</t>
  </si>
  <si>
    <t>B-10ML RG PLW 1840H 16C (L)-NS</t>
  </si>
  <si>
    <t>RESIN CODE</t>
  </si>
  <si>
    <t xml:space="preserve">RESIN </t>
  </si>
  <si>
    <t>MB CODE</t>
  </si>
  <si>
    <t>N-OPEN RG NATURAL 64C (L-F)-GS</t>
  </si>
  <si>
    <t>N-OPEN RG NATURAL 64C (L-F)-NS</t>
  </si>
  <si>
    <t>LDPE: RELENE 22FF002</t>
  </si>
  <si>
    <t/>
  </si>
  <si>
    <t>N-OPEN RG NATURAL 64C (L-F)-ET</t>
  </si>
  <si>
    <t>N-OPEN RG NATURAL 32C(L-F) -GS</t>
  </si>
  <si>
    <t>N-OPEN RG NATURAL 32C(L-F) -NS</t>
  </si>
  <si>
    <t>N-OPEN RG NATURAL 32C(L-F) -ET</t>
  </si>
  <si>
    <t>B-5ML EX. RG WHITE (L-F)-NS</t>
  </si>
  <si>
    <t>MB: REMAFIN WHITE P7</t>
  </si>
  <si>
    <t>B-5ML EX. RG WHITE (L-F)-ET</t>
  </si>
  <si>
    <t>B-10ML RG WHITE 16C (L-F)-GS</t>
  </si>
  <si>
    <t>B-10ML RG WHITE 16C (L-F)-NS</t>
  </si>
  <si>
    <t>B-10ML EX. RG WHITE (L-F)-GS</t>
  </si>
  <si>
    <t>B-10ML EX. RG WHITE (L-F)-NS</t>
  </si>
  <si>
    <t>B-10ML EX. RG WHITE (L-F)-ET</t>
  </si>
  <si>
    <t>B-5ML RG WHITE (L-F) DS-ET</t>
  </si>
  <si>
    <t>B-5ML RG WHITE (L-F) DS-NS</t>
  </si>
  <si>
    <t>N-BLOCK RG NATURAL (L-F)-GS</t>
  </si>
  <si>
    <t>N-BLOCK RG NATURAL (L-F)-NS</t>
  </si>
  <si>
    <t>N-BLOCK RG NATURAL (L-F)-ET</t>
  </si>
  <si>
    <t>B-5ML RG WHITE (L-F) DS-GS</t>
  </si>
  <si>
    <t>B-15ML RG WHITE (L-F)-GS</t>
  </si>
  <si>
    <t>B-15ML RG WHITE (L-F)-NS</t>
  </si>
  <si>
    <t>B-15ML RG WHITE (L-F)-ET</t>
  </si>
  <si>
    <t>N-OPEN RG NAT. NEW(1840H)-GS</t>
  </si>
  <si>
    <t>N-OPEN RG NAT. NEW(1840H)-ET</t>
  </si>
  <si>
    <t>B-5ML RG WHITE (L-1840H)-GS</t>
  </si>
  <si>
    <t>B-5ML RG WHITE (L-1840H)-ET</t>
  </si>
  <si>
    <t>B-10ML RG WHITE (L-F)-GS</t>
  </si>
  <si>
    <t>B-10ML RG WHITE (L-F)-NS</t>
  </si>
  <si>
    <t>N-OPEN RG NATURAL (L-1840H)-GS</t>
  </si>
  <si>
    <t>N-OPEN RG NATURAL (L-1840H)-ET</t>
  </si>
  <si>
    <t>N-BLOCK RG WHITE (L-F)-NS</t>
  </si>
  <si>
    <t>MB:REMAFIN GREEN 91151</t>
  </si>
  <si>
    <t>B-5ML EX.RG O.GREEN (L)-ET</t>
  </si>
  <si>
    <t>B-10ML EX.RG O.GREEN (L)-GS</t>
  </si>
  <si>
    <t>B-10ML EX.RG O.GREEN (L)-ET</t>
  </si>
  <si>
    <t>B-10ML EX. RG NATURAL (L)-GS</t>
  </si>
  <si>
    <t>B-10ML EX. RG NATURAL (L)-ET</t>
  </si>
  <si>
    <t>B-30ML RG NBSR WHITE (L)-GS</t>
  </si>
  <si>
    <t>MB: MELCOMAITRE WHT08636 1840H</t>
  </si>
  <si>
    <t>B-30ML RG NBSR WHITE (L)-ET</t>
  </si>
  <si>
    <t>B-15ML EX.RG WHITE (L)-GS</t>
  </si>
  <si>
    <t>B-15ML EX.RG WHITE (L)-ET</t>
  </si>
  <si>
    <t>B-5ML RG O. GREEN (L) -GS</t>
  </si>
  <si>
    <t>B-5ML RG O. GREEN (L) -ET</t>
  </si>
  <si>
    <t>B-15ML RG WHITE (L-1840H)-GS</t>
  </si>
  <si>
    <t>B-15ML RG WHITE (L-1840H)-ET</t>
  </si>
  <si>
    <t>B-10ML RG O.GREEN (L) NEW-GS</t>
  </si>
  <si>
    <t>B-10ML RG O.GREEN (L) NEW-ET</t>
  </si>
  <si>
    <t>B-10ML EX.RG WHITE (L)-GS</t>
  </si>
  <si>
    <t>B-10ML EX.RG WHITE (L)-ET</t>
  </si>
  <si>
    <t>N-OPEN RG O.GREEN NEW (L)-GS</t>
  </si>
  <si>
    <t>N-OPEN RG O.GREEN NEW (L)-ET</t>
  </si>
  <si>
    <t>N-OPEN RG NATURAL NEW (L)-GS</t>
  </si>
  <si>
    <t>N-OPEN RG NATURAL NEW (L)-ET</t>
  </si>
  <si>
    <t>B-5ML RG NATURAL (L) DS - GS</t>
  </si>
  <si>
    <t>B-5ML RG NATURAL (L) DS - ET</t>
  </si>
  <si>
    <t>B-10ML RG NATURAL 16C (L-F)-GS</t>
  </si>
  <si>
    <t>B-10ML RG NATURAL 16C (L-F)-NS</t>
  </si>
  <si>
    <t>B-10ML RG NATURAL NEW (L)-ET</t>
  </si>
  <si>
    <t>N-OPEN RG WHITE NEW (L)-GS</t>
  </si>
  <si>
    <t>N-OPEN RG WHITE NEW (L)-ET</t>
  </si>
  <si>
    <t>N-OPEN RG O. GREEN 64C(L)-ET</t>
  </si>
  <si>
    <t>N-BLOCK RG SKY BLUE (L)-GS</t>
  </si>
  <si>
    <t>MB: SKY BLUE7148 BU 50 PE</t>
  </si>
  <si>
    <t>N-BLOCK RG SKY BLUE (L)-ET</t>
  </si>
  <si>
    <t>B-10ML RG WHITE NEW (L)-GS</t>
  </si>
  <si>
    <t>B-10ML RG WHITE NEW (L)-ET</t>
  </si>
  <si>
    <t>B-10ML RG O. GREEN (L)-GS</t>
  </si>
  <si>
    <t>B-10ML RG O. GREEN (L)-ET</t>
  </si>
  <si>
    <t>N-OPEN RG NATURAL 64C(L)-ET</t>
  </si>
  <si>
    <t>B-5ML RG WHITE (L) DS-GS</t>
  </si>
  <si>
    <t>B-5ML RG WHITE (L) DS-ET</t>
  </si>
  <si>
    <t>B-5ML RG SKY BLUE (L)-GS</t>
  </si>
  <si>
    <t>B-5ML RG SKY BLUE (L)-ET</t>
  </si>
  <si>
    <t>B-30ML RG NATURAL (L)-GS</t>
  </si>
  <si>
    <t>B-15ML RG NATURAL (L)-GS</t>
  </si>
  <si>
    <t>B-15ML RG NATURAL (L)-ET</t>
  </si>
  <si>
    <t>B-10ML RG NATURAL (L)-GS</t>
  </si>
  <si>
    <t>B-10ML RG NATURAL (L)-ET</t>
  </si>
  <si>
    <t>N-BLOCK RG WHITE (L)-ET</t>
  </si>
  <si>
    <t>B-5ML RG NATURAL (L)-ET</t>
  </si>
  <si>
    <t>N-OPEN RG WHITE (L)-GS</t>
  </si>
  <si>
    <t>N-OPEN RG WHITE (L)-ET</t>
  </si>
  <si>
    <t>B-30ML RG WHITE (L)-GS</t>
  </si>
  <si>
    <t>B-30ML RG WHITE (L)-ET</t>
  </si>
  <si>
    <t>B-10ML RG WHITE (L)-GS</t>
  </si>
  <si>
    <t>B-10ML RG WHITE (L)-ET</t>
  </si>
  <si>
    <t>B-5ML RG WHITE (L)-ET</t>
  </si>
  <si>
    <t>B-5ML EX NECK RG WT(L) 4C-NS</t>
  </si>
  <si>
    <t>B-5ML RG WHITE (L-F)-GS</t>
  </si>
  <si>
    <t>B-5ML RG WHITE (L-F)-NS</t>
  </si>
  <si>
    <t>B-10ML RG O.GREEN (L-F) NEW-ET</t>
  </si>
  <si>
    <t>B-10ML RG O.GREEN (L-F) NEW-NS</t>
  </si>
  <si>
    <t>B-10ML RG O.GREEN (L-F) NEW-GS</t>
  </si>
  <si>
    <t>B-5ML RG WHITE (L-F)-ET</t>
  </si>
  <si>
    <t>B-10ML RG RED240740 (L) NEW-GS</t>
  </si>
  <si>
    <t>MB: POLYONE 1787C RED 240740</t>
  </si>
  <si>
    <t>B-10ML RG BLUE240737 (L)NEW-GS</t>
  </si>
  <si>
    <t>MB: POLYONE 2995C BLUE 240737</t>
  </si>
  <si>
    <t>B-5ML RG NATURAL -12C (L)-ET</t>
  </si>
  <si>
    <t>B-5ML RG WHITE -12C (L)-ET</t>
  </si>
  <si>
    <t>B-5ML RG WHITE-12C(L-1840H)-GS</t>
  </si>
  <si>
    <t>B-5ML RG WHITE-12C(L-1840H)-ET</t>
  </si>
  <si>
    <t>B-15ML EX.RG NATURAL (L)-GS</t>
  </si>
  <si>
    <t>B-5ML RG O. GREEN (L) DS-GS</t>
  </si>
  <si>
    <t>B-5ML RG O. GREEN (L) DS-ET</t>
  </si>
  <si>
    <t>B-10ML RG NATURAL 12C (L)-GS</t>
  </si>
  <si>
    <t>B-10ML RG NATURAL 12C (L)-ET</t>
  </si>
  <si>
    <t>B-10ML RG WHITE 12C (L)-GS</t>
  </si>
  <si>
    <t>B-10ML RG WHITE 12C (L)-ET</t>
  </si>
  <si>
    <t>MB:REMA.GREEN91159(PE64407303)</t>
  </si>
  <si>
    <t>B-5ML RG NATURAL (L-1840H)-GS</t>
  </si>
  <si>
    <t>B-10ML RG O.GREEN 12C (L)-GS</t>
  </si>
  <si>
    <t>B-10ML RG O.GREEN 12C (L)-ET</t>
  </si>
  <si>
    <t>B-15ML RG  O.GRN 91151-GS</t>
  </si>
  <si>
    <t>B-15ML RG  O.GRN 91151-ET</t>
  </si>
  <si>
    <t>N-OPEN RG NAT 64C(L-1840H)-GS</t>
  </si>
  <si>
    <t>N-OPEN RG NAT 64C(L-1840H)-ET</t>
  </si>
  <si>
    <t>B-10ML EX.RG NATURAL 16C(L)-ET</t>
  </si>
  <si>
    <t>B-10ML EX.RG WHITE 16C (L)-ET</t>
  </si>
  <si>
    <t>B-10ML RG WHITE 1840H (L)-GS</t>
  </si>
  <si>
    <t>B-10ML RG WHITE 1840H (L)-ET</t>
  </si>
  <si>
    <t>B-10ML RG WHT 1840H 12C (L)-GS</t>
  </si>
  <si>
    <t>B-10ML RG WHT 1840H 12C (L)-ET</t>
  </si>
  <si>
    <t>B-5ML EX. RG NATURAL (L)-GS</t>
  </si>
  <si>
    <t>B-5ML EX. RG NATURAL (L)-ET</t>
  </si>
  <si>
    <t>B-5ML EX.RG P.GREEN (L)-ET</t>
  </si>
  <si>
    <t>N-BLOCK RG P.GREEN (L)-ET</t>
  </si>
  <si>
    <t>B-30ML RG NBSR WHT (L-J)NEW-GS</t>
  </si>
  <si>
    <t>B-30ML RG NBSR WHT (L-J)NEW-ET</t>
  </si>
  <si>
    <t>B-5ML RG WHITE  (L-J)-GS</t>
  </si>
  <si>
    <t>B-5ML RG WHITE (L-J)-ET</t>
  </si>
  <si>
    <t>N-BLOCK RG NATURAL(REL) (L)-GS</t>
  </si>
  <si>
    <t>N-BLOCK RG NATURAL (L-J)-NS</t>
  </si>
  <si>
    <t>N-BLOCK RG NATURAL(REL) (L)-ET</t>
  </si>
  <si>
    <t>B-10ML EX.RG WHITE (L-J)-GS</t>
  </si>
  <si>
    <t>B-10ML EX.RG WHITE (L-J)-NS</t>
  </si>
  <si>
    <t>B-10ML EX.RG WHITE (L-J)-ET</t>
  </si>
  <si>
    <t>B-5ML RG NATURAL (L-J)-GS</t>
  </si>
  <si>
    <t>B-5ML RG NATURAL (L-J)-ET</t>
  </si>
  <si>
    <t>N-BLOCK RG WHITE (L-J)-GS</t>
  </si>
  <si>
    <t>N-BLOCK RG WHITE (L-J)-NS</t>
  </si>
  <si>
    <t>N-BLOCK RG WHITE (L-J)-ET</t>
  </si>
  <si>
    <t>B-5ML EX. RG WHITE (L-J)-GS</t>
  </si>
  <si>
    <t>B-5ML EX. RG WHITE (L-J)-NS</t>
  </si>
  <si>
    <t>B-5ML EX. RG WHITE (L-J)-ET</t>
  </si>
  <si>
    <t>B-5ML EX. RG NATURAL (L-J)-GS</t>
  </si>
  <si>
    <t>B-5ML EX. RG NATURAL (L-J)-NS</t>
  </si>
  <si>
    <t>B-5ML EX. RG NATURAL (L-J)-ET</t>
  </si>
  <si>
    <t>N-OPEN RG NATURAL 64C(L-J)-GS</t>
  </si>
  <si>
    <t>N-OPEN RG NATURAL 64C(L-J)-ET</t>
  </si>
  <si>
    <t>N-OPEN RG WHITE 64C (L-J)-GS</t>
  </si>
  <si>
    <t>N-OPEN RG WHITE 64C (L-J)-ET</t>
  </si>
  <si>
    <t>B-10ML RG NATURAL (L-J)-GS</t>
  </si>
  <si>
    <t>B-10ML RG NATURAL  (L-J)-ET</t>
  </si>
  <si>
    <t>B-10ML RG WHITE (L-J)-GS</t>
  </si>
  <si>
    <t>B-10ML RG WHITE  (L-J)-ET</t>
  </si>
  <si>
    <t>B-15ML RG NATURAL (L-J)-GS</t>
  </si>
  <si>
    <t>B-15ML RG NATURAL (L-J)-NS</t>
  </si>
  <si>
    <t>B-15ML RG NATURAL (L-J)-ET</t>
  </si>
  <si>
    <t>B-15ML RG WHITE (L-J)-GS</t>
  </si>
  <si>
    <t>B-15ML RG WHITE (L-J)-NS</t>
  </si>
  <si>
    <t>B-15ML RG WHITE (L-J)-ET</t>
  </si>
  <si>
    <t>B-10ML EX.RG O.GREEN (L-J)-GS</t>
  </si>
  <si>
    <t>B-10ML EX.RG O.GREEN (L-J)-NS</t>
  </si>
  <si>
    <t>B-10ML EX.RG O.GREEN (L-J)-ET</t>
  </si>
  <si>
    <t>N-BLOCK RG O. GREEN (L-J)-GS</t>
  </si>
  <si>
    <t>N-BLOCK RG O. GREEN (L-J)-NS</t>
  </si>
  <si>
    <t>N-BLOCK RG O. GREEN (L-J)-ET</t>
  </si>
  <si>
    <t>B-30ML RG NATURAL (L-J)-GS</t>
  </si>
  <si>
    <t>B-30ML RG NATURAL (L-J)-NS</t>
  </si>
  <si>
    <t>B-30ML RG NATURAL (L-J)-ET</t>
  </si>
  <si>
    <t>B-30ML RG WHITE (L-J)-GS</t>
  </si>
  <si>
    <t>B-30ML RG WHITE (L-J)-NS</t>
  </si>
  <si>
    <t>B-30ML RG WHITE (L-J)-ET</t>
  </si>
  <si>
    <t>B-10ML EX. RG NATURAL (L-J)-GS</t>
  </si>
  <si>
    <t>B-10ML EX. RG NATURAL (L-J)-NS</t>
  </si>
  <si>
    <t>B-10ML EX. RG NATURAL (L-J)-ET</t>
  </si>
  <si>
    <t>B-15ML EX.RG NATURAL (L-J)-GS</t>
  </si>
  <si>
    <t>B-15ML EX.RG NATURAL (L-J)-NS</t>
  </si>
  <si>
    <t>B-15ML EX.RG NATURAL (L-J)-ET</t>
  </si>
  <si>
    <t>B-15ML EX.RG WHITE (L-J)-GS</t>
  </si>
  <si>
    <t>B-15ML EX.RG WHITE (L-J)-NS</t>
  </si>
  <si>
    <t>B-15ML EX.RG WHITE (L-J)-ET</t>
  </si>
  <si>
    <t>B-10ML EX.RG O.GREEN (L-F)-GS</t>
  </si>
  <si>
    <t>B-10ML EX.RG O.GREEN (L-F)-ET</t>
  </si>
  <si>
    <t>N-BLOCK RG O. GREEN (L-F)-GS</t>
  </si>
  <si>
    <t>N-BLOCK RG O. GREEN (L-F)-NS</t>
  </si>
  <si>
    <t>N-BLOCK RG O. GREEN (L-F)-ET</t>
  </si>
  <si>
    <t>N-OPEN RG WHITE 64C (L-F)-GS</t>
  </si>
  <si>
    <t>N-OPEN RG WHITE 64C (L-F)-NS</t>
  </si>
  <si>
    <t>N-OPEN RG WHITE 64C (L-F)-ET</t>
  </si>
  <si>
    <t>N-OPEN RG WHITE 32C (L-F)-GS</t>
  </si>
  <si>
    <t>N-OPEN RG WHITE 32C (L-F)-NS</t>
  </si>
  <si>
    <t>N-OPEN RG WHITE 32C (L-F)-ET</t>
  </si>
  <si>
    <t>N-OPEN RG O.GREEN 64C (L-F)-GS</t>
  </si>
  <si>
    <t>N-OPEN RG O.GREEN 64C (L-F)-NS</t>
  </si>
  <si>
    <t>N-OPEN RG O.GREEN 64C (L-F)-ET</t>
  </si>
  <si>
    <t>B-10ML RG NAT 16C (L-1840H)-GS</t>
  </si>
  <si>
    <t>B-10ML RG NAT 16C (L-1840H)-ET</t>
  </si>
  <si>
    <t>N-OPEN RG O.GREEN 32C (L-F)-GS</t>
  </si>
  <si>
    <t>N-OPEN RG O.GREEN 32C (L-F)-NS</t>
  </si>
  <si>
    <t>N-OPEN RG O.GREEN 32C (L-F)-ET</t>
  </si>
  <si>
    <t>B-15ML EX.RG O.GREEN (L-F)-GS</t>
  </si>
  <si>
    <t>B-15ML EX.RG O.GREEN (L-F)-NS</t>
  </si>
  <si>
    <t>B-15ML EX.RG O.GREEN (L-F)-ET</t>
  </si>
  <si>
    <t>B-10ML RG NAT 6C (L-1840H)-GS</t>
  </si>
  <si>
    <t>B-10ML RG NAT 6C (L-1840H)-ET</t>
  </si>
  <si>
    <t>B-5ML RG NATURAL (L-F)-GS</t>
  </si>
  <si>
    <t>B-5ML RG NATURAL (L-F)-NS</t>
  </si>
  <si>
    <t>B-5ML RG NATURAL (L-F)-ET</t>
  </si>
  <si>
    <t>B-5ML EX.RG O.GREEN (L-F)-GS</t>
  </si>
  <si>
    <t>B-5ML EX.RG O.GREEN (L-F)-ET</t>
  </si>
  <si>
    <t>N-BLOCK RG NATURAL-3R (L)-ET</t>
  </si>
  <si>
    <t>N-BLOCK RG WHT(L-1840H) 64C-GS</t>
  </si>
  <si>
    <t>N-BLOCK RG WHT(L-1840H) 64C-ET</t>
  </si>
  <si>
    <t>B-5ML EX.RG WHITE (L-1840H)-ET</t>
  </si>
  <si>
    <t>B-15ML EX.RG WHITE(L-1840H)-GS</t>
  </si>
  <si>
    <t>B-15ML EX.RG WHITE(L-1840H)-ET</t>
  </si>
  <si>
    <t>MB: POLYONE ORANGE 336940 LDPE</t>
  </si>
  <si>
    <t>C-TAMPSAFE "I" ORG 336940-ET</t>
  </si>
  <si>
    <t>B-10ML RG NATURAL 16C (L)-ET</t>
  </si>
  <si>
    <t>B-10ML RG WHITE 16C (L)-ET</t>
  </si>
  <si>
    <t>B-10ML RG O.GREEN 16C (L)-ET</t>
  </si>
  <si>
    <t>B-10ML RG WHT 1840H 16C (L)-GS</t>
  </si>
  <si>
    <t>B-10ML RG WHT 1840H 16C (L)-ET</t>
  </si>
  <si>
    <t>B-10ML RG NATURAL (PP-S)-GS</t>
  </si>
  <si>
    <t>B-10ML RG NATURAL (PP-S)-ET</t>
  </si>
  <si>
    <t>B-10ML RG NATURAL (PP-E)-GS</t>
  </si>
  <si>
    <t>B-10ML RG NATURAL (PP-E)-ET</t>
  </si>
  <si>
    <t>N-BLOCK RG NATURAL-3R (LL)-GS</t>
  </si>
  <si>
    <t>N-BLOCK RG NATURAL-3R (LL)-ET</t>
  </si>
  <si>
    <t>B-5ML RG O. GRN 5373(1840H)-GS</t>
  </si>
  <si>
    <t>MB:MEVOPUR-GREEN PL6M415373-ZN</t>
  </si>
  <si>
    <t>B-5ML RG O. GREEN 1840H(L)-ET</t>
  </si>
  <si>
    <t>B-10ML RG O.GRN 5373(1840H)-GS</t>
  </si>
  <si>
    <t>B-10ML RG O.GRN 5373(1840H)-ET</t>
  </si>
  <si>
    <t>B-10ML EX. RG WHT 16C(L-F)-GS</t>
  </si>
  <si>
    <t>B-10ML EX. RG WHT 16C(L-F)-NS</t>
  </si>
  <si>
    <t>B-10ML EX. RG WHT 16C(L-F)-ET</t>
  </si>
  <si>
    <t>B-10ML EX. RG NAT 16C (L-F)-GS</t>
  </si>
  <si>
    <t>B-10ML EX. RG NAT 16C (L-F)-NS</t>
  </si>
  <si>
    <t>B-10ML EX. RG NAT 16C (L-F)-ET</t>
  </si>
  <si>
    <t>B-10ML EX.RG O.GRN 16C(L-F)-GS</t>
  </si>
  <si>
    <t>B-10ML EX.RG O.GRN 16C(L-F)-NS</t>
  </si>
  <si>
    <t>B-10ML EX.RG O.GRN 16C(L-F)-ET</t>
  </si>
  <si>
    <t>B-15ML EX.RG WHITE (L-F)-GS</t>
  </si>
  <si>
    <t>B-15ML EX.RG WHITE (L-F)-NS</t>
  </si>
  <si>
    <t>B-15ML EX.RG WHITE (L-F)-ET</t>
  </si>
  <si>
    <t>B-5ML RG WHITE 18C (L-F)-NS</t>
  </si>
  <si>
    <t>B-5ML RG WHITE 18C (L-F)-ET</t>
  </si>
  <si>
    <t>B-5ML RG O. GREEN373(L-F)-GS</t>
  </si>
  <si>
    <t>B-5ML RG O. GREEN373(L-F)-NS</t>
  </si>
  <si>
    <t>B-5ML RG O. GREEN373(L-F)-ET</t>
  </si>
  <si>
    <t>N-OPEN RG O.GRN373 64C(L-F)-GS</t>
  </si>
  <si>
    <t>N-OPEN RG O.GRN373 64C(L-F)-NS</t>
  </si>
  <si>
    <t>N-OPEN RG O.GRN373 64C(L-F)-ET</t>
  </si>
  <si>
    <t>B-10ML RG O. GREEN373(L-F)-GS</t>
  </si>
  <si>
    <t>B-10ML RG O. GREEN373(L-F)-NS</t>
  </si>
  <si>
    <t>B-10ML RG O. GREEN373(L-F)-ET</t>
  </si>
  <si>
    <t>B-5ML RG WHITE (L-J)-GS</t>
  </si>
  <si>
    <t>B-5ML RG O. GREEN (L-F) -GS</t>
  </si>
  <si>
    <t>B-5ML RG O. GREEN (L-F) -NS</t>
  </si>
  <si>
    <t>B-5ML RG O. GREEN (L-F) -ET</t>
  </si>
  <si>
    <t>B-15ML RG WHITE (L) 3P-GS</t>
  </si>
  <si>
    <t>B-15ML RG WHITE (L) 3P-ET</t>
  </si>
  <si>
    <t>N-OPEN RG WHITE 64C(L) 3P-GS</t>
  </si>
  <si>
    <t>N-OPEN RG WHITE 64C(L) 3P-ET</t>
  </si>
  <si>
    <t>B-15ML EX.RG NAT (L) 16C-GS</t>
  </si>
  <si>
    <t>B-15ML EX.RG NAT (L) 16C-ET</t>
  </si>
  <si>
    <t>B-5ML RG O. GREEN-12C (L)-ET</t>
  </si>
  <si>
    <t>N-BLOCK RG WHITE-3R (LL)-GS</t>
  </si>
  <si>
    <t>B-10ML EX.RG WHT 16C-MAF(L)-GS</t>
  </si>
  <si>
    <t>B-10ML EX.RG WHT 16C-MAF(L)-ET</t>
  </si>
  <si>
    <t>N-BLOCK RG O.GREEN-3R (L)-ET</t>
  </si>
  <si>
    <t>B-10ML RG PL WHITE 16C(L-F)-GS</t>
  </si>
  <si>
    <t>B-10ML RG PL WHITE 16C(L-F)-NS</t>
  </si>
  <si>
    <t>MB: POLYWHITE L 8670</t>
  </si>
  <si>
    <t>B-10ML RG PL WHITE 16C(L-F)-ET</t>
  </si>
  <si>
    <t>N-BLOCK RG PL WHITE (L)-GS</t>
  </si>
  <si>
    <t>N-BLOCK RG PL WHITE (L)-ET</t>
  </si>
  <si>
    <t>N-OPEN RG PL WHITE 64C (L)-GS</t>
  </si>
  <si>
    <t>N-OPEN RG PL WHITE 64C (L)-ET</t>
  </si>
  <si>
    <t>B-10ML RG PL WHITE (L)-GS</t>
  </si>
  <si>
    <t>B-10ML RG PL WHITE (L)-ET</t>
  </si>
  <si>
    <t>B-10ML EX.RG PL WHT 16C (L)-GS</t>
  </si>
  <si>
    <t>B-10ML EX.RG PL WHT 16C (L)-ET</t>
  </si>
  <si>
    <t>B-10ML RG PL WHT 1840H (L)-GS</t>
  </si>
  <si>
    <t>B-10ML RG PL WHT 1840H (L)-ET</t>
  </si>
  <si>
    <t>N-BLOCK RG PL WHITE-3R (L)-GS</t>
  </si>
  <si>
    <t>B-10ML EX. RG PLW 16C(L-F)-NS</t>
  </si>
  <si>
    <t xml:space="preserve">MB </t>
  </si>
  <si>
    <t>N-OPEN NBSR DT ASSY WHITE-NS</t>
  </si>
  <si>
    <t>N-OPEN NS DTUBE NAT. ASSY -NS</t>
  </si>
  <si>
    <t>N-NBSR ASSY WHITE(1005FY20)-NS</t>
  </si>
  <si>
    <t>CR-38MM VIOLET .035FSM-1 BLK</t>
  </si>
  <si>
    <t>CR-38MM HS225 TG II PLAIN</t>
  </si>
  <si>
    <t>CR-38MM BEIGE .035 SG100 PLAIN</t>
  </si>
  <si>
    <t>CR-33MM-PIC HS035/.025WLP RED</t>
  </si>
  <si>
    <t>CR-33MM(RL) HS123/0.020 WHITE</t>
  </si>
  <si>
    <t>CR-33MM HS130/.020 BLK</t>
  </si>
  <si>
    <t>CR-33MM HS130/035WLP BLK</t>
  </si>
  <si>
    <t>CR-33MM VIOLET .035 FSM-1 BLK</t>
  </si>
  <si>
    <t>CR-33MM HS035 PL /.025"WLP RED</t>
  </si>
  <si>
    <t>CR-28MM-030 FSE7-6S BLK</t>
  </si>
  <si>
    <t>CR-28MM HS130/.020 WLP BLK</t>
  </si>
  <si>
    <t>CR-28MM .035 FSLE 1-13 BLK</t>
  </si>
  <si>
    <t>CR-28MM - 020 CCFWR FSE1-15</t>
  </si>
  <si>
    <t>CR-38MM -035 WLPM FSM -1 BLK</t>
  </si>
  <si>
    <t>CR-38MM - HS 123 /035 WHITE</t>
  </si>
  <si>
    <t>CR-38MM - HS 123 /020 WHITE</t>
  </si>
  <si>
    <t>CR-33MM HS035/35 WLP RED</t>
  </si>
  <si>
    <t>CR-33MM 035 WLPM FSM -1 BLK</t>
  </si>
  <si>
    <t>CR-33MM HS 123 /020 WHITE</t>
  </si>
  <si>
    <t>81.5 NS DTUBEASSY NAT 20ML-NS</t>
  </si>
  <si>
    <t>N-OPEN NS DTUBEASSY WHITE-NS</t>
  </si>
  <si>
    <t>CR-38MM HS130/020 WLP BLK</t>
  </si>
  <si>
    <t>CR-38MM HS 130/0.035 WLP BLK</t>
  </si>
  <si>
    <t>CR-38MM BLUE2945C HS123/035BLK</t>
  </si>
  <si>
    <t>CR-38MM BLUE 0.035 SG100 PLAIN</t>
  </si>
  <si>
    <t>CR-33MM HS 205/035 WLP PLAIN</t>
  </si>
  <si>
    <t>CR-33MM BLUE2945C HS123/035BLK</t>
  </si>
  <si>
    <t>CR-33MM BLUE .035 SG-100 PLAIN</t>
  </si>
  <si>
    <t>CR-33MM(RIL)HS123/035 BLK</t>
  </si>
  <si>
    <t>CR-28MM035FOAM FSLE1-13(PLAIN)</t>
  </si>
  <si>
    <t>CR-33MM HS123/035 WHITE</t>
  </si>
  <si>
    <t>CR-33MM HS 123/035- PRTD BLK</t>
  </si>
  <si>
    <t>CR-33MM HS123/.020 BLK</t>
  </si>
  <si>
    <t>CR-28MM HS 225 TG II TSUNIPEEL</t>
  </si>
  <si>
    <t>CR-38MM HS123 0.035 BLK</t>
  </si>
  <si>
    <t>CR-33MMPIC BLUE SG100 035PLAIN</t>
  </si>
  <si>
    <t>CR-28MM HS205/035 PLAIN 4.375"</t>
  </si>
  <si>
    <t>CR-28MM 035 FS 5-4 RED</t>
  </si>
  <si>
    <t>CR-28MM TGII TS PPE (PLAIN)</t>
  </si>
  <si>
    <t>CR-28MM 0.035" WLP FS3-19 BLK</t>
  </si>
  <si>
    <t>CR-38MM HS 035/35 WLP RED</t>
  </si>
  <si>
    <t>CR-28MM HS205/0.020 PLAIN</t>
  </si>
  <si>
    <t>CR-28MM 0.020 WLPM FS5-4 PLAIN</t>
  </si>
  <si>
    <t>CR-33MM 0.035 WLPM FSM-1 BLK </t>
  </si>
  <si>
    <t>CR-28MM HS123 /035 WHITE</t>
  </si>
  <si>
    <t>CR-38MM HS 035/025 WLP RED</t>
  </si>
  <si>
    <t>CR-28MM F217HY FOAM PLAIN</t>
  </si>
  <si>
    <t>CR-38MM 0.020 SG75M PLAIN</t>
  </si>
  <si>
    <t>CR-33MM 0.020 SG75M PLAIN</t>
  </si>
  <si>
    <t>CR-38MM HS123/020 BLK</t>
  </si>
  <si>
    <t>ADAPTER ASSEMBLY AI/0066-01</t>
  </si>
  <si>
    <t>CR-38MM SG75M WHITE</t>
  </si>
  <si>
    <t>CR-38MM GENERAL</t>
  </si>
  <si>
    <t>CR-33MM GENERAL</t>
  </si>
  <si>
    <t>CR-33MM CR III HS 123/035 BLK</t>
  </si>
  <si>
    <t>33MM CRIII INNER CAPS NAT(FHR)</t>
  </si>
  <si>
    <t>33MM CRIII OUTER CAPS WT(FHR)</t>
  </si>
  <si>
    <t>CR- 28MM - XL SR702 PP SKIN</t>
  </si>
  <si>
    <t>N-RISDROP 30MLTR ASSY -NS</t>
  </si>
  <si>
    <t>CR-33MM CR III 035/35 WLP RED</t>
  </si>
  <si>
    <t>CR-33MM MEVO GRN SG75M 035 RED</t>
  </si>
  <si>
    <t>CR-28MM BLUE 035 C25 FSLE 1-13</t>
  </si>
  <si>
    <t>CR- 28MM - XL SR513 EP</t>
  </si>
  <si>
    <t>CR-28MM 035 WLPM FSM-4 PLAIN</t>
  </si>
  <si>
    <t>CR-28MM TRIGARD II TS UNI PLN</t>
  </si>
  <si>
    <t>CR-33MM TRIGARD II TS UNI PLN</t>
  </si>
  <si>
    <t>CR-38MM - 035 WLPM FSM-4 PLAIN</t>
  </si>
  <si>
    <t>CR-33MM BLUE2945C HS130/020WHT</t>
  </si>
  <si>
    <t>CR-38MM BLUE2945CHS130/020 WHT</t>
  </si>
  <si>
    <t>CR-38MM HS 130/0.035 WLP WHT</t>
  </si>
  <si>
    <t>CR-33MM HS130/.020 WHITE</t>
  </si>
  <si>
    <t>CRC - SPEEDY - 8C</t>
  </si>
  <si>
    <t>CR-33MM HS130/035WLP WHT</t>
  </si>
  <si>
    <t>CR-38MM 035 FS 5-4 RED</t>
  </si>
  <si>
    <t>CR-33MM 035 FS 5-4 RED</t>
  </si>
  <si>
    <t>CR-28MM F217 FOAM PLAIN</t>
  </si>
  <si>
    <t>CR-28MM HS 130 035 SFYP WHT</t>
  </si>
  <si>
    <t>CRC_ BLACK - SPEEDY- 8C</t>
  </si>
  <si>
    <t>CR-28MM 0.020 PULP SG75M PLAIN</t>
  </si>
  <si>
    <t>CR-28MM HS035 PL /.025"WLP RED</t>
  </si>
  <si>
    <t>CR-28MM HS035/20F SFYP RED</t>
  </si>
  <si>
    <t>CR-33MM HS 123/035- PRTD (BLK)</t>
  </si>
  <si>
    <t>CR-38MM HS123/ 0.035 (BLK)</t>
  </si>
  <si>
    <t>CR-28MM HS123 /020 WHITE</t>
  </si>
  <si>
    <t>CR-28MM .035SG100 PLAIN 4.375"</t>
  </si>
  <si>
    <t>CR-33MM BLUE2945C.020”FSM1 BLK</t>
  </si>
  <si>
    <t>CR-38MM BLUE2945C.020”FSM1 BLK</t>
  </si>
  <si>
    <t>CR-28MM 035 WLPM FSM -1 BLK</t>
  </si>
  <si>
    <t>CR-33MM HS123/035 (WHT)</t>
  </si>
  <si>
    <t>CR-38MM HS123/035 (WHT)</t>
  </si>
  <si>
    <t>CR-33MM HS 123/035 BLK (MAS)</t>
  </si>
  <si>
    <t>CR-33MM HS035/.025WLP RED(MAS)</t>
  </si>
  <si>
    <t>CR-33MM HS130/035WLP (WHT)</t>
  </si>
  <si>
    <t>CR-38MM HS 130/0.035 WLP (WHT)</t>
  </si>
  <si>
    <t>CR-33MM 035 WLPM FSM -1 (BLK)</t>
  </si>
  <si>
    <t>CR-33MM BLUE2945C  0.35 SG75M</t>
  </si>
  <si>
    <t>CR-38MM BLUE2945C  0.35 SG75M</t>
  </si>
  <si>
    <t>CR-33MM BLUE .035SG-100(PLAIN)</t>
  </si>
  <si>
    <t>CR-38MM BEIGE .035SG100(PLAIN)</t>
  </si>
  <si>
    <t>CR-33MM HS123/.020 (BLK)</t>
  </si>
  <si>
    <t>CR-28MM .035 FSLE 1-13 (BLK)</t>
  </si>
  <si>
    <t>CR-38MMBLUE 0.035 SG100(PLAIN)</t>
  </si>
  <si>
    <t>CR-33MMBLUE2945CHS130/020(BLK)</t>
  </si>
  <si>
    <t>CR-38MMBLUE2945CHS130/020(BLK)</t>
  </si>
  <si>
    <t>CR-38MM HS130/020 WLP (BLK)</t>
  </si>
  <si>
    <t>CR-33MM HS130/.020 (BLK)</t>
  </si>
  <si>
    <t>CR-33MM 0.020 SG75M PRTD BLK</t>
  </si>
  <si>
    <t>CR-33MM 0.020 SG75M WHITE</t>
  </si>
  <si>
    <t>CR-28MM F217 FOAM (PLAIN)</t>
  </si>
  <si>
    <t>CR-33MM HS035/20F SFYP (RED)</t>
  </si>
  <si>
    <t>CR-28MM HS035/20F SFYP (RED)</t>
  </si>
  <si>
    <t>CR-28MM HS 165/035 (PLAIN)</t>
  </si>
  <si>
    <t>CR-28MM F217HY FOAM (PLAIN)</t>
  </si>
  <si>
    <t>CR-33MM HS035/35 SFYP BLK</t>
  </si>
  <si>
    <t>CR-38MM Lift'n'PeelU5LP-E(BLU)</t>
  </si>
  <si>
    <t>CR-38MM 0.035 SG75M (PLAIN)</t>
  </si>
  <si>
    <t>CR-33MM 0.035 SG75M (PLAIN)</t>
  </si>
  <si>
    <t>DPI-CB_TRAY - 380x 570x 35MM</t>
  </si>
  <si>
    <t>DPI(CB) ASSEMBLY (O-W)</t>
  </si>
  <si>
    <t>DPI-CB_CAP WHT PRT INDAFLO</t>
  </si>
  <si>
    <t>DPI-CB_TRAY LID</t>
  </si>
  <si>
    <t>INSPIRA ASSEMBLY (V-V)</t>
  </si>
  <si>
    <t>INSPIRA -CAP VIO PRT PRAVAHA</t>
  </si>
  <si>
    <t>DES - ASSEMBLY</t>
  </si>
  <si>
    <t>CR-38MM 0.035 SG75M PRTD (WHT)</t>
  </si>
  <si>
    <t>CR-33MM 0.035 SG75M PRTD (WHT)</t>
  </si>
  <si>
    <t>CR-28MM HS 035/35 WLP (RED)</t>
  </si>
  <si>
    <t>SEVO - ASSEMBLY</t>
  </si>
  <si>
    <t>CR-33MM CRIII HS 123/020 (WHT)</t>
  </si>
  <si>
    <t>CR-28MM HS123 /020 (WHT)</t>
  </si>
  <si>
    <t>CR-38MM 0.020 FS 1-7 WHT (RED)</t>
  </si>
  <si>
    <t>CR-28MM HS123/0.020 (WHT)</t>
  </si>
  <si>
    <t>CR-33MM-PIC 035 WLPM FSM-1 BLK</t>
  </si>
  <si>
    <t>INSPIRA -CAP WHT PRT NISTAMI</t>
  </si>
  <si>
    <t>DPI (CB) ASSEMBLY(O-W) NISTAMI</t>
  </si>
  <si>
    <t>CR-28MM 035 C25 FSLE 5-9 PLAIN</t>
  </si>
  <si>
    <t>CR-33MM F217 1MM FOAM (PLAIN)</t>
  </si>
  <si>
    <t>CR-33MM BLUE2945C HS123/020BLK</t>
  </si>
  <si>
    <t>CR-38MM BLUE2945C HS123/020BLK</t>
  </si>
  <si>
    <t>CR-33MM 0.035 SG75M PRTD BLK</t>
  </si>
  <si>
    <t>CR-33MM CRIII 0.035 SG75M(WHT)</t>
  </si>
  <si>
    <t>INSPIRA -CAP WHT PRT BIOHALER</t>
  </si>
  <si>
    <t>INSPIRA ASSY BIOHALER (B-W)</t>
  </si>
  <si>
    <t>CR-38MM F217 1MM FOAM (PLAIN)</t>
  </si>
  <si>
    <t>CR-33MM F217HY FOAM (PLAIN)</t>
  </si>
  <si>
    <t>CR-38MM F217HY FOAM (PLAIN)</t>
  </si>
  <si>
    <t>CR-28MM 035 FS 5-4 (RED)</t>
  </si>
  <si>
    <t>CR-28MM 035 C25 FSLE5-9(PLAIN)</t>
  </si>
  <si>
    <t>CR-33MM-PIC 035WLPM FSM-1(BLK)</t>
  </si>
  <si>
    <t>CR-33MM 035 FS 5-4 SFYP (BLK)</t>
  </si>
  <si>
    <t>CR-38MM 035 FS 5-4 SFYP (BLK)</t>
  </si>
  <si>
    <t>CR-33MM 020 FSE M-1 WLPM PLAIN</t>
  </si>
  <si>
    <t>CR-33MM 020 FSE M-1 WLPM (WHT)</t>
  </si>
  <si>
    <t>INSPIRA ASSY GLENMARK (R-W)</t>
  </si>
  <si>
    <t>INSPIRA -CAP WHT PRT GLENMARK</t>
  </si>
  <si>
    <t>INSPIRA - CAP VIO PRT iBreathe</t>
  </si>
  <si>
    <t>INSPIRA ASSEMBLY (V-V) MANKIND</t>
  </si>
  <si>
    <t>CR-33MM 020 FS 5-4 SFYP (BLK)</t>
  </si>
  <si>
    <t>CR-38MM 020 FS 5-4 SFYP (BLK)</t>
  </si>
  <si>
    <t>CR-28MM 020 FS 5-4 SFYP (BLK)</t>
  </si>
  <si>
    <t>CR-33MM .020 SG100 (PLAIN)</t>
  </si>
  <si>
    <t>N-OPEN NS DTUB IND NAT.ASSY-NS</t>
  </si>
  <si>
    <t>N-OPEN NS DTUB IND ASSY WHT-NS</t>
  </si>
  <si>
    <t>INSPIRA -CAP WT PRT PEARLHALER</t>
  </si>
  <si>
    <t>INSPIRA ASSY PEARLHALER (B-W)</t>
  </si>
  <si>
    <t>CR-33MM WLP SG-75M SFYP BLK</t>
  </si>
  <si>
    <t>CR-38MM WLP SG-75M SFYP BLK</t>
  </si>
  <si>
    <t>CR-38MM 020 FSE M-1 WLPM PLAIN</t>
  </si>
  <si>
    <t>CR-38MM TG II-TSPEEE (PLAIN)</t>
  </si>
  <si>
    <t>CR-38MM 0.035 SG75M PLAIN</t>
  </si>
  <si>
    <t>CR-33MM 0.035 SG75M PLAIN</t>
  </si>
  <si>
    <t>CR-28-WHT0-TGIITSPPE PLAIN-MAS</t>
  </si>
  <si>
    <t>CR-33MM HS 130/0.035 WLP (WHT)</t>
  </si>
  <si>
    <t>CR-28MM HS 130/0.035 WLP (WHT)</t>
  </si>
  <si>
    <t>CR-33MM HS 123/035-P-BLK-1</t>
  </si>
  <si>
    <t>CR-38MM HS 123/035-P-BLK-1</t>
  </si>
  <si>
    <t>CR-33MM PIC HS 035/025-P-RED-1</t>
  </si>
  <si>
    <t>CR-33MM HS 123/020-P-WHT-1</t>
  </si>
  <si>
    <t>CR-38MM HS123/020-P-WHT-1</t>
  </si>
  <si>
    <t>CR-33MM HS123/020-P-BLK-1</t>
  </si>
  <si>
    <t>CR-38MM HS123/035-P-WHT-1</t>
  </si>
  <si>
    <t>CR-33MM HS123/020-(P-BLK)-1</t>
  </si>
  <si>
    <t>CR-33MM SG75M/020-PLAIN-1</t>
  </si>
  <si>
    <t>CR-28MM TGII TSPEEE (PLAIN)</t>
  </si>
  <si>
    <t>INSPIRA ASSY INNOHALER (B-W)</t>
  </si>
  <si>
    <t>INSPIRA -CAP WHT PRT INNOHALER</t>
  </si>
  <si>
    <t>CR-33-WHT1-HS130/020WLPBLK-CHL</t>
  </si>
  <si>
    <t>CR-38-WHT1-HS130/020WLPBLK-CHL</t>
  </si>
  <si>
    <t>CR-33-WHT-F828&amp; L "n" P-CHLN</t>
  </si>
  <si>
    <t>CR-38-WHT-F828&amp; L "n" P-CHLN</t>
  </si>
  <si>
    <t>INSPIRA INDAFLO INHALER(O-W)FP</t>
  </si>
  <si>
    <t>CR-28-WHT0-(NL)</t>
  </si>
  <si>
    <t>CR-33-WHT0-(NL)</t>
  </si>
  <si>
    <t>CR-38-WHT0-(NL)</t>
  </si>
  <si>
    <t>CR-33-PIC-WHT0-HS123/0.020-MAS</t>
  </si>
  <si>
    <t>CR-28-WHT0-HSP-001/035SFYP BLK</t>
  </si>
  <si>
    <t>CR-38-WHT0-HS130/035(BLK)</t>
  </si>
  <si>
    <t>CR-33-WHT0-HS130/035(BLK)</t>
  </si>
  <si>
    <t>CR-33-WHT1-FSM1 SFYP/035(BLK)</t>
  </si>
  <si>
    <t>CR-38-WHT1-FSM1 SFYP/035(BLK)</t>
  </si>
  <si>
    <t>CR-33-WHT1-HS130/035(BLK)</t>
  </si>
  <si>
    <t>CR-38-WHT1-HS130/035(BLK)</t>
  </si>
  <si>
    <t>DPI INDAFLO PRIMARY PACK</t>
  </si>
  <si>
    <t>DRY POWDER INHALER-CB ASM(Y-Y)</t>
  </si>
  <si>
    <t>DRY POWDER INHALER-CB(V-V)-FP</t>
  </si>
  <si>
    <t>DRY POWDER INHALER_CB (V-V)-NP</t>
  </si>
  <si>
    <t>DPI_CB(V-W)-ARAUHAL</t>
  </si>
  <si>
    <t>DPI-CB_CAP WHT PRT ARAUHAL</t>
  </si>
  <si>
    <t>DRY POWDER INHALER_CB(B-W)-UHR</t>
  </si>
  <si>
    <t>CR-28-WHT1-SG75M/0.035PRT(WHT)</t>
  </si>
  <si>
    <t>DPI-CB_CAP WHT PRT SWASHALER</t>
  </si>
  <si>
    <t>CR-28-WHT1-C25 7-6S/030(PLAIN)</t>
  </si>
  <si>
    <t>CR-33-WHT1-C25 7-6S/030(PLAIN)</t>
  </si>
  <si>
    <t>CR-38-WHT1-C25 7-6S/030(PLAIN)</t>
  </si>
  <si>
    <t>CR-28-WHT1-HS035 SFYP/035(RED)</t>
  </si>
  <si>
    <t>CR-33-WHT1-HS035 SFYP/035(RED)</t>
  </si>
  <si>
    <t>CR-38-WHT1-HS035 SFYP/035(RED)</t>
  </si>
  <si>
    <t>DPI_CB(V-W)-SANDPI</t>
  </si>
  <si>
    <t>DPI-CB_CAP WHT PRT SANDPI</t>
  </si>
  <si>
    <t>CR-28-WHT1-SS 1230P (PLAIN)</t>
  </si>
  <si>
    <t>CR-28-WHT1-SS 30P (PLAIN)</t>
  </si>
  <si>
    <t>CR-28-WHT1-C25FSLE 3-19(PLAIN)</t>
  </si>
  <si>
    <t>PNEUMOHALER LOCK NUT ASSEMBLY</t>
  </si>
  <si>
    <t>CR-28-WHT1-HS035/(RED)-MAS</t>
  </si>
  <si>
    <t>CR-38 BLUE2945C HS130/020(BLK)</t>
  </si>
  <si>
    <t>CR-33 BLUE2945C HS130/020(BLK)</t>
  </si>
  <si>
    <t>CR-28 WHT0 HS130/035 SFYP(WHT)</t>
  </si>
  <si>
    <t>DPI-CB_CAP WHT PRT SYNAHALER</t>
  </si>
  <si>
    <t>DPI_CB(B-W)-SYNAHALER</t>
  </si>
  <si>
    <t>CR-28mm WHT1- FS1-7 .030(BLK)</t>
  </si>
  <si>
    <t>BAI_PNEUMOHALER-LUPIN</t>
  </si>
  <si>
    <t>PH ACTUATOR ASY DC P528C -LUP</t>
  </si>
  <si>
    <t>PH ACTUATOR ASY DC P1495C -ZYD</t>
  </si>
  <si>
    <t>PNEUMOHALER TRAY-380x570x35MM</t>
  </si>
  <si>
    <t>BAI_PNEUMOHALER-AMPHASTAR</t>
  </si>
  <si>
    <t>PNEUMOHALER ACTUATOR ASY-AMPHA</t>
  </si>
  <si>
    <t>DRY POWDER INHALER_CB(B-W)- PP</t>
  </si>
  <si>
    <t>BAI_PH ACTUATOR ASSM -ZYDUS</t>
  </si>
  <si>
    <t>DPI_CB(B-W)-PCHPL</t>
  </si>
  <si>
    <t>DPI-CB_CAP WHT PRT PCHPL</t>
  </si>
  <si>
    <t>TABUK ADAPTER ASSEMBLY(V1)</t>
  </si>
  <si>
    <t>DPI_CB(B-W)-BERRY INSPIRA</t>
  </si>
  <si>
    <t>DPI-CB_CAP WH PR BERRY INSPIRA</t>
  </si>
  <si>
    <t>SEVO-ASSEMBLY- 3.0</t>
  </si>
  <si>
    <t>CR-33MM TSPE/1(PLAIN)</t>
  </si>
  <si>
    <t>CR-38MM TSPE/1(PLAIN)</t>
  </si>
  <si>
    <t>CR-28MM WHT HS130/20-(P-BLK)-1</t>
  </si>
  <si>
    <t>CR-38MM WHT HS130/20-(P-BLK)-1</t>
  </si>
  <si>
    <t>CR-33MM WHT HS130/20-(P-BLK)-1</t>
  </si>
  <si>
    <t>DPI-CB_CAP WHT PRT SAVAHALER</t>
  </si>
  <si>
    <t>DPI_CB(B-W)-SAVAHALER</t>
  </si>
  <si>
    <t>DRY POWDER INHALER_CB(B-W)-HR</t>
  </si>
  <si>
    <t>PH ACTUATOR ASY CRADBIO</t>
  </si>
  <si>
    <t>DPI-CB-CAP PRINTED-UNIHAL</t>
  </si>
  <si>
    <t>DPI-CB ASSEMBLY UNIHAL</t>
  </si>
  <si>
    <t>CR-28MMWHT 0.020 SG75M (PLAIN)</t>
  </si>
  <si>
    <t>DPI-CB- ASSY-BB</t>
  </si>
  <si>
    <t>DPI-CBI-ASSY-MACLEOD (MB 485C)</t>
  </si>
  <si>
    <t>DPI Cap Brethaler Prt 654C MB</t>
  </si>
  <si>
    <t>DPI-CB ASSY HR 65 LPM</t>
  </si>
  <si>
    <t>DPI-CB ASSY 45 LPM -UHR</t>
  </si>
  <si>
    <t>CR-28-WHT0-FS3-19/0.035(PLAIN)</t>
  </si>
  <si>
    <t>DPI_CB(B-W) -SANDPI</t>
  </si>
  <si>
    <t>CR-38-BLUE(C)-HS130/035BLK-CHL</t>
  </si>
  <si>
    <t>CR-38-WHITE0-HS130/035WHT-CHL</t>
  </si>
  <si>
    <t>DPI-CB (B-W) ASSY HR</t>
  </si>
  <si>
    <t>DPI-CB 45 (B-W) ASSY - Macsur</t>
  </si>
  <si>
    <t>DPI-CB_BDY WHT 45 LPM</t>
  </si>
  <si>
    <t>DPI-CB 45(R&amp;R)-ASSY-MacHaler</t>
  </si>
  <si>
    <t>BERRY HALER SUB ASSEMBLY</t>
  </si>
  <si>
    <t>BERRYHALETRAY - 386x 572x 41MM</t>
  </si>
  <si>
    <t>DPI-CB- ASSY-Polylac PA</t>
  </si>
  <si>
    <t>DES - ASSEMBLY- NEW GASKET</t>
  </si>
  <si>
    <t>CR-28-WHT0-TGIITS HS165(PLAIN)</t>
  </si>
  <si>
    <t>DPI-CB_BDY POLYLACMachaler PRT</t>
  </si>
  <si>
    <t>BAI_PNEUMOHALER-GLENMARK</t>
  </si>
  <si>
    <t>CR-38-WHT1-TGIITS PE EE(PLAIN)</t>
  </si>
  <si>
    <t>CR-33-PIC WHT0-FS5-4/0.035(PL)</t>
  </si>
  <si>
    <t>SEVO - ASSEMBLY-NEW BOP-BLACK</t>
  </si>
  <si>
    <t>INSPIRA-CAP VIO PRT ELUPIHALER</t>
  </si>
  <si>
    <t>INSPIRA ASSEMBLY (V-V)-E-LUPI</t>
  </si>
  <si>
    <t>DPI-CB- ASSY-Polylac - (VV)Cap</t>
  </si>
  <si>
    <t>INSPIRA-CAP VIO</t>
  </si>
  <si>
    <t>N-RISDROP 30MLTR ASSY (W-N)-NS</t>
  </si>
  <si>
    <t>Material Code</t>
  </si>
  <si>
    <t>Material Description</t>
  </si>
  <si>
    <t>Component Item Number</t>
  </si>
  <si>
    <t>Material Description2</t>
  </si>
  <si>
    <t>N-OPEN NBSR WHITE (REL) (L)</t>
  </si>
  <si>
    <t>LDPE: RELENE 22FA002</t>
  </si>
  <si>
    <t>N-OPEN RSP-30mcl NAT(L)-GS</t>
  </si>
  <si>
    <t>N-OPEN RSP-30mcl NAT(L)-ET</t>
  </si>
  <si>
    <t>C-TAMP SAFE RSP O.GREEN (H)-GS</t>
  </si>
  <si>
    <t>C-TAMP SAFE RSP O.GREEN (H)-ET</t>
  </si>
  <si>
    <t>C-TAMP SAFE"I" TANBRN223270-GS</t>
  </si>
  <si>
    <t>C-TAMP SAFE"I" TANBRN223270-ET</t>
  </si>
  <si>
    <t>B-5ML"I" NAT. POPLOGO (L) -GS</t>
  </si>
  <si>
    <t>B-5ML EX.RL WHITE (L-3020D)-GS</t>
  </si>
  <si>
    <t>B-5ML EX.RL WHITE (L-3020D)-ET</t>
  </si>
  <si>
    <t>B-10ML EX.RL WHITE(L-3020)-GS</t>
  </si>
  <si>
    <t>N-BLOCK RL WHITE (22FA002)-GS</t>
  </si>
  <si>
    <t>N-BLOCK RL WHITE (22FA002)-NS</t>
  </si>
  <si>
    <t>C-TAMPSAFE RSP YELLOW(H)NEW-GS</t>
  </si>
  <si>
    <t>C-TAMPSAFE RSP YELLOW(H)NEW-ET</t>
  </si>
  <si>
    <t>C-TAMPSAFE RSP TURQ.(H)NEW-GS</t>
  </si>
  <si>
    <t>C-TAMPSAFE RSP TURQ.(H)NEW-ET</t>
  </si>
  <si>
    <t>C-TAMPSAFE RSP TURQ.(H)-GS</t>
  </si>
  <si>
    <t>C-TAMPSAFE RSP TURQ.(H)-ET</t>
  </si>
  <si>
    <t>C-TAMPSAFE RSP TANBR NEW(H)-GS</t>
  </si>
  <si>
    <t>C-TAMPSAFE RSP TANBR NEW(H)-ET</t>
  </si>
  <si>
    <t>C-TAMPSAFE RSP TANBR (H)-ET</t>
  </si>
  <si>
    <t>C-TAMPSAFE RSP PUR.NEW(H)-GS</t>
  </si>
  <si>
    <t>C-TAMPSAFE RSP PUR.NEW(H)-ET</t>
  </si>
  <si>
    <t>B-10ML "I" NAT. POP LOGO(L)-GS</t>
  </si>
  <si>
    <t>B-10ML "I" NAT. POP LOGO(L)-ET</t>
  </si>
  <si>
    <t>B-10ML EX.RL O. GREEN (L)-GS</t>
  </si>
  <si>
    <t>B-10ML EX.RL O. GREEN (L)-ET</t>
  </si>
  <si>
    <t>N-OPEN RSP 30mcl WHITE (L)-ET</t>
  </si>
  <si>
    <t>N-OPEN "I"NEW THT NAT. (L)-GS</t>
  </si>
  <si>
    <t>N-OPEN "I"NEW THT NAT. (L)-ET</t>
  </si>
  <si>
    <t>C-TAMPSAFE SS(R)P.GREEN (H)-GS</t>
  </si>
  <si>
    <t>C-TAMPSAFE SS(R)I.YELLOW(H)-GS</t>
  </si>
  <si>
    <t>C-TAMPSAFE SS(R)I.YELLOW(H)-ET</t>
  </si>
  <si>
    <t>C-TAMPSAFE RSP YELLOW-2%(H)-GS</t>
  </si>
  <si>
    <t>C-TAMPSAFE RSP BLUE (H)-GS</t>
  </si>
  <si>
    <t>C-TAMPSAFE RSP BLUE (H)-ET</t>
  </si>
  <si>
    <t>B-5ML"I" NATURAL POPLOGO(L)-ET</t>
  </si>
  <si>
    <t>B-5ML EX. RL O. GREEN (L)-GS</t>
  </si>
  <si>
    <t>B-10ML RSP WHITE (DUPONT20)-GS</t>
  </si>
  <si>
    <t>B-10ML RSP WHITE (DUPONT20)-ET</t>
  </si>
  <si>
    <t>B-10ML EX.RL NATURAL (L)-GS</t>
  </si>
  <si>
    <t>B-10ML EX.RL NATURAL (L)-ET</t>
  </si>
  <si>
    <t>C-TAMPSAFE "I" U.YELLOW-GS</t>
  </si>
  <si>
    <t>C-TAMPSAFE SS(R)U.BLUE(H)-ET</t>
  </si>
  <si>
    <t>C-TAMPSAFE RSP OR1585(H)NEW-GS</t>
  </si>
  <si>
    <t>C-TAMPSAFE RSP OR1585(H)NEW-ET</t>
  </si>
  <si>
    <t>C-TAMPSAFE RSP GREY(H)NEW-GS</t>
  </si>
  <si>
    <t>C-TAMPSAFE RSP GREY(H)NEW-ET</t>
  </si>
  <si>
    <t>C-TAMPSAFE "I" TANBR (H)-GS</t>
  </si>
  <si>
    <t>C-TAMPSAFE "I" TANBR (H)-ET</t>
  </si>
  <si>
    <t>C-TAMPSAFE "I" BRILL RED(H)-GS</t>
  </si>
  <si>
    <t>C-TAMPSAFE "I" BRILL RED(H)-ET</t>
  </si>
  <si>
    <t>C-DOUBLESAFE NX U.BLUE (H)-GS</t>
  </si>
  <si>
    <t>C-DOUBLESAFE NX U.BLUE (H)-ET</t>
  </si>
  <si>
    <t>C-DOUBLE SAFE NX ORANGE(H)-GS</t>
  </si>
  <si>
    <t>B-5ML RSP WHITE (DUPONT20)-GS</t>
  </si>
  <si>
    <t>B-5ML RSP WHITE (DUPONT20)-ET</t>
  </si>
  <si>
    <t>B-5ML RSP NATURAL NEW (L)-GS</t>
  </si>
  <si>
    <t>B-5ML RSP NATURAL NEW (L)-ET</t>
  </si>
  <si>
    <t>B-5ML EX. RL NATURAL (L)-GS</t>
  </si>
  <si>
    <t>B-5ML EX. RL NATURAL (L)-ET</t>
  </si>
  <si>
    <t>B-10ML"O" WHITE POPLOGO(L)-GS</t>
  </si>
  <si>
    <t>B-10ML"O" WHITE POPLOGO(L)-ET</t>
  </si>
  <si>
    <t>B-10ML "I" WHITE POPLOGO(L)-GS</t>
  </si>
  <si>
    <t>B-10ML "I" WHITE POPLOGO(L)-ET</t>
  </si>
  <si>
    <t>N-OPEN RSP O.GREEN (L)-GS</t>
  </si>
  <si>
    <t>N-OPEN RSP O.GREEN (L)-ET</t>
  </si>
  <si>
    <t>N-BLOCK RL NATURAL (L-3020)-GS</t>
  </si>
  <si>
    <t>N-BLOCK RL NATURAL (L-3020)-ET</t>
  </si>
  <si>
    <t>C-TAMPSAFE SS(R)VIOLET(H)-GS</t>
  </si>
  <si>
    <t>C-TAMPSAFE SS(R)VIOLET(H)-ET</t>
  </si>
  <si>
    <t>C-TAMPSAFE RSP WHITE(H)NEW-ET</t>
  </si>
  <si>
    <t>C-TAMPSAFE SS(R)U.YELLOW(H)-ET</t>
  </si>
  <si>
    <t>C-TAMPSAFE RSP PURPLE (H)-GS</t>
  </si>
  <si>
    <t>C-TAMPSAFE RSP PURPLE (H)-ET</t>
  </si>
  <si>
    <t>C-TAMPSAFE NS WHITE (H)-GS</t>
  </si>
  <si>
    <t>C-TAMPSAFE NS WHITE (H)-ET</t>
  </si>
  <si>
    <t>C-TAMPSAFE "I" I.YELLOW-GS</t>
  </si>
  <si>
    <t>C-TAMPSAFE "I" I.YELLOW-ET</t>
  </si>
  <si>
    <t>B-5ML"O" WHITE POPLOGO(L)-GS</t>
  </si>
  <si>
    <t>B-5ML"O" WHITE POPLOGO(L)-ET</t>
  </si>
  <si>
    <t>B-5ML "I" WHITE POPLOGO(L)-GS</t>
  </si>
  <si>
    <t>B-5ML "I" WHITE POPLOGO(L)-ET</t>
  </si>
  <si>
    <t>B-10ML RSP O. GREEN (L)-GS</t>
  </si>
  <si>
    <t>B-10ML RSP O. GREEN (L)-ET</t>
  </si>
  <si>
    <t>B-10ML EX. RL WHITE (L)-GS</t>
  </si>
  <si>
    <t>B-10ML EX. RL WHITE (L)-ET</t>
  </si>
  <si>
    <t>C-DOUBLESAFE U.YELLOW (H)-GS</t>
  </si>
  <si>
    <t>C-DOUBLESAFE U.YELLOW (H)-ET</t>
  </si>
  <si>
    <t>B-5ML RSP WHITE(L) NEW-GS</t>
  </si>
  <si>
    <t>B-5ML RSP WHITE(L) NEW-ET</t>
  </si>
  <si>
    <t>B-5ML RSP NATURAL (S)(L)-ET</t>
  </si>
  <si>
    <t>B-5ML EX. RL WHITE (L)-GS</t>
  </si>
  <si>
    <t>B-5ML EX. RL WHITE (L)-ET</t>
  </si>
  <si>
    <t>C-TAMPSAFE RSP PINK (H)-GS</t>
  </si>
  <si>
    <t>C-TAMPSAFE RSP PINK (H)-ET</t>
  </si>
  <si>
    <t>C-TAMPSAFE RSP OR1585 (H)-GS</t>
  </si>
  <si>
    <t>C-TAMPSAFE RSP OR1585 (H)-ET</t>
  </si>
  <si>
    <t>C-TAMPSAFE RSP GREY (H)-ET</t>
  </si>
  <si>
    <t>C-TAMPSAFE NBSR WHITE (H)-GS</t>
  </si>
  <si>
    <t>C-TAMPSAFE NBSR WHITE (H)-ET</t>
  </si>
  <si>
    <t>C-DOUBLESAFE G.YELLOW (H)-GS</t>
  </si>
  <si>
    <t>C-DOUBLESAFE G.YELLOW (H)-ET</t>
  </si>
  <si>
    <t>N-BLOCK RL O. GREEN (L)-GS</t>
  </si>
  <si>
    <t>N-BLOCK RL O. GREEN (L)-ET</t>
  </si>
  <si>
    <t>C-TAMPSAFE "I" RED 224669-GS</t>
  </si>
  <si>
    <t>C-TAMPSAFE "I" RED 224669-ET</t>
  </si>
  <si>
    <t>C-TAMPSAFE "O" WHITE (H)-ET</t>
  </si>
  <si>
    <t>C-TAMPSAFE "I" WHITE (H)-ET</t>
  </si>
  <si>
    <t>C-DOUBLESAFE U.BLUE (H)-GS</t>
  </si>
  <si>
    <t>C-DOUBLESAFE U.BLUE (H)-ET</t>
  </si>
  <si>
    <t>C-DOUBLESAFE P.GREEN (H)-GS</t>
  </si>
  <si>
    <t>C-DOUBLESAFE P.GREEN (H)-ET</t>
  </si>
  <si>
    <t>C-DOUBLESAFE I.YELLOW (H)-GS</t>
  </si>
  <si>
    <t>C-DOUBLESAFE I.YELLOW (H)-ET</t>
  </si>
  <si>
    <t>B-5ML RSP WHITE(S)(L)-GS</t>
  </si>
  <si>
    <t>B-5ML RSP WHITE(S)(L)-ET</t>
  </si>
  <si>
    <t>C-TAMPSAFE "I" SKY BLUE (H)-GS</t>
  </si>
  <si>
    <t>C-TAMPSAFE "I" SKY BLUE (H)-ET</t>
  </si>
  <si>
    <t>C-TAMPLOCK G. YELLOW (H)-GS</t>
  </si>
  <si>
    <t>C-TAMPLOCK G. YELLOW (H)-ET</t>
  </si>
  <si>
    <t>C-DOUBLESAFE NX TANBR (H)-GS</t>
  </si>
  <si>
    <t>C-DOUBLESAFE NX TANBR (H)-ET</t>
  </si>
  <si>
    <t>C-DOUBLESAFE REMA.RED (H)-ET</t>
  </si>
  <si>
    <t>B-5ML "I" NATURAL 6C (L)-ET</t>
  </si>
  <si>
    <t>B-15ML RSP NATURAL(L)-ET</t>
  </si>
  <si>
    <t>B-10ML RSP NATURAL(L)-GS</t>
  </si>
  <si>
    <t>B-10ML RSP NATURAL(L)-ET</t>
  </si>
  <si>
    <t>B-10ML RSP NATURAL(H)-ET</t>
  </si>
  <si>
    <t>N-BLOCK RL NATURAL(L)-GS</t>
  </si>
  <si>
    <t>N-BLOCK RL NATURAL(L)-ET</t>
  </si>
  <si>
    <t>C-TAMPLOCK O.GREEN (H)-GS</t>
  </si>
  <si>
    <t>C-TAMPLOCK O.GREEN (H)-ET</t>
  </si>
  <si>
    <t>C-TAMPSAFE SS(R) WHITE(H)-ET</t>
  </si>
  <si>
    <t>C-TAMPSAFE RSP RED1797 (H)-GS</t>
  </si>
  <si>
    <t>C-TAMPSAFE RSP RED1797 (H)-ET</t>
  </si>
  <si>
    <t>C-TAMPSAFE RSP PINK197(H)-GS</t>
  </si>
  <si>
    <t>C-TAMPSAFE RSP PINK197(H)-ET</t>
  </si>
  <si>
    <t>C-TAMPSAFE "I" RED (H)-GS</t>
  </si>
  <si>
    <t>C-TAMPSAFE "I" RED (H)-ET</t>
  </si>
  <si>
    <t>C-TAMPLOCK UTILITY BLUE(H)-ET</t>
  </si>
  <si>
    <t>C-TAMPLOCK PARROT GREEN(H)-GS</t>
  </si>
  <si>
    <t>C-TAMPLOCK PARROT GREEN(H)-ET</t>
  </si>
  <si>
    <t>C-TAMPLOCK IVORY YELLOW (H)-GS</t>
  </si>
  <si>
    <t>C-TAMPLOCK IVORY YELLOW (H)-ET</t>
  </si>
  <si>
    <t>C-DOUBLESAFE TEAL GREEN (H)-GS</t>
  </si>
  <si>
    <t>C-DOUBLESAFE TEAL GREEN (H)-ET</t>
  </si>
  <si>
    <t>C-DOUBLESAFE PALE BROWN (H)-GS</t>
  </si>
  <si>
    <t>C-DOUBLESAFE PALE BROWN (H)-ET</t>
  </si>
  <si>
    <t>B-5ML RSP NATURAL(L)-GS</t>
  </si>
  <si>
    <t>B-5ML RSP NATURAL(L)-ET</t>
  </si>
  <si>
    <t>B-15ML "O" O.GREEN (L)-GS</t>
  </si>
  <si>
    <t>N-OPEN "O"NATURAL (L)-ET</t>
  </si>
  <si>
    <t>N-OPEN NBSR DT ASSY WHITE-GS</t>
  </si>
  <si>
    <t>N-OPEN NBSR DT ASSY WHITE-ET</t>
  </si>
  <si>
    <t>N-OPEN "I" NATURAL (L)-GS</t>
  </si>
  <si>
    <t>N-OPEN "I" NATURAL (L)-ET</t>
  </si>
  <si>
    <t>C-DOUBLESAFE ROSE PINK (H)-GS</t>
  </si>
  <si>
    <t>C-DOUBLESAFE ROSE PINK (H)-ET</t>
  </si>
  <si>
    <t>C-DOUBLESAFE DARK BLUE (H)-GS</t>
  </si>
  <si>
    <t>C-DOUBLESAFE DARK BLUE (H)-ET</t>
  </si>
  <si>
    <t>C-DOUBLESAFE O. GREEN (H)-GS</t>
  </si>
  <si>
    <t>C-DOUBLESAFE O. GREEN (H)-ET</t>
  </si>
  <si>
    <t>B-5ML "I" WHITE 6C (L)-ET</t>
  </si>
  <si>
    <t>B-15ML RSP WHITE (L)-GS</t>
  </si>
  <si>
    <t>B-15ML RSP WHITE (L)-ET</t>
  </si>
  <si>
    <t>B-15ML "O" NATURAL (L)-GS</t>
  </si>
  <si>
    <t>B-10ML RSP WHITE (L)-GS</t>
  </si>
  <si>
    <t>B-10ML RSP WHITE (L)-ET</t>
  </si>
  <si>
    <t>B-10ML RSP WHITE (H)-GS</t>
  </si>
  <si>
    <t>B-10ML RSP WHITE (H)-ET</t>
  </si>
  <si>
    <t>B-10ML "O" NATURAL (L)-GS</t>
  </si>
  <si>
    <t>B-10ML "O" NATURAL (L)-ET</t>
  </si>
  <si>
    <t>B-10ML "O"NATURAL (H)-GS</t>
  </si>
  <si>
    <t>B-10ML "O"NATURAL (H)-ET</t>
  </si>
  <si>
    <t>B-10ML "I" NATURAL (L)-GS</t>
  </si>
  <si>
    <t>B-10ML "I" NATURAL (L)-ET</t>
  </si>
  <si>
    <t>N-BLOCK RL WHITE (L)-GS</t>
  </si>
  <si>
    <t>N-BLOCK RL WHITE (L)-ET</t>
  </si>
  <si>
    <t>C-TAMPSAFE SS(R)RED (H)-ET</t>
  </si>
  <si>
    <t>C-DOUBLESAFE SKY BLUE (H)-GS</t>
  </si>
  <si>
    <t>C-DOUBLESAFE SKY BLUE (H)-ET</t>
  </si>
  <si>
    <t>C-DOUBLESAFE C. BROWN (H)-GS</t>
  </si>
  <si>
    <t>C-DOUBLESAFE C. BROWN (H)-ET</t>
  </si>
  <si>
    <t>B-5ML RSP WHITE (L)-ET</t>
  </si>
  <si>
    <t>B-5ML "O"NATURAL (L)-GS</t>
  </si>
  <si>
    <t>B-5ML "O"NATURAL (L)-ET</t>
  </si>
  <si>
    <t>B-5ML "I" NATURAL (L)-GS</t>
  </si>
  <si>
    <t>B-5ML "I" NATURAL (L)-ET</t>
  </si>
  <si>
    <t>B-10ML"O"WHITE (H) -GS</t>
  </si>
  <si>
    <t>B-10ML"O"WHITE (H) -ET</t>
  </si>
  <si>
    <t>N-OPEN "O" WHITE (L)-GS</t>
  </si>
  <si>
    <t>N-OPEN "O" WHITE (L)-ET</t>
  </si>
  <si>
    <t>N-OPEN "I" WHITE (L)-GS</t>
  </si>
  <si>
    <t>C-DOUBLESAFE NATURAL (H)-GS</t>
  </si>
  <si>
    <t>C-DOUBLESAFE NATURAL (H)-ET</t>
  </si>
  <si>
    <t>B-15ML "O" WHITE (L)-GS</t>
  </si>
  <si>
    <t>B-15ML "O" WHITE (L)-ET</t>
  </si>
  <si>
    <t>B-10ML "O" WHITE (L)-GS</t>
  </si>
  <si>
    <t>B-10ML "O" WHITE (L)-ET</t>
  </si>
  <si>
    <t>B-10ML "I" WHITE (L)-GS</t>
  </si>
  <si>
    <t>B-10ML "I" WHITE (L)-ET</t>
  </si>
  <si>
    <t>TABUK ADAPTER ASSEMBLY - ET</t>
  </si>
  <si>
    <t>C-DOUBLESAFE VIOLET (H)-GS</t>
  </si>
  <si>
    <t>C-DOUBLESAFE VIOLET (H)-ET</t>
  </si>
  <si>
    <t>C-DOUBLESAFE ORANGE (H)-GS</t>
  </si>
  <si>
    <t>C-DOUBLESAFE ORANGE (H)-ET</t>
  </si>
  <si>
    <t>B-5ML RL WHITE (L)-GS</t>
  </si>
  <si>
    <t>B-5ML RL WHITE (L)-ET</t>
  </si>
  <si>
    <t>B-5ML "O" WHITE (L)-GS</t>
  </si>
  <si>
    <t>B-5ML "O" WHITE (L)-ET</t>
  </si>
  <si>
    <t>B-5ML "I" WHITE (L)-GS</t>
  </si>
  <si>
    <t>B-5ML "I" WHITE (L)-ET</t>
  </si>
  <si>
    <t>N-OPEN NASAL SPRAY ASSY (L)-GS</t>
  </si>
  <si>
    <t>N-OPEN NASAL SPRAY ASSY (L)-ET</t>
  </si>
  <si>
    <t>C-TAMPLOCK SKY BLUE (H)-ET</t>
  </si>
  <si>
    <t>C-DOUBLESAFE NX BLACK - GS</t>
  </si>
  <si>
    <t>C-DOUBLESAFE NX BLACK - ET</t>
  </si>
  <si>
    <t>C-DOUBLESAFE WHITE (H)-GS</t>
  </si>
  <si>
    <t>C-DOUBLESAFE WHITE (H)-ET</t>
  </si>
  <si>
    <t>B-30ML FLAT WHITE (L)-GS</t>
  </si>
  <si>
    <t>B-30ML FLAT WHITE (L)-ET</t>
  </si>
  <si>
    <t>C-DOUBLESAFE GREY (H)-GS</t>
  </si>
  <si>
    <t>C-TAMPLOCK WHITE (H)-ET</t>
  </si>
  <si>
    <t>C-DOUBLESAFE RED (H)-GS</t>
  </si>
  <si>
    <t>C-DOUBLESAFE RED (H)-ET</t>
  </si>
  <si>
    <t>C-DOUBLE SAFE NX SKY BLUE - GS</t>
  </si>
  <si>
    <t>C-DOUBLE SAFE NX SKY BLUE - ET</t>
  </si>
  <si>
    <t>N-RISDROP 30MLTR ASSY -ET</t>
  </si>
  <si>
    <t>N-RISDROP 30MLTR ASSY -GS</t>
  </si>
  <si>
    <t>B-10ML O DESIGN O.GREEN (L)-GS</t>
  </si>
  <si>
    <t>B-10ML O DESIGN O.GREEN (L)-ET</t>
  </si>
  <si>
    <t>N-OPEN RSP-60 MLTR NAT (L)-GS</t>
  </si>
  <si>
    <t>N-OPEN RSP-60 MLTR NAT (L)-ET</t>
  </si>
  <si>
    <t>C-TAMPSAFE SS(R)WT7541PH(H)-GS</t>
  </si>
  <si>
    <t>N-OPEN RSP-60 MLTR WHITE(L)-GS</t>
  </si>
  <si>
    <t>N-OPEN RSP-60 MLTR WHITE(L)-ET</t>
  </si>
  <si>
    <t>B-10ML RING WHITE (RB6F)(L)-GS</t>
  </si>
  <si>
    <t>C-TAMP SAFE RSP RED (H)-ET</t>
  </si>
  <si>
    <t>C-TAMP SAFE RSP RED (H)-GS</t>
  </si>
  <si>
    <t>C-DOUBLESAFE NX ROSE PINK(H)GS</t>
  </si>
  <si>
    <t>C-DOUBLESAFE NX DARK BLUE - GS</t>
  </si>
  <si>
    <t>C-DOUBLESAFE NX DARK BLUE - ET</t>
  </si>
  <si>
    <t>C-TAMPSAFE RSP WT NEW 1905-GS</t>
  </si>
  <si>
    <t>C-TAMPSAFE RSP WT NEW 1905-ET</t>
  </si>
  <si>
    <t>B-5ML RSP 1810E WHITE (S)-GS</t>
  </si>
  <si>
    <t>B-5ML RSP 1810E WHITE (S)-ET</t>
  </si>
  <si>
    <t>B-10ML RSP O. GREEN 415143-GS</t>
  </si>
  <si>
    <t>B-10ML RSP O. GREEN 415143-ET</t>
  </si>
  <si>
    <t>N-OPEN RSP O.GREEN 415143-GS</t>
  </si>
  <si>
    <t>N-OPEN RSP O.GREEN 415143-ET</t>
  </si>
  <si>
    <t>B-5ML RSP WHITE R2 NEW (L)-ET</t>
  </si>
  <si>
    <t>C-TAMPSAFE RSP WT R2 NEW-GS</t>
  </si>
  <si>
    <t>C-TAMPSAFE RSP WT R2 NEW-ET</t>
  </si>
  <si>
    <t>N-OPEN "I" NATURAL NEW (L)-GS</t>
  </si>
  <si>
    <t>N-OPEN "I" NATURAL NEW (L)-ET</t>
  </si>
  <si>
    <t>N-OPEN "I" WHITE NEW (L)-GS</t>
  </si>
  <si>
    <t>N-OPEN "I" WHITE NEW (L)-ET</t>
  </si>
  <si>
    <t>N-28mcl SUSPENSION NAT (L)-GS</t>
  </si>
  <si>
    <t>C-TAMPSAFE RSP TURQ.NEW R2 -GS</t>
  </si>
  <si>
    <t>C-TAMPSAFE RSP TURQ.NEW R2 -ET</t>
  </si>
  <si>
    <t>C-TAMPSAFE RSP TANBR NEW R2-GS</t>
  </si>
  <si>
    <t>C-TAMPSAFE RSP TANBR NEW R2-ET</t>
  </si>
  <si>
    <t>C-TAMPSAFE RSP GREY NEW R2-GS</t>
  </si>
  <si>
    <t>C-TAMPSAFE RSP GREY NEW R2-ET</t>
  </si>
  <si>
    <t>C-TS RSP YELLOW 110543 NEW-GS</t>
  </si>
  <si>
    <t>C-TS RSP YELLOW 110543 NEW-ET</t>
  </si>
  <si>
    <t>N-UIED INSERT 45 MLTR WHT  -GS</t>
  </si>
  <si>
    <t>N-UIED INSERT 45 MLTR WHT  -ET</t>
  </si>
  <si>
    <t>N-UIED NOZZLE 45 MLTR NAT-GS</t>
  </si>
  <si>
    <t>N-UIED NOZZLE 45 MLTR NAT-ET</t>
  </si>
  <si>
    <t>C-DOUBLESAFE NX P.GREEN (H)-ET</t>
  </si>
  <si>
    <t>B-10ML "I" WHITE 6C-2 (L)-GS</t>
  </si>
  <si>
    <t>B-10ML "I" WHITE NEW (L)-ET</t>
  </si>
  <si>
    <t>B-10ML ROUND WHITE (L)-GS</t>
  </si>
  <si>
    <t>B-10ML ROUND WHITE (L)-ET</t>
  </si>
  <si>
    <t>C-TS RSP R2 PINK197 (H) NEW-GS</t>
  </si>
  <si>
    <t>C-TS RSP R2 PINK197 (H) NEW-ET</t>
  </si>
  <si>
    <t>B-5ML RSP R2 NAT. 1810E NEW-GS</t>
  </si>
  <si>
    <t>C-TS RSP R2 TR 5M176273 IND-GS</t>
  </si>
  <si>
    <t>C-TS RSP R2 TR 5M176273 IND-ET</t>
  </si>
  <si>
    <t>B-10ML VIAL GLENMARK PRINTED</t>
  </si>
  <si>
    <t>B-5ML VIAL GLENMARK PRINTED</t>
  </si>
  <si>
    <t>C-TS RSP BR 6130 R2 2.0 IND-ET</t>
  </si>
  <si>
    <t>C-TS RSP BR 6130 R2 2.0 IND-GS</t>
  </si>
  <si>
    <t>N-OPEN RSP WHITE 176031 (L)-GS</t>
  </si>
  <si>
    <t>N-OPEN RSP WHITE 176031 (L)-ET</t>
  </si>
  <si>
    <t>B-10ML RSP WHITE R2 (H)-GS</t>
  </si>
  <si>
    <t>B-10ML RSP WHITE R2 (H)-ET</t>
  </si>
  <si>
    <t>B-10ML RSP WHT R2 1810E (L)-GS</t>
  </si>
  <si>
    <t>B-10ML RSP WHT R2 1810E (L)-ET</t>
  </si>
  <si>
    <t>B-10ML RSP NAT R2 1810E (L)-GS</t>
  </si>
  <si>
    <t>B-10ML "I" NATURAL 6C-2 (L)-GS</t>
  </si>
  <si>
    <t>B-10ML "I" NATURAL 6C-2 (L)-ET</t>
  </si>
  <si>
    <t>B-10ML VIAL GLENMARK PRT 24.4H</t>
  </si>
  <si>
    <t>C-TAMPSAFE RSP R2 WT 1905-GS</t>
  </si>
  <si>
    <t>C-TAMPSAFE RSP R2 WT 1905-ET</t>
  </si>
  <si>
    <t>B-15ML RSP R2 NAT 1810E -GS</t>
  </si>
  <si>
    <t>C-TAMPSAFE RSP R2 PK 176237-GS</t>
  </si>
  <si>
    <t>B-10ML RSP WHITE 1810E (L)-GS</t>
  </si>
  <si>
    <t>C-TAMPSAFE RSP BLUE R2(H)-GS</t>
  </si>
  <si>
    <t>C-TAMPSAFE RSP BLUE R2(H)-ET</t>
  </si>
  <si>
    <t>C-TAMPSAFE RSP R2 OR 176046-GS</t>
  </si>
  <si>
    <t>C-TAMPSAFE RSP R2 OR 176046-ET</t>
  </si>
  <si>
    <t>B-10ML RSP R2 NATURAL(H)-GS</t>
  </si>
  <si>
    <t>B-10ML RSP R2 NATURAL(H)-ET</t>
  </si>
  <si>
    <t>C-TS RSP YELLOW 110543 R2-GS</t>
  </si>
  <si>
    <t>C-TS RSP YELLOW 110543 R2-ET</t>
  </si>
  <si>
    <t>C-TAMPSAFE RSP R2 WT 176031-ET</t>
  </si>
  <si>
    <t>B-5ML RSP GRN PE6M415143 R2-ET</t>
  </si>
  <si>
    <t>B-5ML RSP GRN PE6M415143 R2-GS</t>
  </si>
  <si>
    <t xml:space="preserve"> B-10ML RSP R2 WHT176031-GS</t>
  </si>
  <si>
    <t>B-15ML RSP R2 GRNPE6M415143-GS</t>
  </si>
  <si>
    <t>B-15ML RSP R2 GRNPE6M415143-ET</t>
  </si>
  <si>
    <t>N-OPEN RSP 60MCL WHT176031-ET</t>
  </si>
  <si>
    <t>C-TS RSP PURP PE4M176057 R2-GS</t>
  </si>
  <si>
    <t>C-TS RSP PURP PE4M176057 R2-ET</t>
  </si>
  <si>
    <t>C-TS RSP GRN (348C) (H) R2 -GS</t>
  </si>
  <si>
    <t>C-TAMPSAFE RSP PURPLE R2(H)-GS</t>
  </si>
  <si>
    <t>N-OPEN RSP 60MCL WHT176031-GS</t>
  </si>
  <si>
    <t>B-10ML RSP R2 GRNPE6M415143-ET</t>
  </si>
  <si>
    <t>N-RISDROP 45MLTR ASSY-GS</t>
  </si>
  <si>
    <t>N-RISDROP 45MLTR ASSY-NS</t>
  </si>
  <si>
    <t>N-RISDROP 45MLTR ASSY-ET</t>
  </si>
  <si>
    <t>C-TS RSP R2 WHT EP-75542 - GS</t>
  </si>
  <si>
    <t>B-10ML "O" NATURAL 1810E - GS</t>
  </si>
  <si>
    <t>B-10ML "O" NATURAL 1810E - ET</t>
  </si>
  <si>
    <t>C-TAMPSAFE RSP OR1585 R2(H)-GS</t>
  </si>
  <si>
    <t>C-TAMPSAFE RSP OR1585 R2(H)-ET</t>
  </si>
  <si>
    <t>C-DS NX BLUE 275733(H)-GS</t>
  </si>
  <si>
    <t>C-DS NX BLUE 275733(H)-ET</t>
  </si>
  <si>
    <t>N-NFC NOZZLE NATURAL (L)-GS</t>
  </si>
  <si>
    <t>N-NFC NOZZLE NATURAL (L)-ET</t>
  </si>
  <si>
    <t>C-DOUBLESAFE NATURAL NX(H)-GS</t>
  </si>
  <si>
    <t>C-DOUBLESAFE NATURAL NX(H)-ET</t>
  </si>
  <si>
    <t>C-TS RSP RED1797 R2 NEW (H)-GS</t>
  </si>
  <si>
    <t>C-TS RSP RED1797 R2 NEW (H)-ET</t>
  </si>
  <si>
    <t>C-TS RSP GRN(373C)R2 2.0(H)-GS</t>
  </si>
  <si>
    <t>C-TS RSP GRN(373C)R2 2.0(H)-ET</t>
  </si>
  <si>
    <t>C-DOUBLESAFE NX OR247913(H)-GS</t>
  </si>
  <si>
    <t>C-DOUBLESAFE NX OR247913(H)-ET</t>
  </si>
  <si>
    <t>N-OPEN RSP TURQ(326) (L)-GS</t>
  </si>
  <si>
    <t>N-OPEN RSP TURQ(326) (L)-ET</t>
  </si>
  <si>
    <t>C-TAMPSAFE SS(R) T.GREEN(H)-GS</t>
  </si>
  <si>
    <t>C-TAMPSAFE SS(R) T.GREEN(H)-ET</t>
  </si>
  <si>
    <t>N-OPEN RSP GREEN (348C) (L)-GS</t>
  </si>
  <si>
    <t>N-OPEN RSP GREEN (348C) (L)-ET</t>
  </si>
  <si>
    <t>C-TS RSP GRN (348C) (H) R2 -ET</t>
  </si>
  <si>
    <t>C-DOUBLESAFE NX RED  (H)-ET</t>
  </si>
  <si>
    <t>C-DOUBLESAFE NX VIOLET  (H)-GS</t>
  </si>
  <si>
    <t>C-DOUBLESAFE NX VIOLET  (H)-ET</t>
  </si>
  <si>
    <t>C-TAMP SAFE RSP P.GREEN (H)-GS</t>
  </si>
  <si>
    <t>C-TAMP SAFE RSP P.GREEN (H)-ET</t>
  </si>
  <si>
    <t>N-45mcl SUSPENSION (L)-GS</t>
  </si>
  <si>
    <t>N-45mcl SUSPENSION (L)-ET</t>
  </si>
  <si>
    <t>C-TAMPSAFE SS(R) RED240740 -GS</t>
  </si>
  <si>
    <t>C-TAMPSAFE SS(R) RED240740 -ET</t>
  </si>
  <si>
    <t>C-TAMPSAFE SS(R) BLUE240737-GS</t>
  </si>
  <si>
    <t>C-TAMPSAFE SS(R) BLUE240737-ET</t>
  </si>
  <si>
    <t>C-TS RSPTURQ.NEW R2 Modifid-GS</t>
  </si>
  <si>
    <t>C-TS RSPTURQ.NEW R2 Modifid-ET</t>
  </si>
  <si>
    <t>C-TAMPSAFE SS(R) BLACK(H)-GS</t>
  </si>
  <si>
    <t>C-TAMPSAFE SS(R) BLACK(H)-ET</t>
  </si>
  <si>
    <t>B-5ML RSP P.GREEN (L)-GS</t>
  </si>
  <si>
    <t>B-5ML RSP P.GREEN (L)-ET</t>
  </si>
  <si>
    <t>N-OPEN RSP P.GREEN(L)-GS</t>
  </si>
  <si>
    <t>N-OPEN RSP P.GREEN(L)-ET</t>
  </si>
  <si>
    <t>N-OPEN RSP NAT.(1810E) (L)-GS</t>
  </si>
  <si>
    <t>C-DOUBLESAFE NX MRN 224669 -GS</t>
  </si>
  <si>
    <t>C-DOUBLESAFE NX MRN 224669 -ET</t>
  </si>
  <si>
    <t>N-28mcl SUSPENSION NAT APL-GS</t>
  </si>
  <si>
    <t>C-DOUBLESAFE NX ROSE PINK(H)ET</t>
  </si>
  <si>
    <t>N-OPEN "O"NATURAL (L-J)-GS</t>
  </si>
  <si>
    <t>N-OPEN "O"NATURAL (L-J)-ET</t>
  </si>
  <si>
    <t>B-10ML "I" NATURAL (L-J)-GS</t>
  </si>
  <si>
    <t>B-10ML "I" NATURAL (L-J)-NS</t>
  </si>
  <si>
    <t>B-10ML "I" NATURAL (L-J)-ET</t>
  </si>
  <si>
    <t>B-10ML "I" WHITE (L-J)-ET</t>
  </si>
  <si>
    <t>N-OPEN "I" NATURAL NEW(L-J)-ET</t>
  </si>
  <si>
    <t>N-OPEN "I" WHITE NEW (L-J)-GS</t>
  </si>
  <si>
    <t>N-OPEN "I" WHITE NEW (L-J)-ET</t>
  </si>
  <si>
    <t>C-DOUBLESAFE NX U.YELLOW(H)-GS</t>
  </si>
  <si>
    <t>C-DOUBLESAFE NX U.YELLOW(H)-ET</t>
  </si>
  <si>
    <t>N-28mcl SUSPENSION WHT APL-GS</t>
  </si>
  <si>
    <t>N-28mcl SUSPENSION WHT APL-ET</t>
  </si>
  <si>
    <t>C-TAMPSAFE RSP R2 WT 75542-GS</t>
  </si>
  <si>
    <t>C-TAMPSAFE RSP R2 WT 75542-ET</t>
  </si>
  <si>
    <t>C-TAMPSAFE SS(R)ROSEPINK(H)-ET</t>
  </si>
  <si>
    <t>C-TAMPLOCK WHITE (REL) (H)-GS</t>
  </si>
  <si>
    <t>C-TAMPLOCK WHITE (REL) (H)-ET</t>
  </si>
  <si>
    <t>C-TAMPSAFE RSP D.BLUE(H)-ET</t>
  </si>
  <si>
    <t>C-DOUBLESAFE NX I.YELLOW(H)-GS</t>
  </si>
  <si>
    <t>C-DOUBLESAFE NX I.YELLOW(H)-ET</t>
  </si>
  <si>
    <t>C-DOUBLESAFE NX T.GREEN (H)-GS</t>
  </si>
  <si>
    <t>C-DOUBLESAFE NX T.GREEN (H)-ET</t>
  </si>
  <si>
    <t>B-5ML "I" NATURAL (L-J)-GS</t>
  </si>
  <si>
    <t>B-5ML "I" NATURAL (L-J)-NS</t>
  </si>
  <si>
    <t>B-5ML "I" NATURAL (L-J)-ET</t>
  </si>
  <si>
    <t>B-5ML "I" WHITE (L-J)-ET</t>
  </si>
  <si>
    <t>B-30ML OVAL WHITE (L-J)-GS</t>
  </si>
  <si>
    <t>B-30ML OVAL WHITE (L-J)-ET</t>
  </si>
  <si>
    <t>N-35mcl SOLUTION WHITE ORBI-GS</t>
  </si>
  <si>
    <t>N-35mcl SOLUTION WHITE ORBI-ET</t>
  </si>
  <si>
    <t>N-OPEN NBSR DTASSY WHT(L-J)-GS</t>
  </si>
  <si>
    <t>N-OPEN NBSR DTASSY WHT(L-J)-NS</t>
  </si>
  <si>
    <t>N-OPEN NBSR DTASSY WHT(L-J)-ET</t>
  </si>
  <si>
    <t>C-TAMPSAFE RSP PURPLE R2(H)-ET</t>
  </si>
  <si>
    <t>B-5ML "I" NATURAL 12C-HW(L)-ET</t>
  </si>
  <si>
    <t>C-TS RSP R2 WHT Modified(H)-GS</t>
  </si>
  <si>
    <t>C-TS RSP R2 WHT Modified(H)-ET</t>
  </si>
  <si>
    <t>C-TAMPSAFE "O" P.GREEN (H)-GS</t>
  </si>
  <si>
    <t>C-TAMPSAFE "O" P.GREEN (H)-ET</t>
  </si>
  <si>
    <t>C-TS RSP R2 PURP Modifid(H)-GS</t>
  </si>
  <si>
    <t>C-TS RSP R2 PURP Modifid(H)-ET</t>
  </si>
  <si>
    <t>C-TAMPSAFE SS(R) ORANGE(H)-GS</t>
  </si>
  <si>
    <t>C-TAMPSAFE SS(R) ORANGE(H)-ET</t>
  </si>
  <si>
    <t>B-10ML "I" O.GREEN 91151(L)-GS</t>
  </si>
  <si>
    <t>B-10ML "I" O.GREEN 91151(L)-ET</t>
  </si>
  <si>
    <t>B-5ML "I" O GREEN (L)-ET</t>
  </si>
  <si>
    <t>N-OPEN "I" O.GREEN 32C (L)-GS</t>
  </si>
  <si>
    <t>C-TAMPSAFE RSP WT R2 2.0(H)-GS</t>
  </si>
  <si>
    <t>C-TAMPSAFE RSP WT R2 2.0(H)-ET</t>
  </si>
  <si>
    <t>C-TS RSP R2 PINK197 2.0(H)-GS</t>
  </si>
  <si>
    <t>C-TS RSP R2 PINK197 2.0(H)-ET</t>
  </si>
  <si>
    <t>C-TAMPSAFE RSP TANBR R2-2.0-GS</t>
  </si>
  <si>
    <t>N-45mcl RSP NAT SUSPENSION-GS</t>
  </si>
  <si>
    <t>N-45mcl RSP NAT SUSPENSION-ET</t>
  </si>
  <si>
    <t>C-TS RSP R2 GREY 2.0(H)-GS</t>
  </si>
  <si>
    <t>C-TS RSP R2 GREY 2.0(H)-ET</t>
  </si>
  <si>
    <t>C-TS RSP R2 GRN(348C)2.0(H)-GS</t>
  </si>
  <si>
    <t>C-TS RSP R2 GRN(348C)2.0(H)-ET</t>
  </si>
  <si>
    <t>C-TS RSP RED1797 R2 2.0 (H)-GS</t>
  </si>
  <si>
    <t>C-TS RSP RED1797 R2 2.0 (H)-ET</t>
  </si>
  <si>
    <t>C-TS RSP PURPLE R2 2.0 (H)-GS</t>
  </si>
  <si>
    <t>C-TS RSP PURPLE R2 2.0 (H)-ET</t>
  </si>
  <si>
    <t>C-TS RSP BLUE R2 2.0 (H)-GS</t>
  </si>
  <si>
    <t>C-TS RSP BLUE R2 2.0 (H)-ET</t>
  </si>
  <si>
    <t>C-TS RSP YELLOW110543R2 2.0-GS</t>
  </si>
  <si>
    <t>C-TS RSP YELLOW110543R2 2.0-ET</t>
  </si>
  <si>
    <t>C-TAMPSAFE RSP TURQ.R2 2.0-GS</t>
  </si>
  <si>
    <t>C-TAMPSAFE RSP TURQ.R2 2.0-ET</t>
  </si>
  <si>
    <t>C-TAMPSAFE RSP OR1585R2 2.0-GS</t>
  </si>
  <si>
    <t>C-TAMPSAFE RSP OR1585R2 2.0-ET</t>
  </si>
  <si>
    <t>C-TAMPSAFE "O" O GRN 24C(H)-GS</t>
  </si>
  <si>
    <t>C-TAMPSAFE "O" O GRN 24C(H)-ET</t>
  </si>
  <si>
    <t>B-5ML RSP NAT R2 EZI-FLOW-GS</t>
  </si>
  <si>
    <t>B-10ML RSP NAT R2 EZI-FLOW-GS</t>
  </si>
  <si>
    <t>B-10ML RSP WHT R2 EZI-FLOW-GS</t>
  </si>
  <si>
    <t>C-TS RSP R2 PINK197EZI-FLOW-GS</t>
  </si>
  <si>
    <t>C-TS RSP YELLOW R2 EZI-FLOW-GS</t>
  </si>
  <si>
    <t>N-OPEN RSP NAT EZI-FLOW-GS</t>
  </si>
  <si>
    <t>N-OPEN RSP WHT EZI-FLOW-GS</t>
  </si>
  <si>
    <t>C-TS "O" VIOLET 91155 (H)-GS</t>
  </si>
  <si>
    <t>C-TS "O" VIOLET 91155 (H)-ET</t>
  </si>
  <si>
    <t>C-TS "O" U.YELLOW (H-M)-GS</t>
  </si>
  <si>
    <t>C-TS "O" U.YELLOW (H-M)-ET</t>
  </si>
  <si>
    <t>C-TS "O" VIOLET 91155 (H-M)-GS</t>
  </si>
  <si>
    <t>C-TS "O" VIOLET 91155 (H-M)-ET</t>
  </si>
  <si>
    <t>B-15ML RSP NAT R2 EZI-FLOW-GS</t>
  </si>
  <si>
    <t>B-15ML RSP WHT R2 EZI-FLOW-GS</t>
  </si>
  <si>
    <t>B-10ML "O" P. GREEN (L)-GS</t>
  </si>
  <si>
    <t>B-10ML "O" P. GREEN (L)-ET</t>
  </si>
  <si>
    <t>N-OPEN "O" P. GREEN (L)-GS</t>
  </si>
  <si>
    <t>N-OPEN "O" P. GREEN (L)-ET</t>
  </si>
  <si>
    <t>C-TS RSP EZI-F OR1585R2 2.0-GS</t>
  </si>
  <si>
    <t>N-OPEN RSP-30mcl NAT NEW(L)-GS</t>
  </si>
  <si>
    <t>C-TS RSP R2 2.0 WHT 1905(H)-GS</t>
  </si>
  <si>
    <t>C-TS RSPTURQ R2 2.0EZI-FLOW-GS</t>
  </si>
  <si>
    <t>N-45mcl RSP WHT SUSPENSION-GS</t>
  </si>
  <si>
    <t>N-45mcl RSP WHT SUSPENSION-ET</t>
  </si>
  <si>
    <t>C-TS RSP R2 2.0 WT 176031-GS</t>
  </si>
  <si>
    <t>C-TS RSP R2 2.0 WT 176031-ET</t>
  </si>
  <si>
    <t>B-5ML "O" P. GREEN (L)-GS</t>
  </si>
  <si>
    <t>B-5ML "O" P. GREEN (L)-ET</t>
  </si>
  <si>
    <t>B-4ML RSP WHITE R2 (L)-ET</t>
  </si>
  <si>
    <t>B-7ML RSP NATURAL R2 (L)-GS</t>
  </si>
  <si>
    <t>B-7ML RSP NATURAL R2 (L)-ET</t>
  </si>
  <si>
    <t>C-TS RSP R2 2.0 PINK197 EZI-GS</t>
  </si>
  <si>
    <t>N-OPEN RSP 60MLTR WHT EZI-GS</t>
  </si>
  <si>
    <t>C-TAMPSAFE "I" ROSEPINK (H)-GS</t>
  </si>
  <si>
    <t>C-TAMPSAFE "I" ROSEPINK (H)-ET</t>
  </si>
  <si>
    <t>C-TAMPSAFE "I" 314735(H)-GS</t>
  </si>
  <si>
    <t>C-TAMPSAFE "I" 314735(H)-ET</t>
  </si>
  <si>
    <t>C-TAMPSAFE "I"YELLOW 290706-GS</t>
  </si>
  <si>
    <t>C-TAMPSAFE "I"YELLOW 290706-ET</t>
  </si>
  <si>
    <t>C-TAMPSAFE "I" 334904(H)-GS</t>
  </si>
  <si>
    <t>C-TAMPSAFE "I" 334904(H)-ET</t>
  </si>
  <si>
    <t>C-TAMPSAFE "I" VIO 336941-GS</t>
  </si>
  <si>
    <t>C-TAMPSAFE "I" VIO 336941-ET</t>
  </si>
  <si>
    <t>C-TAMPSAFE "I"YELLOW 336942-GS</t>
  </si>
  <si>
    <t>C-TAMPSAFE "I"YELLOW 336942-ET</t>
  </si>
  <si>
    <t>C-TS "O" O.GREEN (PDP)(H)-GS</t>
  </si>
  <si>
    <t>C-TAMPSAFE "O" WHT (PDP)(H)-GS</t>
  </si>
  <si>
    <t>C-TAMPSAFE "O" WHT (PDP)(H)-ET</t>
  </si>
  <si>
    <t>B-5ML RSP O. GREEN (L)-GS</t>
  </si>
  <si>
    <t>B-5 ML RSP O. GREEN (L)-ET</t>
  </si>
  <si>
    <t>B-5ML RSP NAT R2(270G)(P)-GS</t>
  </si>
  <si>
    <t>B-10ML RSPWHT R2 EZI-FLW-FR-GS</t>
  </si>
  <si>
    <t>B-10ML RSPWHT R2 EZI-FLW-FR-NS</t>
  </si>
  <si>
    <t>B-10ML RSPWHT R2 EZI-FLW-FR-ET</t>
  </si>
  <si>
    <t>N-OPEN RSP WHT EZI-FLOW(FR)-GS</t>
  </si>
  <si>
    <t>N-OPEN RSP WHT EZI-FLOW(FR)-NS</t>
  </si>
  <si>
    <t>N-OPEN RSP WHT EZI-FLOW(FR)-ET</t>
  </si>
  <si>
    <t>C-TS RSP NATURAL R2 2.0(H)-GS</t>
  </si>
  <si>
    <t>C-TS RSP NATURAL R2 2.0(H)-ET</t>
  </si>
  <si>
    <t>B-5ML "I" WHITE 12C-HW (L)-ET</t>
  </si>
  <si>
    <t>B-10ML ROUND NATURAL (L)-GS</t>
  </si>
  <si>
    <t>B-10ML ROUND NATURAL (L)-ET</t>
  </si>
  <si>
    <t>N-OPEN RSP-30mcl GRN NEW(L)-ET</t>
  </si>
  <si>
    <t>C-TSRSP R2 GRN415143 2.0(H)-GS</t>
  </si>
  <si>
    <t>C-TSRSP R2 GRN415143 2.0(H)-ET</t>
  </si>
  <si>
    <t>B-5ML RSP P.GREEN (S)(L)-GS</t>
  </si>
  <si>
    <t>B-5ML RSP P.GREEN (S)(L)-ET</t>
  </si>
  <si>
    <t>N-OPEN RSP-30mcl NAT NEW(P)-GS</t>
  </si>
  <si>
    <t>N-OPEN RSP-30mcl NAT NEW(P)-ET</t>
  </si>
  <si>
    <t>B-15 ML RSP O.GREEN (L)-GS</t>
  </si>
  <si>
    <t>B-15 ML RSP O.GREEN (L)-ET</t>
  </si>
  <si>
    <t>C-TS RSP PURP R2 2.0-24C(H)-GS</t>
  </si>
  <si>
    <t>C-TS RSP PURP R2 2.0-24C(H)-ET</t>
  </si>
  <si>
    <t>C-TS RSP BLUE R2 2.0-24C(H)-GS</t>
  </si>
  <si>
    <t>C-TS RSP BLUE R2 2.0-24C(H)-ET</t>
  </si>
  <si>
    <t>C-TS RSP TURQ.R2 2.0-24C(H)-GS</t>
  </si>
  <si>
    <t>C-TS RSP TURQ.R2 2.0-24C(H)-ET</t>
  </si>
  <si>
    <t>C-TAMPSAFE "O" SKY BLUE (H)-GS</t>
  </si>
  <si>
    <t>C-TAMPSAFE "O" SKY BLUE (H)-ET</t>
  </si>
  <si>
    <t>B-10ML RSP WHITE R2 SP (L)-GS</t>
  </si>
  <si>
    <t>B-10ML RSP WHITE R2 SP (L)-ET</t>
  </si>
  <si>
    <t>B-15ML RSP WHITE R2 SP (L)-GS</t>
  </si>
  <si>
    <t>B-15ML RSP WHITE R2 SP (L)-ET</t>
  </si>
  <si>
    <t>C-TS RSP WT R2 2.0 24C (H)-GS</t>
  </si>
  <si>
    <t>C-TS RSP WT R2 2.0 24C (H)-ET</t>
  </si>
  <si>
    <t>C-TS RSP R2 GREY 2.0 24C(H)-GS</t>
  </si>
  <si>
    <t>C-TS RSP R2 GREY 2.0 24C(H)-ET</t>
  </si>
  <si>
    <t>C-TS RSP OR1585R2 2.0 24C-GS</t>
  </si>
  <si>
    <t>C-TS RSP OR1585R2 2.0 24C-ET</t>
  </si>
  <si>
    <t>C-TS RSP R2 BR 2.0 IND 24C-GS</t>
  </si>
  <si>
    <t>C-TS RSP R2 BR 2.0 IND 24C-ET</t>
  </si>
  <si>
    <t>C-TS RSP R2GRN 373C 2.0 24C-GS</t>
  </si>
  <si>
    <t>C-TS RSP R2GRN 373C 2.0 24C-ET</t>
  </si>
  <si>
    <t>C-TS RSP R2 PINK197 2.0 24C-GS</t>
  </si>
  <si>
    <t>C-TS RSP R2 PINK197 2.0 24C-ET</t>
  </si>
  <si>
    <t>C-TS RSPR2 GRN(348C)2.0 24C-GS</t>
  </si>
  <si>
    <t>C-TS RSPR2 GRN(348C)2.0 24C-ET</t>
  </si>
  <si>
    <t>C-TS RSP RED1797 R2 2.0 24C-GS</t>
  </si>
  <si>
    <t>C-TS RSP RED1797 R2 2.0 24C-ET</t>
  </si>
  <si>
    <t>C-TS RSP PURPLE R2 2.0 24C-GS</t>
  </si>
  <si>
    <t>C-TS RSP PURPLE R2 2.0 24C-ET</t>
  </si>
  <si>
    <t>C-TS RSP BLUE R2 2.0 24C(H)-GS</t>
  </si>
  <si>
    <t>C-TS RSP BLUE R2 2.0 24C(H)-ET</t>
  </si>
  <si>
    <t>C-TS RSP YW110543R2 2.0 24C-GS</t>
  </si>
  <si>
    <t>C-TS RSP YW110543R2 2.0 24C-ET</t>
  </si>
  <si>
    <t>C-TS RSP TURQ.R2 2.0 24C-GS</t>
  </si>
  <si>
    <t>C-TS RSP TURQ.R2 2.0 24C-ET</t>
  </si>
  <si>
    <t>C-TS RSP TANBR R2 2.0 24C-GS</t>
  </si>
  <si>
    <t>C-TS RSPR2 2.0 WHT1905 24C-GS</t>
  </si>
  <si>
    <t>C-TS RSPR2 2.0 WHT1905 24C-ET</t>
  </si>
  <si>
    <t>C-TS RSPR2 2.0PK 176237 24C-GS</t>
  </si>
  <si>
    <t>C-TS RSPR2 2.0PK 176237 24C-ET</t>
  </si>
  <si>
    <t>C-TS RSP R2 TUR 2.0 24C EZI-GS</t>
  </si>
  <si>
    <t>C-TS RSPR2 2.0WT 176031 24C-GS</t>
  </si>
  <si>
    <t>C-TS RSPR2 2.0WT 176031 24C-ET</t>
  </si>
  <si>
    <t>C-TS RSPR2 2.0 PK197 24C EZ-GS</t>
  </si>
  <si>
    <t>C-TS RSP NAT R2 2.0 24C (H)-GS</t>
  </si>
  <si>
    <t>C-TS RSP NAT R2 2.0 24C (H)-ET</t>
  </si>
  <si>
    <t>C-TSRSPR2 GRN415143 2.0 24C-GS</t>
  </si>
  <si>
    <t>C-TSRSPR2 GRN415143 2.0 24C-ET</t>
  </si>
  <si>
    <t>C-TSRSPR2 OR1585 2.0 24CEZI-GS</t>
  </si>
  <si>
    <t>C-TS RSPR2 YLW110543 2.0 EF-GS</t>
  </si>
  <si>
    <t>B-10ML "I" NATURAL-16C(L)-ET</t>
  </si>
  <si>
    <t>B-10ML "I"O.GRN91151-16C(L)-ET</t>
  </si>
  <si>
    <t>B-10ML "I" WHITE-16C (L)-ET</t>
  </si>
  <si>
    <t>N-OPEN RSP-60MCL NAT 24C(L)-GS</t>
  </si>
  <si>
    <t>N-OPEN RSP-60MCL NAT 24C(L)-ET</t>
  </si>
  <si>
    <t>B-4ML RSP NATURAL R2 (L)-GS</t>
  </si>
  <si>
    <t>B-4ML RSP NATURAL R2 (L)-ET</t>
  </si>
  <si>
    <t>N-OPEN RSP60MCL GRN348C 24C-GS</t>
  </si>
  <si>
    <t>N-OPEN RSP60MCL GRN348C 24C-ET</t>
  </si>
  <si>
    <t>B-5ML RSP WHITE176031 (L)-GS</t>
  </si>
  <si>
    <t>B-5ML RSP WHITE176031 (L)-ET</t>
  </si>
  <si>
    <t>B-10ML RSP WHITE176031 (L)-GS</t>
  </si>
  <si>
    <t>B-10ML RSP WHITE176031 (L)-ET</t>
  </si>
  <si>
    <t>B-10ML RSP WHT176031 R2(L)-GS</t>
  </si>
  <si>
    <t>B-10ML RSP WHT176031 R2(L)-ET</t>
  </si>
  <si>
    <t>B-5ML RSP WHITE176031 R2(L)-GS</t>
  </si>
  <si>
    <t>B-5ML RSP WHITE176031 R2(L)-ET</t>
  </si>
  <si>
    <t>N-OPEN "I" NAT NEW 48C (L)-ET</t>
  </si>
  <si>
    <t>N-OPEN "I" WHITE NEW 48C(L)-GS</t>
  </si>
  <si>
    <t>N-OPEN "I" WHITE NEW 48C(L)-ET</t>
  </si>
  <si>
    <t>C-TS RSP TANBR R2 2.0 24C-ET</t>
  </si>
  <si>
    <t>B-10ML RSP GREEN 5143 R2(H)-GS</t>
  </si>
  <si>
    <t>B-10ML RSP GREEN 5143 R2(H)-ET</t>
  </si>
  <si>
    <t>B-10ML RSPR2 O.GRN373-1840H-GS</t>
  </si>
  <si>
    <t>B-10ML RSPR2 O.GRN373-1840H-ET</t>
  </si>
  <si>
    <t>C-TAMPSAFE "O" WHITE-24C(H)-GS</t>
  </si>
  <si>
    <t>C-TS RSPR2 2.0 O.GRN373-24C-GS</t>
  </si>
  <si>
    <t>C-TS RSPR2 2.0 O.GRN373-24C-ET</t>
  </si>
  <si>
    <t>N-RISDROP 60 MLTR ASSEMBLY-GS</t>
  </si>
  <si>
    <t>N-RISDROP 60 MLTR ASSEMBLY-NS</t>
  </si>
  <si>
    <t>N-RISDROP 60 MLTR ASSEMBLY-ET</t>
  </si>
  <si>
    <t>N-RISDROP 60 MLTR NAT ASSY-GS</t>
  </si>
  <si>
    <t>N-RISDROP 60 MLTR NAT ASSY-NS</t>
  </si>
  <si>
    <t>N-RISDROP 60 MLTR NAT ASSY-ET</t>
  </si>
  <si>
    <t>C-TS RSPR2 WT43100-(PP6331)-GS</t>
  </si>
  <si>
    <t>C-TS RSPR2 WT43100-(PP6331)-ET</t>
  </si>
  <si>
    <t>N-RISDROP 45 mcL NAT ASSY-GS</t>
  </si>
  <si>
    <t>N-RISDROP 45 mcL NAT ASSY-NS</t>
  </si>
  <si>
    <t>N-RISDROP 30 mcL NAT ASSY-ET</t>
  </si>
  <si>
    <t>N-RISDROP 30 mcL NAT ASSY-NS</t>
  </si>
  <si>
    <t>N-RISDROP 30 mcL NAT ASSY-GS</t>
  </si>
  <si>
    <t>B-5ML "O" WHITE (L-J)-GS</t>
  </si>
  <si>
    <t>B-5ML "O" WHITE (L-J)-ET</t>
  </si>
  <si>
    <t>B-10ML "O" WHITE (L-J)-GS</t>
  </si>
  <si>
    <t>B-10ML "O" WHITE (L-J)-ET</t>
  </si>
  <si>
    <t>C-RSP TE LESS WHITE(H)-GS</t>
  </si>
  <si>
    <t>C-RSP TE LESS WHITE(H)-ET</t>
  </si>
  <si>
    <t>B-15ML RSP WHT176031 R2(L)-GS</t>
  </si>
  <si>
    <t>B-15ML RSP WHT176031 R2(L)-ET</t>
  </si>
  <si>
    <t>C-TAMPSAFE SS(R) WHITE(H)3P-GS</t>
  </si>
  <si>
    <t>C-TAMPSAFE SS(R) WHITE(H)3P-ET</t>
  </si>
  <si>
    <t>B-5ML "I" OGREEN-12C-HW(L)-GS</t>
  </si>
  <si>
    <t>B-5ML "I" OGREEN-12C-HW(L)-ET</t>
  </si>
  <si>
    <t>C-TS RSP R2 2.0WHT6541A-24C-GS</t>
  </si>
  <si>
    <t>C-TS RSP R2 2.0WHT6541A-24C-ET</t>
  </si>
  <si>
    <t>C-TS RSPR2 2.0PINK6541A-24C-GS</t>
  </si>
  <si>
    <t>C-TS RSPR2 2.0PINK6541A-24C-ET</t>
  </si>
  <si>
    <t>C-TS RSPR2 2.0TURQ6541A-24C-GS</t>
  </si>
  <si>
    <t>C-TS RSPR2 2.0TURQ6541A-24C-ET</t>
  </si>
  <si>
    <t>C-TS RSPR2 2.0TANB6541A-24C-GS</t>
  </si>
  <si>
    <t>C-TS RSPR2 2.0TANB6541A-24C-ET</t>
  </si>
  <si>
    <t>N-35mcl RSP WHT SUSPENSION-GS</t>
  </si>
  <si>
    <t>N-35mcl RSP WHT SUSPENSION-ET</t>
  </si>
  <si>
    <t>C-TAMPSAFE RSP GRN415143(H)-GS</t>
  </si>
  <si>
    <t>C-TAMPSAFE RSP GRN415143(H)-ET</t>
  </si>
  <si>
    <t>C-TAMPSAFE RSP GRN348C (H)-GS</t>
  </si>
  <si>
    <t>C-TAMPSAFE RSP GRN348C (H)-ET</t>
  </si>
  <si>
    <t>C-TAMPSAFE RSP GRN373 (H)-GS</t>
  </si>
  <si>
    <t>C-TAMPSAFE RSP GRN373 (H)-ET</t>
  </si>
  <si>
    <t>C-TS RSP R2 2.0 YEL 24C EZI-GS</t>
  </si>
  <si>
    <t xml:space="preserve"> B-7ML RSP R2 WHITE (L)-GS</t>
  </si>
  <si>
    <t>C-TS RSP R2 2.0 TANBR 64C-ET</t>
  </si>
  <si>
    <t>C-TSRSPR2 2.0 GRN415143 64C-ET</t>
  </si>
  <si>
    <t>C-TS RSP R2 2.0 TURQ. 64C-GS</t>
  </si>
  <si>
    <t>C-TS RSP R2 2.0 GREY 64C-ET</t>
  </si>
  <si>
    <t>C-TS RSP R2 2.0 PINK 64C-GS</t>
  </si>
  <si>
    <t>C-TAMPSAFE RSP R2 PK 176237-ET</t>
  </si>
  <si>
    <t>B-5ML "I" WHITE 16C-HW (L)-GS</t>
  </si>
  <si>
    <t>B-5ML "I" WHITE 16C-HW (L)-ET</t>
  </si>
  <si>
    <t>N-45mcl SUSPENSION NAT APL-GS</t>
  </si>
  <si>
    <t>N-45mcl SUSPENSION NAT APL-ET</t>
  </si>
  <si>
    <t>N-45mcl SUSPENSION WHT APL-GS</t>
  </si>
  <si>
    <t>N-45mcl SUSPENSION WHT APL-ET</t>
  </si>
  <si>
    <t>C-TS RSP R22.0 PINK310239 E-ET</t>
  </si>
  <si>
    <t>C-TS RSPR2 2.0 PINK ACP6541-GS</t>
  </si>
  <si>
    <t>C-TS RSPR2 2.0 PINK ACP6541-ET</t>
  </si>
  <si>
    <t>B-5ML RSP WHT PL0M415169(L)-GS</t>
  </si>
  <si>
    <t>B-5ML RSP WHT PL0M415169(L)-ET</t>
  </si>
  <si>
    <t>C-TS RSP OR1585R2 2.0 64C-GS</t>
  </si>
  <si>
    <t>C-TS RSP OR1585R2 2.0 64C-ET</t>
  </si>
  <si>
    <t>C-TS RSP PURPLE R2 2.0 64C-GS</t>
  </si>
  <si>
    <t>C-TS RSP PURPLE R2 2.0 64C-ET</t>
  </si>
  <si>
    <t>C-TS RSP BLUE R2 2.0 64C-ET</t>
  </si>
  <si>
    <t>C-TAMPSAFE "O" P.GRN 24C(H)-GS</t>
  </si>
  <si>
    <t>C-TAMPSAFE "O" P.GRN 24C(H)-ET</t>
  </si>
  <si>
    <t>B-5ML RSP WHT415169 R2 (L)-GS</t>
  </si>
  <si>
    <t>B-5ML RSP WHT415169 R2 (L)-ET</t>
  </si>
  <si>
    <t>C-TS RSP RED1797 R2 2.0 64C-GS</t>
  </si>
  <si>
    <t>C-TS RSP RED1797 R2 2.0 64C-ET</t>
  </si>
  <si>
    <t>C-TS RSP R2 2.0 YEL 64C EZI-GS</t>
  </si>
  <si>
    <t>C-TS RSP R2 2 YEL110543 64C-GS</t>
  </si>
  <si>
    <t>C-TS RSP R2 2 YEL110543 64C-ET</t>
  </si>
  <si>
    <t>B-10ML RSP NAT R2 16C (L)-GS</t>
  </si>
  <si>
    <t>B-10ML RSP NAT R2 16C (L)-ET</t>
  </si>
  <si>
    <t>B-10ML RSP WHITE R2 16C (L)-GS</t>
  </si>
  <si>
    <t>B-10ML RSP WHITE R2 16C (L)-ET</t>
  </si>
  <si>
    <t>B-10ML RSP R2 GRN415143-16C-GS</t>
  </si>
  <si>
    <t>B-10ML RSP R2 GRN415143-16C-ET</t>
  </si>
  <si>
    <t>B-5ML RSP NATURAL R2 48C(L)-ET</t>
  </si>
  <si>
    <t>B-5ML "O" NATURAL 48C(L)-GS</t>
  </si>
  <si>
    <t>B-5ML "O" NATURAL 48C(L)-ET</t>
  </si>
  <si>
    <t>B-10ML "O" WHITE 18C(L-J)-GS</t>
  </si>
  <si>
    <t>B-10ML "O" WHITE 18C(L-J)-ET</t>
  </si>
  <si>
    <t>B-10ML O DESIGN O.GRN18C(L)-ET</t>
  </si>
  <si>
    <t>C-TS RSP R2 GRN348C 64C(H)-GS</t>
  </si>
  <si>
    <t>C-TS RSP R2 GRN348C 64C(H)-ET</t>
  </si>
  <si>
    <t>C-TS RSP YW110543R2 2.0 64C-ET</t>
  </si>
  <si>
    <t>TABUK ADAPTER ASSEMBLY(V1)- ET</t>
  </si>
  <si>
    <t>B-5ML RSP WHITE R2 NEW (H)-GS</t>
  </si>
  <si>
    <t>B-5ML RSP WHITE R2 NEW (H)-ET</t>
  </si>
  <si>
    <t>C-TS "O" VILT91155 24C(H-M)-ET</t>
  </si>
  <si>
    <t>B-5ML "I" OGREEN-16C-HW(L)-GS</t>
  </si>
  <si>
    <t>B-5ML "I" OGREEN-16C-HW(L)-ET</t>
  </si>
  <si>
    <t>B-10ML RSP White -18C(L)-ET</t>
  </si>
  <si>
    <t>B-10ML RSP NATURAL-18C(L)-GS</t>
  </si>
  <si>
    <t>B-10ML RSP NATURAL-18C(L)-ET</t>
  </si>
  <si>
    <t>N-OPEN RSP NATURAL(L) SCD-GS</t>
  </si>
  <si>
    <t>N-OPEN RSP NATURAL(L) SCD-ET</t>
  </si>
  <si>
    <t>C-TAMP SAFE"I" GREY75198(H)-GS</t>
  </si>
  <si>
    <t>C-TAMP SAFE"I" GREY75198(H)-ET</t>
  </si>
  <si>
    <t>C-TAMPSAFE "O" DARK BLUE(H)-GS</t>
  </si>
  <si>
    <t>C-TAMPSAFE "O" DARK BLUE(H)-ET</t>
  </si>
  <si>
    <t>C-TAMPSAFE SS(R)BLUE 275733-GS</t>
  </si>
  <si>
    <t>C-TAMPSAFE SS(R)BLUE 275733-ET</t>
  </si>
  <si>
    <t>C-TAMPSAFE "O" SKY BLUE 24C-GS</t>
  </si>
  <si>
    <t>C-TAMPSAFE "O" SKY BLUE 24C-ET</t>
  </si>
  <si>
    <t>C-TS "O" U.Yellow 24C (H-M)-ET</t>
  </si>
  <si>
    <t>C-TAMPSAFE SS(R) TURQ (H)-GS</t>
  </si>
  <si>
    <t>C-TAMPSAFE SS(R) TURQ (H)-ET</t>
  </si>
  <si>
    <t>C-TS"O" TE LESS WHITE(H)-GS</t>
  </si>
  <si>
    <t>C-TS"O" TE LESS WHITE(H)-ET</t>
  </si>
  <si>
    <t>B-10ML RSP O. GREEN-18C (L)-GS</t>
  </si>
  <si>
    <t>B-10ML RSP O. GREEN-18C (L)-ET</t>
  </si>
  <si>
    <t>B-10ML "O" WHITE-18C (L)-ET</t>
  </si>
  <si>
    <t>B-5ML RSP NAT 48C(L).-GS</t>
  </si>
  <si>
    <t>B-5ML RSP NAT 48C(L).-ET</t>
  </si>
  <si>
    <t>C-TS RSPR2 2.0 O.GRN373-64C-GS</t>
  </si>
  <si>
    <t>C-TS RSPR2 2.0 O.GRN373-64C-ET</t>
  </si>
  <si>
    <t>B-15ML RSP NATURAL(H)-GS</t>
  </si>
  <si>
    <t>B-15ML RSP NATURAL(H)-ET</t>
  </si>
  <si>
    <t>C-TS RSP R2GRN 373C 2.0 64C-GS</t>
  </si>
  <si>
    <t>C-TS RSP R2GRN 373C 2.0 64C-ET</t>
  </si>
  <si>
    <t>N-45mcl SUSPENSION WHT AMNL-GS</t>
  </si>
  <si>
    <t>N-45mcl SUSPENSION WHT AMNL-ET</t>
  </si>
  <si>
    <t>B-5ML RSP WHT 48C(L).-ET</t>
  </si>
  <si>
    <t>C-TS RSP RED 1797C P (H)-GS</t>
  </si>
  <si>
    <t>C-TS RSP RED 1797C P (H)-ET</t>
  </si>
  <si>
    <t>C-TAMPSAFE "O" T.BROWN (H)-GS</t>
  </si>
  <si>
    <t>C-TAMPSAFE "O" T.BROWN (H)-ET</t>
  </si>
  <si>
    <t>C-DOUBLESAFE NX TRQS (H)-GS</t>
  </si>
  <si>
    <t>C-DOUBLESAFE NX TRQS (H)-ET</t>
  </si>
  <si>
    <t>C-TS RSP PUR R2 2.0 64C EZI-GS</t>
  </si>
  <si>
    <t>C-TS RSP PUR R2 2.0 64C EZI-ET</t>
  </si>
  <si>
    <t>B-5ML RSP WHT R2 48C(L)SCD-GS</t>
  </si>
  <si>
    <t>B-5ML RSP WHT R2 48C(L)SCD-ET</t>
  </si>
  <si>
    <t>C-TS RSP R2 2.0 GRY 64C-SCD-GS</t>
  </si>
  <si>
    <t>C-TS RSP R2 2.0 GRY 64C-SCD-ET</t>
  </si>
  <si>
    <t>N-RSP-30mcl NAT NEW(L)SCD-GS</t>
  </si>
  <si>
    <t>N-RSP-30mcl NAT NEW(L)SCD-ET</t>
  </si>
  <si>
    <t>C-DSNX BLUE 408856 - ET</t>
  </si>
  <si>
    <t>C-TAMPSAFE SS(R)BLUE 408856-GS</t>
  </si>
  <si>
    <t>N-OPEN RSP NAT MDI-APT-GS</t>
  </si>
  <si>
    <t>C-TS RSP R2 2.0 WHT 64C MDI-GS</t>
  </si>
  <si>
    <t>N-OPEN RSP NATURAL 64C SCD-GS</t>
  </si>
  <si>
    <t>N-OPEN RSP NATURAL 64C SCD-ET</t>
  </si>
  <si>
    <t>C-RSP TE LESS RED1797(H)-GS</t>
  </si>
  <si>
    <t>C-RSP TE LESS RED1797(H)-ET</t>
  </si>
  <si>
    <t>N-35mcl SOLUTION NAT ORBI-GS</t>
  </si>
  <si>
    <t>N-35mcl SOLUTION NAT ORBI-ET</t>
  </si>
  <si>
    <t>N-OPEN RSP NATURAL-3 RING-GS</t>
  </si>
  <si>
    <t>N-OPEN RSP NATURAL-3 RING-ET</t>
  </si>
  <si>
    <t>N-OPEN RSP WHITE-3 RING-GS</t>
  </si>
  <si>
    <t>N-OPEN RSP WHT-3 RING (LL)-GS</t>
  </si>
  <si>
    <t>N-OPEN RSP WHT-3 RING (LL)-ET</t>
  </si>
  <si>
    <t>C-TAMPSAFE "O" GREEN-24C(H)-GS</t>
  </si>
  <si>
    <t>C-TAMPSAFE "O" PINK-24C(H)-GS</t>
  </si>
  <si>
    <t>C-TAMPSAFE "O" BROWN-24C(H)-GS</t>
  </si>
  <si>
    <t>C-TAMPSAFE "O" L-BLUE-24C(H)GS</t>
  </si>
  <si>
    <t>B-5ML RSP WHITE 48C(R)-GS</t>
  </si>
  <si>
    <t>B-5ML RSP WHITE 48C(R)-ET</t>
  </si>
  <si>
    <t>N-OPEN RSP WHITE 64C(R)-GS</t>
  </si>
  <si>
    <t>N-OPEN RSP WHITE 64C(R)-ET</t>
  </si>
  <si>
    <t>C-TAMPSAFE "O" PINK-24C(H)-ET</t>
  </si>
  <si>
    <t>C-TAMPSAFE "O" BROWN-24C(H)-ET</t>
  </si>
  <si>
    <t>C-TAMPSAFE "O" L-BLUE-24C(H)ET</t>
  </si>
  <si>
    <t>C-TAMPSAFE "O" GREEN-24C(H)-ET</t>
  </si>
  <si>
    <t>C-DOUBLESAFE NX G.YELLOW(H)-GS</t>
  </si>
  <si>
    <t>C-DOUBLESAFE NX G.YELLOW(H)-ET</t>
  </si>
  <si>
    <t>C-DOUBLESAFE NX C. BROWN(H)-GS</t>
  </si>
  <si>
    <t>C-DOUBLESAFE NX C. BROWN(H)-ET</t>
  </si>
  <si>
    <t>C-DOUBLESAFE NX REMA.RED(H)-GS</t>
  </si>
  <si>
    <t>C-DOUBLESAFE NX REMA.RED(H)-ET</t>
  </si>
  <si>
    <t>B-5ML RSP NAT R2(270G)-TYV-GS</t>
  </si>
  <si>
    <t>N-RISDROP 45MLTR W ASY-TYV-GS</t>
  </si>
  <si>
    <t>C-TS RSP R2 2.0 WHT 64C-TVY-GS</t>
  </si>
  <si>
    <t>C-TAMPSAFE RSP WHITE(H)BLD-GS</t>
  </si>
  <si>
    <t>C-TAMPSAFE RSP WHITE(H)BLD-ET</t>
  </si>
  <si>
    <t>N-RISDROP INSERT NAT-GS</t>
  </si>
  <si>
    <t>N-RISDROP INSERT NAT-ET</t>
  </si>
  <si>
    <t>N-RISDROP 30MLTR ASSY (W-N)-GS</t>
  </si>
  <si>
    <t>N-RISDROP 30MLTR ASSY (W-N)-ET</t>
  </si>
  <si>
    <t>B-30ML OVAL WHITE -NS</t>
  </si>
  <si>
    <t>B-5ML RG O. GREEN271(L-F)-NS</t>
  </si>
  <si>
    <t>N-OPEN RG O.GRN271 64C(L-F)-NS</t>
  </si>
  <si>
    <t>WEIGHT</t>
  </si>
  <si>
    <t>ABLE PHARMA</t>
  </si>
  <si>
    <t>Bud Jul 25</t>
  </si>
  <si>
    <t>Bud Aug 25</t>
  </si>
  <si>
    <t>Bud Sep 25</t>
  </si>
  <si>
    <t>Bud Oct 25</t>
  </si>
  <si>
    <t>Bud Nov 25</t>
  </si>
  <si>
    <t>Bud Dec 25</t>
  </si>
  <si>
    <t>Bud Jan 26</t>
  </si>
  <si>
    <t>Bud Feb 26</t>
  </si>
  <si>
    <t>Bud Mar 26</t>
  </si>
  <si>
    <t>Bud Apr 26</t>
  </si>
  <si>
    <t>Bud May 26</t>
  </si>
  <si>
    <t>Bud Jun 26</t>
  </si>
  <si>
    <t>Bud  Total 26</t>
  </si>
  <si>
    <t>Act Jul 25</t>
  </si>
  <si>
    <t>Act  Aug 25</t>
  </si>
  <si>
    <t>Act  Sep 25</t>
  </si>
  <si>
    <t>Act Oct 25</t>
  </si>
  <si>
    <t>Act Nov 25</t>
  </si>
  <si>
    <t>Fcst Dec 25</t>
  </si>
  <si>
    <t>Fcst Jan 26</t>
  </si>
  <si>
    <t>Fcst Feb 26</t>
  </si>
  <si>
    <t>Fcst Mar 26</t>
  </si>
  <si>
    <t>Fcst Apr 26</t>
  </si>
  <si>
    <t>Fcst May 26</t>
  </si>
  <si>
    <t>Fcst Jun 26</t>
  </si>
  <si>
    <t>Fcst  Total 26</t>
  </si>
  <si>
    <t>Sales volume (KGS)</t>
  </si>
  <si>
    <t>Sales revenue</t>
  </si>
  <si>
    <t>Vials</t>
  </si>
  <si>
    <t>Nebuliser</t>
  </si>
  <si>
    <t>Nasal Spray</t>
  </si>
  <si>
    <t>N-OP</t>
  </si>
  <si>
    <t>Devices</t>
  </si>
  <si>
    <t>Non-healthcare</t>
  </si>
  <si>
    <t>Freight recovered from customers</t>
  </si>
  <si>
    <t>Gross Revenue</t>
  </si>
  <si>
    <t>AOP 2026</t>
  </si>
  <si>
    <t>Q4</t>
  </si>
  <si>
    <t>Customers</t>
  </si>
  <si>
    <t>Qty</t>
  </si>
  <si>
    <t>Value</t>
  </si>
  <si>
    <t>Kgs</t>
  </si>
  <si>
    <t>Sum of Feb Unitss</t>
  </si>
  <si>
    <t>Sum of Feb</t>
  </si>
  <si>
    <t>Sum of Feb Kgss</t>
  </si>
  <si>
    <t>Sum of Mar Unitss</t>
  </si>
  <si>
    <t>Sum of Mar</t>
  </si>
  <si>
    <t>Sum of Mar Kgss</t>
  </si>
  <si>
    <t>Total units</t>
  </si>
  <si>
    <t>Total Rev</t>
  </si>
  <si>
    <t>Total Tns</t>
  </si>
  <si>
    <t>BDF</t>
  </si>
  <si>
    <t>Beverages</t>
  </si>
  <si>
    <t>Dabur</t>
  </si>
  <si>
    <t>J&amp;J/JNTL/Kenvue</t>
  </si>
  <si>
    <t>Tata</t>
  </si>
  <si>
    <t>Anything Additional</t>
  </si>
  <si>
    <t>Grand Total</t>
  </si>
  <si>
    <t>Sales Budget 2026</t>
  </si>
  <si>
    <t>Updated Forecast 2026</t>
  </si>
  <si>
    <t>PURE&amp;CURE HEALTHCARE PVT LTD-S</t>
  </si>
  <si>
    <t>CUSTOMER</t>
  </si>
  <si>
    <t>PART CODE</t>
  </si>
  <si>
    <t>REMARKS</t>
  </si>
  <si>
    <r>
      <t xml:space="preserve">1.We don’t have capacity in Peenya to run the product with IBM mold,
2.IMBM product to be validated and approval required from customer 
</t>
    </r>
    <r>
      <rPr>
        <b/>
        <sz val="11"/>
        <color rgb="FFFF0000"/>
        <rFont val="Aptos Narrow"/>
        <scheme val="minor"/>
      </rPr>
      <t>3.We have free capacity in Sira to run the product but need management approval</t>
    </r>
  </si>
  <si>
    <t>SALES LOSS</t>
  </si>
  <si>
    <t>Need to provide samples with 64c mold to customer for approval</t>
  </si>
  <si>
    <t xml:space="preserve">TOTAL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</si>
</sst>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[$-409]d/mmm/yy;@"/>
    <numFmt numFmtId="165" formatCode="_ * #,##0_ ;_ * \-#,##0_ ;_ * &quot;-&quot;??_ ;_ @_ "/>
    <numFmt numFmtId="166" formatCode="[$-409]mmm\-yy;@"/>
    <numFmt numFmtId="167" formatCode="_(* #,##0_);_(* \(#,##0\);_(* &quot;-&quot;??_);_(@_)"/>
    <numFmt numFmtId="168" formatCode="_(* #,##0.00_);_(* \(#,##0.00\);_(* &quot;-&quot;??_);_(@_)"/>
  </numFmts>
  <fonts count="42">
    <font>
      <sz val="11"/>
      <color theme="1"/>
      <name val="Aptos Narrow"/>
      <family val="2"/>
      <scheme val="minor"/>
    </font>
    <font>
      <sz val="11"/>
      <color theme="1"/>
      <name val="Calibri Light"/>
      <family val="2"/>
    </font>
    <font>
      <sz val="11"/>
      <color theme="1"/>
      <name val="Calibri Light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2"/>
      <color rgb="FF000000"/>
      <name val="Calibri Light"/>
      <family val="2"/>
    </font>
    <font>
      <b/>
      <sz val="11"/>
      <color theme="1"/>
      <name val="Calibri Light"/>
      <family val="2"/>
    </font>
    <font>
      <sz val="1"/>
      <color theme="1"/>
      <name val="Aptos Narrow"/>
      <family val="2"/>
      <scheme val="minor"/>
    </font>
    <font>
      <b/>
      <sz val="9"/>
      <name val="Aptos Narrow"/>
      <scheme val="minor"/>
    </font>
    <font>
      <sz val="9"/>
      <name val="Aptos Narrow"/>
      <family val="2"/>
      <scheme val="minor"/>
    </font>
    <font>
      <b/>
      <sz val="11"/>
      <name val="Calibri Light"/>
      <family val="2"/>
    </font>
    <font>
      <b/>
      <sz val="11"/>
      <color rgb="FFFF0000"/>
      <name val="Calibri Light"/>
      <family val="2"/>
    </font>
    <font>
      <b/>
      <sz val="11"/>
      <color theme="1"/>
      <name val="Aptos Narrow"/>
      <scheme val="minor"/>
    </font>
    <font>
      <b/>
      <sz val="14"/>
      <name val="Calibri Light"/>
      <family val="2"/>
    </font>
    <font>
      <sz val="14"/>
      <color theme="1"/>
      <name val="Calibri Light"/>
      <family val="2"/>
    </font>
    <font>
      <sz val="11"/>
      <color rgb="FF0070C0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theme="1"/>
      <name val="Calibri"/>
      <family val="2"/>
    </font>
    <font>
      <b/>
      <sz val="11"/>
      <color theme="5" tint="-0.249977111117893"/>
      <name val="Calibri"/>
      <family val="2"/>
    </font>
    <font>
      <sz val="11"/>
      <color theme="1"/>
      <name val="Calibri"/>
      <family val="2"/>
    </font>
    <font>
      <sz val="11"/>
      <color theme="5" tint="-0.249977111117893"/>
      <name val="Calibri"/>
      <family val="2"/>
    </font>
    <font>
      <b/>
      <sz val="11"/>
      <color rgb="FFFF0000"/>
      <name val="Aptos Narrow"/>
      <scheme val="minor"/>
    </font>
    <font>
      <b/>
      <sz val="16"/>
      <color theme="1"/>
      <name val="Aptos Narrow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9" fontId="3" fillId="0" borderId="0" applyFont="0" applyFill="0" applyBorder="0" applyAlignment="0" applyProtection="0"/>
    <xf numFmtId="168" fontId="3" fillId="0" borderId="0" applyFont="0" applyFill="0" applyBorder="0" applyAlignment="0" applyProtection="0"/>
  </cellStyleXfs>
  <cellXfs count="144">
    <xf numFmtId="0" fontId="0" fillId="0" borderId="0" xfId="0"/>
    <xf numFmtId="0" fontId="20" fillId="0" borderId="10" xfId="0" applyFont="1" applyBorder="1" applyAlignment="1">
      <alignment horizontal="left"/>
    </xf>
    <xf numFmtId="0" fontId="20" fillId="0" borderId="10" xfId="0" pivotButton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5" fontId="20" fillId="0" borderId="10" xfId="0" applyNumberFormat="1" applyFont="1" applyBorder="1"/>
    <xf numFmtId="0" fontId="2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1" fillId="34" borderId="10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16" fontId="21" fillId="34" borderId="13" xfId="0" applyNumberFormat="1" applyFont="1" applyFill="1" applyBorder="1" applyAlignment="1">
      <alignment horizontal="center" vertical="center" wrapText="1"/>
    </xf>
    <xf numFmtId="0" fontId="21" fillId="34" borderId="14" xfId="0" applyFont="1" applyFill="1" applyBorder="1" applyAlignment="1">
      <alignment horizontal="center" vertical="center" wrapText="1"/>
    </xf>
    <xf numFmtId="16" fontId="21" fillId="34" borderId="15" xfId="0" applyNumberFormat="1" applyFont="1" applyFill="1" applyBorder="1" applyAlignment="1">
      <alignment horizontal="center" vertical="center" wrapText="1"/>
    </xf>
    <xf numFmtId="0" fontId="21" fillId="34" borderId="16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16" fontId="21" fillId="34" borderId="18" xfId="0" applyNumberFormat="1" applyFont="1" applyFill="1" applyBorder="1" applyAlignment="1">
      <alignment horizontal="center" vertical="center" wrapText="1"/>
    </xf>
    <xf numFmtId="0" fontId="22" fillId="33" borderId="19" xfId="0" applyFont="1" applyFill="1" applyBorder="1" applyAlignment="1">
      <alignment horizontal="center" vertical="center"/>
    </xf>
    <xf numFmtId="0" fontId="22" fillId="33" borderId="20" xfId="0" applyFont="1" applyFill="1" applyBorder="1" applyAlignment="1">
      <alignment horizontal="center" vertical="center"/>
    </xf>
    <xf numFmtId="0" fontId="22" fillId="33" borderId="21" xfId="0" applyFont="1" applyFill="1" applyBorder="1" applyAlignment="1">
      <alignment horizontal="center" vertical="center"/>
    </xf>
    <xf numFmtId="0" fontId="23" fillId="0" borderId="0" xfId="0" pivotButton="1" applyFont="1"/>
    <xf numFmtId="0" fontId="23" fillId="0" borderId="0" xfId="0" applyFont="1"/>
    <xf numFmtId="0" fontId="24" fillId="35" borderId="10" xfId="0" applyFont="1" applyFill="1" applyBorder="1" applyAlignment="1">
      <alignment horizontal="left"/>
    </xf>
    <xf numFmtId="165" fontId="24" fillId="35" borderId="10" xfId="0" applyNumberFormat="1" applyFont="1" applyFill="1" applyBorder="1"/>
    <xf numFmtId="165" fontId="25" fillId="0" borderId="10" xfId="0" applyNumberFormat="1" applyFont="1" applyFill="1" applyBorder="1"/>
    <xf numFmtId="0" fontId="22" fillId="0" borderId="10" xfId="0" applyFont="1" applyBorder="1"/>
    <xf numFmtId="0" fontId="22" fillId="33" borderId="10" xfId="0" applyFont="1" applyFill="1" applyBorder="1" applyAlignment="1">
      <alignment horizontal="center"/>
    </xf>
    <xf numFmtId="0" fontId="22" fillId="36" borderId="10" xfId="0" applyFont="1" applyFill="1" applyBorder="1" applyAlignment="1">
      <alignment horizontal="center"/>
    </xf>
    <xf numFmtId="0" fontId="26" fillId="36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2" fillId="0" borderId="10" xfId="0" applyFont="1" applyBorder="1" applyAlignment="1">
      <alignment horizontal="left"/>
    </xf>
    <xf numFmtId="165" fontId="22" fillId="0" borderId="10" xfId="1" applyNumberFormat="1" applyFont="1" applyBorder="1"/>
    <xf numFmtId="165" fontId="22" fillId="36" borderId="10" xfId="1" applyNumberFormat="1" applyFont="1" applyFill="1" applyBorder="1"/>
    <xf numFmtId="165" fontId="27" fillId="0" borderId="10" xfId="1" applyNumberFormat="1" applyFont="1" applyBorder="1"/>
    <xf numFmtId="165" fontId="22" fillId="35" borderId="10" xfId="1" applyNumberFormat="1" applyFont="1" applyFill="1" applyBorder="1"/>
    <xf numFmtId="0" fontId="22" fillId="37" borderId="10" xfId="0" applyFont="1" applyFill="1" applyBorder="1"/>
    <xf numFmtId="165" fontId="22" fillId="37" borderId="10" xfId="0" applyNumberFormat="1" applyFont="1" applyFill="1" applyBorder="1"/>
    <xf numFmtId="0" fontId="28" fillId="38" borderId="10" xfId="0" applyFont="1" applyFill="1" applyBorder="1"/>
    <xf numFmtId="165" fontId="0" fillId="38" borderId="10" xfId="1" applyNumberFormat="1" applyFont="1" applyFill="1" applyBorder="1"/>
    <xf numFmtId="0" fontId="0" fillId="39" borderId="10" xfId="0" applyFill="1" applyBorder="1"/>
    <xf numFmtId="165" fontId="0" fillId="39" borderId="10" xfId="1" applyNumberFormat="1" applyFont="1" applyFill="1" applyBorder="1"/>
    <xf numFmtId="0" fontId="28" fillId="0" borderId="0" xfId="0" applyFont="1"/>
    <xf numFmtId="165" fontId="28" fillId="0" borderId="0" xfId="0" applyNumberFormat="1" applyFont="1"/>
    <xf numFmtId="0" fontId="28" fillId="33" borderId="0" xfId="0" applyFont="1" applyFill="1"/>
    <xf numFmtId="0" fontId="29" fillId="35" borderId="10" xfId="0" applyFont="1" applyFill="1" applyBorder="1" applyAlignment="1">
      <alignment horizontal="center"/>
    </xf>
    <xf numFmtId="164" fontId="29" fillId="35" borderId="10" xfId="0" applyNumberFormat="1" applyFont="1" applyFill="1" applyBorder="1" applyAlignment="1">
      <alignment horizontal="center"/>
    </xf>
    <xf numFmtId="0" fontId="30" fillId="0" borderId="0" xfId="0" applyFont="1" applyFill="1" applyBorder="1"/>
    <xf numFmtId="165" fontId="30" fillId="0" borderId="10" xfId="1" applyNumberFormat="1" applyFont="1" applyFill="1" applyBorder="1"/>
    <xf numFmtId="0" fontId="30" fillId="0" borderId="10" xfId="0" applyFont="1" applyFill="1" applyBorder="1"/>
    <xf numFmtId="0" fontId="30" fillId="0" borderId="10" xfId="0" applyFont="1" applyFill="1" applyBorder="1" applyAlignment="1">
      <alignment horizontal="left"/>
    </xf>
    <xf numFmtId="164" fontId="30" fillId="0" borderId="10" xfId="0" applyNumberFormat="1" applyFont="1" applyFill="1" applyBorder="1"/>
    <xf numFmtId="43" fontId="30" fillId="0" borderId="10" xfId="1" applyFont="1" applyFill="1" applyBorder="1"/>
    <xf numFmtId="15" fontId="30" fillId="0" borderId="10" xfId="0" applyNumberFormat="1" applyFont="1" applyFill="1" applyBorder="1"/>
    <xf numFmtId="16" fontId="30" fillId="0" borderId="10" xfId="0" applyNumberFormat="1" applyFont="1" applyFill="1" applyBorder="1"/>
    <xf numFmtId="0" fontId="30" fillId="0" borderId="10" xfId="0" applyFont="1" applyFill="1" applyBorder="1" applyAlignment="1">
      <alignment horizontal="right"/>
    </xf>
    <xf numFmtId="0" fontId="30" fillId="0" borderId="0" xfId="0" applyFont="1"/>
    <xf numFmtId="164" fontId="30" fillId="0" borderId="0" xfId="0" applyNumberFormat="1" applyFont="1"/>
    <xf numFmtId="0" fontId="30" fillId="40" borderId="10" xfId="0" applyFont="1" applyFill="1" applyBorder="1"/>
    <xf numFmtId="0" fontId="1" fillId="0" borderId="0" xfId="0" applyFont="1"/>
    <xf numFmtId="0" fontId="29" fillId="35" borderId="0" xfId="0" applyFont="1" applyFill="1" applyBorder="1" applyAlignment="1">
      <alignment horizontal="center"/>
    </xf>
    <xf numFmtId="16" fontId="30" fillId="0" borderId="0" xfId="0" applyNumberFormat="1" applyFont="1" applyFill="1" applyBorder="1"/>
    <xf numFmtId="15" fontId="30" fillId="0" borderId="0" xfId="0" applyNumberFormat="1" applyFont="1" applyFill="1" applyBorder="1"/>
    <xf numFmtId="0" fontId="22" fillId="41" borderId="22" xfId="0" applyFont="1" applyFill="1" applyBorder="1" applyAlignment="1">
      <alignment wrapText="1"/>
    </xf>
    <xf numFmtId="0" fontId="22" fillId="41" borderId="22" xfId="0" applyFont="1" applyFill="1" applyBorder="1"/>
    <xf numFmtId="0" fontId="22" fillId="0" borderId="22" xfId="0" applyFont="1" applyBorder="1"/>
    <xf numFmtId="0" fontId="22" fillId="0" borderId="0" xfId="0" applyFont="1"/>
    <xf numFmtId="0" fontId="22" fillId="0" borderId="0" xfId="0" applyFont="1" applyBorder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1" applyNumberFormat="1" applyFont="1"/>
    <xf numFmtId="166" fontId="31" fillId="0" borderId="0" xfId="0" applyNumberFormat="1" applyFont="1"/>
    <xf numFmtId="166" fontId="32" fillId="0" borderId="0" xfId="0" applyNumberFormat="1" applyFont="1"/>
    <xf numFmtId="0" fontId="0" fillId="0" borderId="23" xfId="0" applyBorder="1"/>
    <xf numFmtId="165" fontId="31" fillId="0" borderId="0" xfId="1" applyNumberFormat="1" applyFont="1"/>
    <xf numFmtId="165" fontId="32" fillId="0" borderId="0" xfId="1" applyNumberFormat="1" applyFont="1"/>
    <xf numFmtId="0" fontId="0" fillId="42" borderId="23" xfId="0" applyFill="1" applyBorder="1"/>
    <xf numFmtId="165" fontId="18" fillId="42" borderId="23" xfId="1" quotePrefix="1" applyNumberFormat="1" applyFont="1" applyFill="1" applyBorder="1"/>
    <xf numFmtId="165" fontId="33" fillId="42" borderId="23" xfId="1" quotePrefix="1" applyNumberFormat="1" applyFont="1" applyFill="1" applyBorder="1"/>
    <xf numFmtId="165" fontId="34" fillId="42" borderId="23" xfId="1" quotePrefix="1" applyNumberFormat="1" applyFont="1" applyFill="1" applyBorder="1"/>
    <xf numFmtId="0" fontId="0" fillId="0" borderId="24" xfId="0" applyBorder="1"/>
    <xf numFmtId="165" fontId="3" fillId="43" borderId="24" xfId="1" quotePrefix="1" applyNumberFormat="1" applyFont="1" applyFill="1" applyBorder="1"/>
    <xf numFmtId="165" fontId="18" fillId="43" borderId="24" xfId="1" quotePrefix="1" applyNumberFormat="1" applyFont="1" applyFill="1" applyBorder="1"/>
    <xf numFmtId="165" fontId="31" fillId="43" borderId="24" xfId="1" quotePrefix="1" applyNumberFormat="1" applyFont="1" applyFill="1" applyBorder="1"/>
    <xf numFmtId="165" fontId="32" fillId="43" borderId="24" xfId="1" quotePrefix="1" applyNumberFormat="1" applyFont="1" applyFill="1" applyBorder="1"/>
    <xf numFmtId="0" fontId="18" fillId="0" borderId="24" xfId="0" applyFont="1" applyBorder="1"/>
    <xf numFmtId="165" fontId="0" fillId="0" borderId="24" xfId="1" applyNumberFormat="1" applyFont="1" applyBorder="1"/>
    <xf numFmtId="165" fontId="31" fillId="0" borderId="24" xfId="1" applyNumberFormat="1" applyFont="1" applyBorder="1"/>
    <xf numFmtId="165" fontId="32" fillId="0" borderId="24" xfId="1" applyNumberFormat="1" applyFont="1" applyBorder="1"/>
    <xf numFmtId="0" fontId="0" fillId="0" borderId="25" xfId="0" applyBorder="1"/>
    <xf numFmtId="165" fontId="0" fillId="33" borderId="25" xfId="1" applyNumberFormat="1" applyFont="1" applyFill="1" applyBorder="1"/>
    <xf numFmtId="165" fontId="31" fillId="33" borderId="25" xfId="1" applyNumberFormat="1" applyFont="1" applyFill="1" applyBorder="1"/>
    <xf numFmtId="165" fontId="32" fillId="33" borderId="25" xfId="1" applyNumberFormat="1" applyFont="1" applyFill="1" applyBorder="1"/>
    <xf numFmtId="0" fontId="0" fillId="0" borderId="26" xfId="0" applyBorder="1"/>
    <xf numFmtId="165" fontId="0" fillId="33" borderId="26" xfId="1" applyNumberFormat="1" applyFont="1" applyFill="1" applyBorder="1"/>
    <xf numFmtId="165" fontId="31" fillId="33" borderId="26" xfId="1" applyNumberFormat="1" applyFont="1" applyFill="1" applyBorder="1"/>
    <xf numFmtId="165" fontId="0" fillId="33" borderId="27" xfId="1" applyNumberFormat="1" applyFont="1" applyFill="1" applyBorder="1"/>
    <xf numFmtId="165" fontId="31" fillId="33" borderId="27" xfId="1" applyNumberFormat="1" applyFont="1" applyFill="1" applyBorder="1"/>
    <xf numFmtId="165" fontId="0" fillId="33" borderId="28" xfId="1" applyNumberFormat="1" applyFont="1" applyFill="1" applyBorder="1"/>
    <xf numFmtId="165" fontId="31" fillId="33" borderId="28" xfId="1" applyNumberFormat="1" applyFont="1" applyFill="1" applyBorder="1"/>
    <xf numFmtId="165" fontId="0" fillId="0" borderId="23" xfId="1" applyNumberFormat="1" applyFont="1" applyBorder="1"/>
    <xf numFmtId="165" fontId="31" fillId="0" borderId="23" xfId="1" applyNumberFormat="1" applyFont="1" applyBorder="1"/>
    <xf numFmtId="165" fontId="32" fillId="0" borderId="23" xfId="1" applyNumberFormat="1" applyFont="1" applyBorder="1"/>
    <xf numFmtId="165" fontId="18" fillId="0" borderId="24" xfId="1" applyNumberFormat="1" applyFont="1" applyBorder="1"/>
    <xf numFmtId="165" fontId="33" fillId="0" borderId="24" xfId="1" applyNumberFormat="1" applyFont="1" applyBorder="1"/>
    <xf numFmtId="165" fontId="34" fillId="0" borderId="24" xfId="1" applyNumberFormat="1" applyFont="1" applyBorder="1"/>
    <xf numFmtId="9" fontId="18" fillId="0" borderId="29" xfId="43" applyFont="1" applyFill="1" applyBorder="1"/>
    <xf numFmtId="0" fontId="35" fillId="0" borderId="0" xfId="0" applyFont="1"/>
    <xf numFmtId="0" fontId="18" fillId="0" borderId="0" xfId="0" applyFont="1"/>
    <xf numFmtId="0" fontId="35" fillId="0" borderId="0" xfId="0" applyFont="1" applyAlignment="1">
      <alignment horizontal="center"/>
    </xf>
    <xf numFmtId="166" fontId="35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 applyAlignment="1">
      <alignment horizontal="center"/>
    </xf>
    <xf numFmtId="167" fontId="37" fillId="0" borderId="0" xfId="0" applyNumberFormat="1" applyFont="1" applyAlignment="1">
      <alignment horizontal="center"/>
    </xf>
    <xf numFmtId="0" fontId="37" fillId="0" borderId="0" xfId="0" applyFont="1"/>
    <xf numFmtId="167" fontId="37" fillId="0" borderId="0" xfId="0" applyNumberFormat="1" applyFont="1"/>
    <xf numFmtId="167" fontId="37" fillId="0" borderId="0" xfId="44" applyNumberFormat="1" applyFont="1" applyFill="1" applyBorder="1"/>
    <xf numFmtId="0" fontId="38" fillId="0" borderId="0" xfId="0" applyFont="1" applyAlignment="1">
      <alignment horizontal="left"/>
    </xf>
    <xf numFmtId="167" fontId="39" fillId="0" borderId="0" xfId="0" applyNumberFormat="1" applyFont="1"/>
    <xf numFmtId="167" fontId="37" fillId="0" borderId="0" xfId="44" applyNumberFormat="1" applyFont="1" applyBorder="1"/>
    <xf numFmtId="0" fontId="36" fillId="0" borderId="0" xfId="0" applyFont="1" applyAlignment="1">
      <alignment horizontal="left"/>
    </xf>
    <xf numFmtId="167" fontId="39" fillId="33" borderId="0" xfId="0" applyNumberFormat="1" applyFont="1" applyFill="1"/>
    <xf numFmtId="168" fontId="39" fillId="33" borderId="0" xfId="0" applyNumberFormat="1" applyFont="1" applyFill="1"/>
    <xf numFmtId="168" fontId="39" fillId="0" borderId="0" xfId="0" applyNumberFormat="1" applyFont="1"/>
    <xf numFmtId="167" fontId="35" fillId="0" borderId="0" xfId="0" applyNumberFormat="1" applyFont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65" fontId="0" fillId="0" borderId="10" xfId="1" applyNumberFormat="1" applyFont="1" applyBorder="1" applyAlignment="1">
      <alignment horizontal="center" vertical="center"/>
    </xf>
    <xf numFmtId="0" fontId="41" fillId="33" borderId="30" xfId="0" applyFont="1" applyFill="1" applyBorder="1" applyAlignment="1">
      <alignment horizontal="center" vertical="center"/>
    </xf>
    <xf numFmtId="0" fontId="41" fillId="33" borderId="31" xfId="0" applyFont="1" applyFill="1" applyBorder="1" applyAlignment="1">
      <alignment horizontal="center" vertical="center"/>
    </xf>
    <xf numFmtId="165" fontId="41" fillId="33" borderId="32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5" fontId="0" fillId="0" borderId="17" xfId="1" applyNumberFormat="1" applyFont="1" applyBorder="1" applyAlignment="1">
      <alignment horizontal="center" vertical="center"/>
    </xf>
    <xf numFmtId="0" fontId="41" fillId="33" borderId="19" xfId="0" applyFont="1" applyFill="1" applyBorder="1" applyAlignment="1">
      <alignment horizontal="center" vertical="center"/>
    </xf>
    <xf numFmtId="0" fontId="41" fillId="33" borderId="20" xfId="0" applyFont="1" applyFill="1" applyBorder="1" applyAlignment="1">
      <alignment horizontal="center" vertical="center"/>
    </xf>
    <xf numFmtId="0" fontId="41" fillId="33" borderId="21" xfId="0" applyFont="1" applyFill="1" applyBorder="1" applyAlignment="1">
      <alignment horizontal="center" vertical="center"/>
    </xf>
    <xf numFmtId="0" fontId="28" fillId="44" borderId="33" xfId="0" applyFont="1" applyFill="1" applyBorder="1" applyAlignment="1">
      <alignment horizontal="center" vertical="center"/>
    </xf>
    <xf numFmtId="0" fontId="28" fillId="44" borderId="34" xfId="0" applyFont="1" applyFill="1" applyBorder="1" applyAlignment="1">
      <alignment horizontal="center" vertical="center"/>
    </xf>
    <xf numFmtId="0" fontId="28" fillId="44" borderId="35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4" xr:uid="{D7B03E2B-45C6-40BA-ACAA-5D1EC90C3EE2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117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center"/>
    </dxf>
    <dxf>
      <font>
        <sz val="1"/>
      </font>
    </dxf>
    <dxf>
      <font>
        <sz val="1"/>
      </font>
    </dxf>
    <dxf>
      <font>
        <sz val="1"/>
      </font>
    </dxf>
    <dxf>
      <font>
        <sz val="1"/>
      </font>
    </dxf>
    <dxf>
      <font>
        <sz val="1"/>
      </font>
    </dxf>
    <dxf>
      <font>
        <sz val="1"/>
      </font>
    </dxf>
    <dxf>
      <alignment horizont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l Kumar CK" refreshedDate="46041.545695138891" createdVersion="6" refreshedVersion="6" minRefreshableVersion="3" recordCount="732" xr:uid="{B123C884-FF90-4169-9F38-01E72896D1E4}">
  <cacheSource type="worksheet">
    <worksheetSource ref="A1:Q1048576" sheet="MAIN"/>
  </cacheSource>
  <cacheFields count="17">
    <cacheField name="SEG" numFmtId="0">
      <sharedItems containsBlank="1" count="14">
        <s v="CRC"/>
        <s v="RSP"/>
        <s v="R2"/>
        <s v="ED"/>
        <s v="KERR"/>
        <s v="DEVICE"/>
        <s v="NHC"/>
        <s v="SVP Vials"/>
        <s v="CRC-SP"/>
        <s v="BEVCAP"/>
        <s v="NS"/>
        <s v="TATA"/>
        <m/>
        <s v="TOTAL" u="1"/>
      </sharedItems>
    </cacheField>
    <cacheField name="KAM" numFmtId="0">
      <sharedItems containsBlank="1"/>
    </cacheField>
    <cacheField name="CUSTOMER NAME SOLD TO " numFmtId="0">
      <sharedItems containsBlank="1"/>
    </cacheField>
    <cacheField name="CUSTOMER NAME SHIP TO " numFmtId="0">
      <sharedItems containsBlank="1"/>
    </cacheField>
    <cacheField name="MAT" numFmtId="0">
      <sharedItems containsString="0" containsBlank="1" containsNumber="1" containsInteger="1" minValue="50081431" maxValue="50115972"/>
    </cacheField>
    <cacheField name="DESCRIPTION " numFmtId="0">
      <sharedItems containsBlank="1"/>
    </cacheField>
    <cacheField name="QTY" numFmtId="0">
      <sharedItems containsString="0" containsBlank="1" containsNumber="1" containsInteger="1" minValue="200" maxValue="14850000"/>
    </cacheField>
    <cacheField name="PRICE" numFmtId="0">
      <sharedItems containsString="0" containsBlank="1" containsNumber="1" minValue="0" maxValue="85.78"/>
    </cacheField>
    <cacheField name="VALUE" numFmtId="0">
      <sharedItems containsString="0" containsBlank="1" containsNumber="1" minValue="0" maxValue="14627250"/>
    </cacheField>
    <cacheField name="STATUS" numFmtId="0">
      <sharedItems containsBlank="1" count="9">
        <s v="CONFIRMED"/>
        <s v="INTRANSIT"/>
        <s v="CONFIRMED-BGIPL"/>
        <s v="CAPACITY ISSUE"/>
        <m/>
        <s v="POYTR"/>
        <s v="RISK"/>
        <s v="FORECAST"/>
        <s v="POYTR-BGIPL"/>
      </sharedItems>
    </cacheField>
    <cacheField name="STOCK" numFmtId="0">
      <sharedItems containsString="0" containsBlank="1" containsNumber="1" containsInteger="1" minValue="20000" maxValue="1200000"/>
    </cacheField>
    <cacheField name="SHI STATUS " numFmtId="0">
      <sharedItems containsBlank="1"/>
    </cacheField>
    <cacheField name="SO" numFmtId="0">
      <sharedItems containsBlank="1" containsMixedTypes="1" containsNumber="1" containsInteger="1" minValue="24500867" maxValue="25880068"/>
    </cacheField>
    <cacheField name="PO NO" numFmtId="0">
      <sharedItems containsBlank="1" containsMixedTypes="1" containsNumber="1" containsInteger="1" minValue="186" maxValue="5425000000129"/>
    </cacheField>
    <cacheField name="OR DT" numFmtId="0">
      <sharedItems containsDate="1" containsString="0" containsBlank="1" containsMixedTypes="1" minDate="2024-09-11T00:00:00" maxDate="2025-12-23T00:00:00"/>
    </cacheField>
    <cacheField name="LN" numFmtId="0">
      <sharedItems containsString="0" containsBlank="1" containsNumber="1" minValue="1" maxValue="28.1"/>
    </cacheField>
    <cacheField name="RQ DT" numFmtId="164">
      <sharedItems containsNonDate="0" containsDate="1" containsString="0" containsBlank="1" minDate="2025-10-03T00:00:00" maxDate="2026-11-2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2">
  <r>
    <x v="0"/>
    <s v="PRIYANK"/>
    <s v="AJANTA PHARMA - DAHEJ- SEZ"/>
    <s v="AJANTA PHARMA - DAHEJ- SEZ"/>
    <n v="50110012"/>
    <s v="CR-33MM HS123/020-(P-WHT)-1"/>
    <n v="200000"/>
    <n v="2.76"/>
    <n v="552000"/>
    <x v="0"/>
    <m/>
    <s v="SHIPPED"/>
    <n v="25501225"/>
    <n v="4100308171"/>
    <d v="2025-10-27T00:00:00"/>
    <n v="1"/>
    <d v="2025-12-20T00:00:00"/>
  </r>
  <r>
    <x v="0"/>
    <s v="PRIYANK"/>
    <s v="AJANTA PHARMA - DAHEJ- SEZ"/>
    <s v="AJANTA PHARMA - DAHEJ- SEZ"/>
    <n v="50110011"/>
    <s v="CR-38MM HS123/020-(P-WHT)-1"/>
    <n v="50000"/>
    <n v="2.87"/>
    <n v="143500"/>
    <x v="0"/>
    <n v="50000"/>
    <s v="SHIPPED"/>
    <n v="25501352"/>
    <n v="4100310655"/>
    <d v="2025-11-14T00:00:00"/>
    <n v="1"/>
    <d v="2025-12-05T00:00:00"/>
  </r>
  <r>
    <x v="0"/>
    <s v="PRIYANK"/>
    <s v="AJANTA PHARMA - DAHEJ- SEZ"/>
    <s v="AJANTA PHARMA - DAHEJ- SEZ"/>
    <n v="50110011"/>
    <s v="CR-38MM HS123/020-(P-WHT)-1"/>
    <n v="50000"/>
    <n v="2.87"/>
    <n v="143500"/>
    <x v="0"/>
    <n v="20000"/>
    <s v="SHIPPED"/>
    <n v="25501352"/>
    <n v="4100310655"/>
    <d v="2025-11-14T00:00:00"/>
    <n v="2"/>
    <d v="2026-01-15T00:00:00"/>
  </r>
  <r>
    <x v="1"/>
    <s v="RAM"/>
    <s v="Medical and Cosmetic products"/>
    <s v="Medical and Cosmetic products"/>
    <n v="50114671"/>
    <s v="B-10ML RSP White -18C(L)-GS"/>
    <n v="372000"/>
    <n v="2.6145"/>
    <n v="972594"/>
    <x v="1"/>
    <m/>
    <m/>
    <n v="24880091"/>
    <n v="5425000000129"/>
    <d v="2025-02-24T00:00:00"/>
    <n v="1.2"/>
    <d v="2025-12-31T00:00:00"/>
  </r>
  <r>
    <x v="1"/>
    <s v="RAM"/>
    <s v="Medical and Cosmetic products"/>
    <s v="Medical and Cosmetic products"/>
    <n v="50081670"/>
    <s v="C-TAMPSAFE RSP WHITE(H)NEW-GS"/>
    <n v="372000"/>
    <n v="1.5583"/>
    <n v="579687.6"/>
    <x v="1"/>
    <m/>
    <m/>
    <n v="24880091"/>
    <n v="5425000000129"/>
    <d v="2025-02-24T00:00:00"/>
    <n v="2.2000000000000002"/>
    <d v="2025-12-31T00:00:00"/>
  </r>
  <r>
    <x v="1"/>
    <s v="RAM"/>
    <s v="Medical and Cosmetic products"/>
    <s v="Medical and Cosmetic products"/>
    <n v="50081938"/>
    <s v="N-OPEN RSP WHITE (L)-GS"/>
    <n v="372000"/>
    <n v="0.75319999999999998"/>
    <n v="280190.39999999997"/>
    <x v="1"/>
    <m/>
    <m/>
    <n v="24880091"/>
    <n v="5425000000129"/>
    <d v="2025-02-24T00:00:00"/>
    <n v="3.2"/>
    <d v="2025-12-31T00:00:00"/>
  </r>
  <r>
    <x v="2"/>
    <s v="PRIYANK"/>
    <s v="AMNEAL PHARMACEUTICALS PVT LTD"/>
    <s v="AMNEAL PHARMACEUTICALS PVT LTD"/>
    <n v="50113858"/>
    <s v="C-TS RSP R22.0 PINK310239 E-GS"/>
    <n v="100000"/>
    <n v="2.36"/>
    <n v="236000"/>
    <x v="0"/>
    <m/>
    <m/>
    <n v="25500034"/>
    <s v="OP-25000001"/>
    <d v="2025-04-05T00:00:00"/>
    <n v="1"/>
    <d v="2025-12-31T00:00:00"/>
  </r>
  <r>
    <x v="2"/>
    <s v="MIHIR"/>
    <s v="DifGen Pharmaceuticals Private"/>
    <s v="STERIL GENE LIFE SCIENCES PVT"/>
    <n v="50092585"/>
    <s v="B-15ML RSP WHITE R2 (L)-ET"/>
    <n v="20250"/>
    <n v="3.5"/>
    <n v="70875"/>
    <x v="0"/>
    <m/>
    <m/>
    <n v="25500324"/>
    <s v="3085/OP"/>
    <d v="2025-05-30T00:00:00"/>
    <n v="1"/>
    <d v="2025-12-31T00:00:00"/>
  </r>
  <r>
    <x v="2"/>
    <s v="MIHIR"/>
    <s v="DifGen Pharmaceuticals Private"/>
    <s v="STERIL GENE LIFE SCIENCES PVT"/>
    <n v="50091673"/>
    <s v="B-10ML RSP WHITE R2 (L)-ET"/>
    <n v="6000"/>
    <n v="3.3"/>
    <n v="19800"/>
    <x v="0"/>
    <m/>
    <m/>
    <n v="25500324"/>
    <s v="3085/OP"/>
    <d v="2025-05-30T00:00:00"/>
    <n v="2"/>
    <d v="2025-12-31T00:00:00"/>
  </r>
  <r>
    <x v="2"/>
    <s v="MIHIR"/>
    <s v="DifGen Pharmaceuticals Private"/>
    <s v="STERIL GENE LIFE SCIENCES PVT"/>
    <n v="50113756"/>
    <s v="C-TS RSP R2 2.0 PINK 64C-ET"/>
    <n v="36000"/>
    <n v="2.2999999999999998"/>
    <n v="82800"/>
    <x v="0"/>
    <m/>
    <m/>
    <n v="25500324"/>
    <s v="3085/OP"/>
    <d v="2025-05-30T00:00:00"/>
    <n v="3"/>
    <d v="2025-12-31T00:00:00"/>
  </r>
  <r>
    <x v="2"/>
    <s v="MIHIR"/>
    <s v="DifGen Pharmaceuticals Private"/>
    <s v="STERIL GENE LIFE SCIENCES PVT"/>
    <n v="50111596"/>
    <s v="N-OPEN RSP-60MCL WHT 24C(L)-ET"/>
    <n v="36000"/>
    <n v="1.8"/>
    <n v="64800"/>
    <x v="0"/>
    <m/>
    <m/>
    <n v="25500324"/>
    <s v="3085/OP"/>
    <d v="2025-05-30T00:00:00"/>
    <n v="5"/>
    <d v="2025-12-31T00:00:00"/>
  </r>
  <r>
    <x v="0"/>
    <s v="PRIYANK"/>
    <s v="AJANTA PHARMA - DAHEJ- SEZ"/>
    <s v="AJANTA PHARMA - DAHEJ- SEZ"/>
    <n v="50110011"/>
    <s v="CR-38MM HS123/020-(P-WHT)-1"/>
    <n v="100000"/>
    <n v="2.87"/>
    <n v="287000"/>
    <x v="0"/>
    <n v="80000"/>
    <m/>
    <n v="25501487"/>
    <n v="4100313076"/>
    <d v="2025-12-04T00:00:00"/>
    <n v="2"/>
    <d v="2026-01-10T00:00:00"/>
  </r>
  <r>
    <x v="3"/>
    <s v="PRIYANK"/>
    <s v="INDIANA OPHTHALMICS LLP"/>
    <s v="INDIANA OPHTHALMICS LLP"/>
    <n v="50110679"/>
    <s v="B-10ML RG WHITE 16C (L)-GS"/>
    <n v="200000"/>
    <n v="1.94"/>
    <n v="388000"/>
    <x v="0"/>
    <m/>
    <s v="IN STERILIZATION"/>
    <n v="25500397"/>
    <s v="IPOP250510"/>
    <d v="2025-06-11T00:00:00"/>
    <n v="1"/>
    <d v="2025-12-31T00:00:00"/>
  </r>
  <r>
    <x v="3"/>
    <s v="PRIYANK"/>
    <s v="INDIANA OPHTHALMICS LLP"/>
    <s v="INDIANA OPHTHALMICS LLP"/>
    <n v="50081903"/>
    <s v="C-TAMPSAFE SS(R) WHITE(H)-GS"/>
    <n v="200000"/>
    <n v="0.63"/>
    <n v="126000"/>
    <x v="0"/>
    <m/>
    <s v="IN STERILIZATION"/>
    <n v="25500397"/>
    <s v="IPOP250510"/>
    <d v="2025-06-11T00:00:00"/>
    <n v="2"/>
    <d v="2025-12-31T00:00:00"/>
  </r>
  <r>
    <x v="3"/>
    <s v="PRIYANK"/>
    <s v="INDIANA OPHTHALMICS LLP"/>
    <s v="INDIANA OPHTHALMICS LLP"/>
    <n v="50099121"/>
    <s v="N-OPEN RG WHITE 64C (L)-GS"/>
    <n v="200000"/>
    <n v="0.28000000000000003"/>
    <n v="56000.000000000007"/>
    <x v="0"/>
    <m/>
    <s v="IN STERILIZATION"/>
    <n v="25500397"/>
    <s v="IPOP250510"/>
    <d v="2025-06-11T00:00:00"/>
    <n v="3"/>
    <d v="2025-12-31T00:00:00"/>
  </r>
  <r>
    <x v="3"/>
    <s v="PRIYANK"/>
    <s v="INDIANA OPHTHALMICS LLP"/>
    <s v="INDIANA OPHTHALMICS LLP"/>
    <n v="50110679"/>
    <s v="B-10ML RG WHITE 16C (L)-GS"/>
    <n v="200000"/>
    <n v="1.94"/>
    <n v="388000"/>
    <x v="0"/>
    <m/>
    <m/>
    <n v="25500397"/>
    <s v="IPOP250510"/>
    <d v="2025-06-11T00:00:00"/>
    <n v="1"/>
    <d v="2025-12-31T00:00:00"/>
  </r>
  <r>
    <x v="3"/>
    <s v="PRIYANK"/>
    <s v="INDIANA OPHTHALMICS LLP"/>
    <s v="INDIANA OPHTHALMICS LLP"/>
    <n v="50081903"/>
    <s v="C-TAMPSAFE SS(R) WHITE(H)-GS"/>
    <n v="300000"/>
    <n v="0.63"/>
    <n v="189000"/>
    <x v="0"/>
    <m/>
    <s v="IN STERILIZATION"/>
    <n v="25500397"/>
    <s v="IPOP250510"/>
    <d v="2025-06-11T00:00:00"/>
    <n v="2"/>
    <d v="2025-12-31T00:00:00"/>
  </r>
  <r>
    <x v="3"/>
    <s v="PRIYANK"/>
    <s v="INDIANA OPHTHALMICS LLP"/>
    <s v="INDIANA OPHTHALMICS LLP"/>
    <n v="50099121"/>
    <s v="N-OPEN RG WHITE 64C (L)-GS"/>
    <n v="300000"/>
    <n v="0.28000000000000003"/>
    <n v="84000.000000000015"/>
    <x v="0"/>
    <m/>
    <s v="IN STERILIZATION"/>
    <n v="25500397"/>
    <s v="IPOP250510"/>
    <d v="2025-06-11T00:00:00"/>
    <n v="3"/>
    <d v="2025-12-31T00:00:00"/>
  </r>
  <r>
    <x v="1"/>
    <s v="MIHIR"/>
    <s v="LN LABORATORIES PRIVATE LIMITE"/>
    <s v="LN LABORATORIES PRIVATE LIMITE"/>
    <n v="50114671"/>
    <s v="B-10ML RSP White -18C(L)-GS"/>
    <n v="25350"/>
    <n v="3.75"/>
    <n v="95062.5"/>
    <x v="0"/>
    <m/>
    <s v="IN STERILIZATION"/>
    <n v="25500426"/>
    <s v="PO/25-26/ 032"/>
    <d v="2025-06-14T00:00:00"/>
    <n v="4"/>
    <d v="2025-12-31T00:00:00"/>
  </r>
  <r>
    <x v="1"/>
    <s v="MIHIR"/>
    <s v="LN LABORATORIES PRIVATE LIMITE"/>
    <s v="LN LABORATORIES PRIVATE LIMITE"/>
    <n v="50081723"/>
    <s v="C-TAMPSAFE RSP WHITE (H)-GS"/>
    <n v="25350"/>
    <n v="2.85"/>
    <n v="72247.5"/>
    <x v="0"/>
    <m/>
    <s v="IN STERILIZATION"/>
    <n v="25500426"/>
    <s v="PO/25-26/ 032"/>
    <d v="2025-06-14T00:00:00"/>
    <n v="5"/>
    <d v="2025-12-31T00:00:00"/>
  </r>
  <r>
    <x v="1"/>
    <s v="MIHIR"/>
    <s v="LN LABORATORIES PRIVATE LIMITE"/>
    <s v="LN LABORATORIES PRIVATE LIMITE"/>
    <n v="50113649"/>
    <s v="N-OPEN RSP NATURAL-64C(L)-GS"/>
    <n v="25350"/>
    <n v="2"/>
    <n v="50700"/>
    <x v="0"/>
    <m/>
    <s v="IN STERILIZATION"/>
    <n v="25500426"/>
    <s v="PO/25-26/ 032"/>
    <d v="2025-06-14T00:00:00"/>
    <n v="6"/>
    <d v="2025-12-31T00:00:00"/>
  </r>
  <r>
    <x v="3"/>
    <s v="MIHIR"/>
    <s v="AUROLAB"/>
    <s v="AUROLAB"/>
    <n v="50111528"/>
    <s v="B-10ML &quot;I&quot; WHITE-16C (L)-GS"/>
    <n v="299750"/>
    <n v="2.0499999999999998"/>
    <n v="614487.5"/>
    <x v="0"/>
    <m/>
    <m/>
    <n v="25500442"/>
    <s v="PO/25-26/1428"/>
    <d v="2025-06-17T00:00:00"/>
    <n v="4.0999999999999996"/>
    <d v="2025-12-04T00:00:00"/>
  </r>
  <r>
    <x v="3"/>
    <s v="MIHIR"/>
    <s v="AUROLAB"/>
    <s v="AUROLAB"/>
    <n v="50081808"/>
    <s v="C-TAMPSAFE &quot;I&quot; WHITE (H)-GS"/>
    <n v="298850"/>
    <n v="0.75"/>
    <n v="224137.5"/>
    <x v="0"/>
    <m/>
    <m/>
    <n v="25500442"/>
    <s v="PO/25-26/1428"/>
    <d v="2025-06-17T00:00:00"/>
    <n v="5.0999999999999996"/>
    <d v="2025-12-04T00:00:00"/>
  </r>
  <r>
    <x v="3"/>
    <s v="MIHIR"/>
    <s v="AUROLAB"/>
    <s v="AUROLAB"/>
    <n v="50111939"/>
    <s v="N-OPEN &quot;I&quot; NAT NEW 48C (L)-GS"/>
    <n v="299850"/>
    <n v="0.31"/>
    <n v="92953.5"/>
    <x v="0"/>
    <m/>
    <m/>
    <n v="25500442"/>
    <s v="PO/25-26/1428"/>
    <d v="2025-06-17T00:00:00"/>
    <n v="6.1"/>
    <d v="2025-12-04T00:00:00"/>
  </r>
  <r>
    <x v="3"/>
    <s v="MIHIR"/>
    <s v="AUROLAB"/>
    <s v="AUROLAB"/>
    <n v="50111528"/>
    <s v="B-10ML &quot;I&quot; WHITE-16C (L)-GS"/>
    <n v="500000"/>
    <n v="2.0499999999999998"/>
    <n v="1024999.9999999999"/>
    <x v="0"/>
    <m/>
    <m/>
    <n v="25500442"/>
    <s v="PO/25-26/1428"/>
    <d v="2025-06-17T00:00:00"/>
    <n v="7"/>
    <d v="2026-01-04T00:00:00"/>
  </r>
  <r>
    <x v="3"/>
    <s v="MIHIR"/>
    <s v="AUROLAB"/>
    <s v="AUROLAB"/>
    <n v="50081808"/>
    <s v="C-TAMPSAFE &quot;I&quot; WHITE (H)-GS"/>
    <n v="500000"/>
    <n v="0.75"/>
    <n v="375000"/>
    <x v="0"/>
    <m/>
    <m/>
    <n v="25500442"/>
    <s v="PO/25-26/1428"/>
    <d v="2025-06-17T00:00:00"/>
    <n v="8"/>
    <d v="2026-01-04T00:00:00"/>
  </r>
  <r>
    <x v="3"/>
    <s v="MIHIR"/>
    <s v="AUROLAB"/>
    <s v="AUROLAB"/>
    <n v="50111939"/>
    <s v="N-OPEN &quot;I&quot; NAT NEW 48C (L)-GS"/>
    <n v="500000"/>
    <n v="0.31"/>
    <n v="155000"/>
    <x v="0"/>
    <m/>
    <m/>
    <n v="25500442"/>
    <s v="PO/25-26/1428"/>
    <d v="2025-06-17T00:00:00"/>
    <n v="9"/>
    <d v="2026-01-04T00:00:00"/>
  </r>
  <r>
    <x v="3"/>
    <s v="PRIYANK"/>
    <s v="CADILA PHARMACEUTICALS LIMITED"/>
    <s v="CADILA PHARMACEUTICALS LIMITED"/>
    <n v="50082077"/>
    <s v="N-BLOCK RG NATURAL (L)-GS"/>
    <n v="17800"/>
    <n v="0.26"/>
    <n v="4628"/>
    <x v="0"/>
    <m/>
    <m/>
    <n v="25500528"/>
    <n v="2500228758"/>
    <d v="2025-07-01T00:00:00"/>
    <n v="1.2"/>
    <d v="2025-12-31T00:00:00"/>
  </r>
  <r>
    <x v="3"/>
    <s v="PRIYANK"/>
    <s v="INDIANA OPHTHALMICS LLP"/>
    <s v="INDIANA OPHTHALMICS LLP"/>
    <n v="50082175"/>
    <s v="B-5ML RG WHITE (L)-GS"/>
    <n v="100000"/>
    <n v="1.74"/>
    <n v="174000"/>
    <x v="2"/>
    <m/>
    <s v="SHIPPED"/>
    <n v="25500132"/>
    <s v="IPOP250990"/>
    <d v="2025-09-12T00:00:00"/>
    <n v="1"/>
    <d v="2025-10-03T00:00:00"/>
  </r>
  <r>
    <x v="3"/>
    <s v="PRIYANK"/>
    <s v="INDIANA OPHTHALMICS LLP"/>
    <s v="INDIANA OPHTHALMICS LLP"/>
    <n v="50082175"/>
    <s v="B-5ML RG WHITE (L)-GS"/>
    <n v="100000"/>
    <n v="1.74"/>
    <n v="174000"/>
    <x v="2"/>
    <m/>
    <s v="SHIPPED"/>
    <n v="25500132"/>
    <s v="IPOP250990"/>
    <d v="2025-09-12T00:00:00"/>
    <n v="1"/>
    <d v="2025-10-03T00:00:00"/>
  </r>
  <r>
    <x v="3"/>
    <s v="PRIYANK"/>
    <s v="INDIANA OPHTHALMICS LLP"/>
    <s v="INDIANA OPHTHALMICS LLP"/>
    <n v="50099121"/>
    <s v="N-OPEN RG WHITE 64C (L)-GS"/>
    <n v="200000"/>
    <n v="0.28000000000000003"/>
    <n v="56000.000000000007"/>
    <x v="3"/>
    <m/>
    <s v="SHIPPED"/>
    <n v="25500659"/>
    <s v="IPOP250719"/>
    <d v="2025-07-22T00:00:00"/>
    <n v="2"/>
    <d v="2025-12-31T00:00:00"/>
  </r>
  <r>
    <x v="3"/>
    <s v="PRIYANK"/>
    <s v="INDIANA OPHTHALMICS LLP"/>
    <s v="INDIANA OPHTHALMICS LLP"/>
    <n v="50081903"/>
    <s v="C-TAMPSAFE SS(R) WHITE(H)-GS"/>
    <n v="200000"/>
    <n v="0.63"/>
    <n v="126000"/>
    <x v="3"/>
    <m/>
    <s v="SHIPPED"/>
    <n v="25500659"/>
    <s v="IPOP250719"/>
    <d v="2025-07-22T00:00:00"/>
    <n v="3"/>
    <d v="2025-12-31T00:00:00"/>
  </r>
  <r>
    <x v="2"/>
    <s v="MIHIR"/>
    <s v="PRONTGEN HEALTH REMEDIES PRIVA"/>
    <s v="PRONTGEN HEALTH REMEDIES PRIVA"/>
    <n v="50114309"/>
    <s v="B-10ML RSP WHITE R2 16C (L)-NS"/>
    <n v="2000"/>
    <n v="3.6"/>
    <n v="7200"/>
    <x v="0"/>
    <m/>
    <m/>
    <n v="25500663"/>
    <s v="PHRPL/2025-26/063"/>
    <d v="2025-07-22T00:00:00"/>
    <n v="1"/>
    <d v="2025-12-31T00:00:00"/>
  </r>
  <r>
    <x v="2"/>
    <s v="MIHIR"/>
    <s v="PRONTGEN HEALTH REMEDIES PRIVA"/>
    <s v="PRONTGEN HEALTH REMEDIES PRIVA"/>
    <n v="50113737"/>
    <s v="C-TS RSP R2 2.0 WHT 64C (H)-NS"/>
    <n v="2000"/>
    <n v="2.85"/>
    <n v="5700"/>
    <x v="0"/>
    <m/>
    <m/>
    <n v="25500663"/>
    <s v="PHRPL/2025-26/063"/>
    <d v="2025-07-22T00:00:00"/>
    <n v="2"/>
    <d v="2025-12-31T00:00:00"/>
  </r>
  <r>
    <x v="2"/>
    <s v="MIHIR"/>
    <s v="PRONTGEN HEALTH REMEDIES PRIVA"/>
    <s v="PRONTGEN HEALTH REMEDIES PRIVA"/>
    <n v="50114340"/>
    <s v="N-OPEN RSP WHITE 64C(L)-NS"/>
    <n v="2000"/>
    <n v="1.85"/>
    <n v="3700"/>
    <x v="0"/>
    <m/>
    <m/>
    <n v="25500663"/>
    <s v="PHRPL/2025-26/063"/>
    <d v="2025-07-22T00:00:00"/>
    <n v="3"/>
    <d v="2025-12-31T00:00:00"/>
  </r>
  <r>
    <x v="3"/>
    <s v="PRIYANK"/>
    <s v="INDIANA OPHTHALMICS LLP"/>
    <s v="INDIANA OPHTHALMICS LLP"/>
    <n v="50082166"/>
    <s v="B-15ML RG WHITE (L)-GS"/>
    <n v="100000"/>
    <n v="2.04"/>
    <n v="204000"/>
    <x v="3"/>
    <m/>
    <m/>
    <n v="25501566"/>
    <s v="IPOP251517"/>
    <d v="2025-12-15T00:00:00"/>
    <n v="1"/>
    <d v="2026-01-15T00:00:00"/>
  </r>
  <r>
    <x v="3"/>
    <s v="PRIYANK"/>
    <s v="INDIANA OPHTHALMICS LLP"/>
    <s v="INDIANA OPHTHALMICS LLP"/>
    <n v="50082175"/>
    <s v="B-5ML RG WHITE (L)-GS"/>
    <n v="98970"/>
    <n v="1.74"/>
    <n v="172207.8"/>
    <x v="2"/>
    <m/>
    <m/>
    <n v="25500067"/>
    <s v="IPOP250508"/>
    <d v="2025-06-11T00:00:00"/>
    <n v="3.1"/>
    <d v="2025-10-31T00:00:00"/>
  </r>
  <r>
    <x v="3"/>
    <s v="PRIYANK"/>
    <s v="INDIANA OPHTHALMICS LLP"/>
    <s v="INDIANA OPHTHALMICS LLP"/>
    <n v="50099121"/>
    <s v="N-OPEN RG WHITE 64C (L)-GS"/>
    <n v="199360"/>
    <n v="0.28000000000000003"/>
    <n v="55820.800000000003"/>
    <x v="0"/>
    <m/>
    <s v="IN STERILIZATION"/>
    <n v="25500717"/>
    <s v="IPOP250752"/>
    <d v="2025-07-29T00:00:00"/>
    <n v="1.4"/>
    <d v="2025-12-31T00:00:00"/>
  </r>
  <r>
    <x v="3"/>
    <s v="PRIYANK"/>
    <s v="INDIANA OPHTHALMICS LLP"/>
    <s v="INDIANA OPHTHALMICS LLP"/>
    <n v="50081903"/>
    <s v="C-TAMPSAFE SS(R) WHITE(H)-GS"/>
    <n v="198890"/>
    <n v="0.63"/>
    <n v="125300.7"/>
    <x v="0"/>
    <m/>
    <s v="IN STERILIZATION"/>
    <n v="25500717"/>
    <s v="IPOP250752"/>
    <d v="2025-07-29T00:00:00"/>
    <n v="2.4"/>
    <d v="2025-12-31T00:00:00"/>
  </r>
  <r>
    <x v="3"/>
    <s v="PRIYANK"/>
    <s v="INDIANA OPHTHALMICS LLP"/>
    <s v="INDIANA OPHTHALMICS LLP"/>
    <n v="50099121"/>
    <s v="N-OPEN RG WHITE 64C (L)-GS"/>
    <n v="400000"/>
    <n v="0.28000000000000003"/>
    <n v="112000.00000000001"/>
    <x v="0"/>
    <m/>
    <m/>
    <n v="25500718"/>
    <s v="IPOP250753"/>
    <d v="2025-07-29T00:00:00"/>
    <n v="2"/>
    <d v="2025-12-31T00:00:00"/>
  </r>
  <r>
    <x v="3"/>
    <s v="PRIYANK"/>
    <s v="INDIANA OPHTHALMICS LLP"/>
    <s v="INDIANA OPHTHALMICS LLP"/>
    <n v="50081903"/>
    <s v="C-TAMPSAFE SS(R) WHITE(H)-GS"/>
    <n v="400000"/>
    <n v="0.63"/>
    <n v="252000"/>
    <x v="0"/>
    <m/>
    <m/>
    <n v="25500718"/>
    <s v="IPOP250753"/>
    <d v="2025-07-29T00:00:00"/>
    <n v="3"/>
    <d v="2025-12-31T00:00:00"/>
  </r>
  <r>
    <x v="2"/>
    <s v="SAGAR"/>
    <s v="MANKIND PHARMA LTD"/>
    <s v="MANKIND PHARMA LTD-UNIT 3"/>
    <n v="50112640"/>
    <s v="N-RISDROP 45 mcL NAT ASSY-ET"/>
    <n v="47780"/>
    <n v="2.2000000000000002"/>
    <n v="105116.00000000001"/>
    <x v="0"/>
    <m/>
    <s v="SHIPPED"/>
    <n v="25500742"/>
    <n v="4114014305"/>
    <d v="2025-07-31T00:00:00"/>
    <n v="1.1000000000000001"/>
    <d v="2025-12-31T00:00:00"/>
  </r>
  <r>
    <x v="3"/>
    <s v="PRIYANK"/>
    <s v="FDC LIMITED, Sinnar, Formulati"/>
    <s v="FDC LIMITED, Sinnar, Formulati"/>
    <n v="50082155"/>
    <s v="C-TAMPLOCK WHITE (H)-NS"/>
    <n v="171577"/>
    <n v="0.53"/>
    <n v="90935.81"/>
    <x v="0"/>
    <m/>
    <m/>
    <n v="25500790"/>
    <n v="4100126957"/>
    <d v="2025-08-08T00:00:00"/>
    <n v="1.3"/>
    <d v="2025-12-31T00:00:00"/>
  </r>
  <r>
    <x v="3"/>
    <s v="PRIYANK"/>
    <s v="FDC LIMITED, Sinnar, Formulati"/>
    <s v="FDC LIMITED, Sinnar, Formulati"/>
    <n v="50082076"/>
    <s v="N-BLOCK RG NATURAL (L)-NS"/>
    <n v="171592"/>
    <n v="0.2"/>
    <n v="34318.400000000001"/>
    <x v="0"/>
    <m/>
    <m/>
    <n v="25500790"/>
    <n v="4100126957"/>
    <d v="2025-08-08T00:00:00"/>
    <n v="2.2999999999999998"/>
    <d v="2025-12-31T00:00:00"/>
  </r>
  <r>
    <x v="3"/>
    <s v="SAGAR"/>
    <s v="SENTISS PHARMA PVT LTD"/>
    <s v="SENTISS PHARMA PVT LTD"/>
    <n v="50112208"/>
    <s v="C-TAMPSAFE &quot;O&quot; WHITE-24C(H)-ET"/>
    <n v="170000"/>
    <n v="1.24"/>
    <n v="210800"/>
    <x v="0"/>
    <m/>
    <s v="SHIPPED"/>
    <n v="25500816"/>
    <s v="25-26/PO/01369"/>
    <d v="2025-08-13T00:00:00"/>
    <n v="18.100000000000001"/>
    <d v="2025-12-31T00:00:00"/>
  </r>
  <r>
    <x v="3"/>
    <s v="SAGAR"/>
    <s v="SENTISS PHARMA PVT LTD"/>
    <s v="SENTISS PHARMA PVT LTD"/>
    <n v="50112208"/>
    <s v="C-TAMPSAFE &quot;O&quot; WHITE-24C(H)-ET"/>
    <n v="118000"/>
    <n v="1.24"/>
    <n v="146320"/>
    <x v="0"/>
    <m/>
    <m/>
    <n v="25500816"/>
    <s v="25-26/PO/01369"/>
    <d v="2025-08-13T00:00:00"/>
    <n v="18.100000000000001"/>
    <d v="2025-12-31T00:00:00"/>
  </r>
  <r>
    <x v="3"/>
    <s v="SAGAR"/>
    <s v="SENTISS PHARMA PVT LTD"/>
    <s v="SENTISS PHARMA PVT LTD"/>
    <n v="50114371"/>
    <s v="B-5ML &quot;O&quot; WHITE 48C(L)-ET"/>
    <n v="200000"/>
    <n v="1.85"/>
    <n v="370000"/>
    <x v="4"/>
    <m/>
    <m/>
    <n v="25500816"/>
    <s v="25-26/PO/01369"/>
    <d v="2025-08-13T00:00:00"/>
    <n v="28.1"/>
    <d v="2025-12-31T00:00:00"/>
  </r>
  <r>
    <x v="3"/>
    <s v="PRIYANK"/>
    <s v="SUNWAYS (INDIA) PRIVATE LIMITE"/>
    <s v="SUNWAYS ROHTO PHARMACEUTICAL ("/>
    <n v="50081624"/>
    <s v="C-DOUBLE SAFE NX ORANGE(H)-ET"/>
    <n v="100000"/>
    <n v="0.57999999999999996"/>
    <n v="57999.999999999993"/>
    <x v="0"/>
    <m/>
    <m/>
    <n v="25500845"/>
    <s v="SIDPO26-286"/>
    <d v="2025-08-20T00:00:00"/>
    <n v="3"/>
    <d v="2025-12-31T00:00:00"/>
  </r>
  <r>
    <x v="0"/>
    <s v="PRIYANK"/>
    <s v="CIPLA LTD."/>
    <s v="CIPLA/IND-IV/PHARMA/SEZ SEZ"/>
    <n v="50081439"/>
    <s v="CR-33MM BLUE2945C HS130/020BLK"/>
    <n v="300000"/>
    <n v="3.7"/>
    <n v="1110000"/>
    <x v="0"/>
    <n v="300000"/>
    <s v="SHIPPED"/>
    <n v="24501598"/>
    <n v="4510649717"/>
    <d v="2025-02-11T00:00:00"/>
    <n v="5"/>
    <d v="2025-12-31T00:00:00"/>
  </r>
  <r>
    <x v="0"/>
    <s v="PRIYANK"/>
    <s v="CIPLA LTD."/>
    <s v="CIPLA/IND-IV/PHARMA/SEZ SEZ"/>
    <n v="50081439"/>
    <s v="CR-33MM BLUE2945C HS130/020BLK"/>
    <n v="300000"/>
    <n v="3.7"/>
    <n v="1110000"/>
    <x v="0"/>
    <n v="300000"/>
    <m/>
    <n v="24501598"/>
    <n v="4510649717"/>
    <d v="2025-02-11T00:00:00"/>
    <n v="6"/>
    <d v="2025-12-31T00:00:00"/>
  </r>
  <r>
    <x v="0"/>
    <s v="PRIYANK"/>
    <s v="CIPLA LTD."/>
    <s v="CIPLA/PTG-II/PHARMA/EOU"/>
    <n v="50081431"/>
    <s v="CR-38MM BLUE2945CHS130/020 BLK"/>
    <n v="300000"/>
    <n v="3.95"/>
    <n v="1185000"/>
    <x v="0"/>
    <n v="300000"/>
    <m/>
    <n v="25500907"/>
    <n v="4510663148"/>
    <d v="2025-09-03T00:00:00"/>
    <n v="2"/>
    <d v="2025-12-31T00:00:00"/>
  </r>
  <r>
    <x v="0"/>
    <s v="PRIYANK"/>
    <s v="CIPLA LTD."/>
    <s v="CIPLA LTD - KURKUMBH"/>
    <n v="50081431"/>
    <s v="CR-38MM BLUE2945CHS130/020 BLK"/>
    <n v="200000"/>
    <n v="3.95"/>
    <n v="790000"/>
    <x v="0"/>
    <n v="150000"/>
    <s v="SHIPPED"/>
    <n v="25500912"/>
    <n v="4510674127"/>
    <d v="2025-09-04T00:00:00"/>
    <n v="1"/>
    <d v="2025-12-31T00:00:00"/>
  </r>
  <r>
    <x v="0"/>
    <s v="PRIYANK"/>
    <s v="CIPLA LTD."/>
    <s v="Acme Generics Pvt. Ltd. (CIPLA"/>
    <n v="50081431"/>
    <s v="CR-38MM BLUE2945CHS130/020 BLK"/>
    <n v="2000"/>
    <n v="3.95"/>
    <n v="7900"/>
    <x v="0"/>
    <m/>
    <m/>
    <n v="25501472"/>
    <n v="4510684708"/>
    <d v="2025-12-03T00:00:00"/>
    <n v="1"/>
    <d v="2025-12-25T00:00:00"/>
  </r>
  <r>
    <x v="1"/>
    <s v="SAGAR"/>
    <s v="SENTISS PHARMA PVT LTD"/>
    <s v="SENTISS PHARMA PVT LTD"/>
    <n v="50114368"/>
    <s v="B-5ML RSP WHITE 48C(L)-ET"/>
    <n v="250000"/>
    <n v="2.62"/>
    <n v="655000"/>
    <x v="0"/>
    <m/>
    <s v="SHIPPED"/>
    <n v="25501009"/>
    <s v="25-26/PO/01753"/>
    <d v="2025-09-19T00:00:00"/>
    <n v="1.1000000000000001"/>
    <d v="2025-12-18T00:00:00"/>
  </r>
  <r>
    <x v="1"/>
    <s v="SAGAR"/>
    <s v="SENTISS PHARMA PVT LTD"/>
    <s v="SENTISS PHARMA PVT LTD"/>
    <n v="50114368"/>
    <s v="B-5ML RSP WHITE 48C(L)-ET"/>
    <n v="1000000"/>
    <n v="2.62"/>
    <n v="2620000"/>
    <x v="0"/>
    <m/>
    <m/>
    <n v="25501009"/>
    <s v="25-26/PO/01753"/>
    <d v="2025-09-19T00:00:00"/>
    <n v="1.1000000000000001"/>
    <d v="2025-12-18T00:00:00"/>
  </r>
  <r>
    <x v="2"/>
    <s v="MIHIR"/>
    <s v="LLOYD RESEARCH CENTRE PRIVATE"/>
    <s v="LLOYD RESEARCH CENTRE PRIVATE"/>
    <n v="50107106"/>
    <s v="B-4ML RSP WHITE R2 (L)-GS"/>
    <n v="5000"/>
    <n v="3.2"/>
    <n v="16000"/>
    <x v="0"/>
    <m/>
    <m/>
    <n v="25501116"/>
    <s v="LRC/PO/2025-26/132"/>
    <d v="2025-10-09T00:00:00"/>
    <n v="3"/>
    <d v="2025-12-31T00:00:00"/>
  </r>
  <r>
    <x v="0"/>
    <s v="MIHIR"/>
    <s v="DR.REDDY'S LABORATORIES LTD"/>
    <s v="Dr.Reddy' Laboratories Ltd- FT"/>
    <n v="50101138"/>
    <s v="CR-38MM HS 035/35 WLP (RED)"/>
    <n v="148000"/>
    <n v="2.5"/>
    <n v="370000"/>
    <x v="0"/>
    <m/>
    <m/>
    <n v="25501631"/>
    <n v="4000323925"/>
    <d v="2025-12-22T00:00:00"/>
    <n v="1"/>
    <d v="2026-01-29T00:00:00"/>
  </r>
  <r>
    <x v="2"/>
    <s v="MIHIR"/>
    <s v="EUGIA PHARMA SPECIALITIES LTD-"/>
    <s v="EUGIA PHARMA SPECIALITIES LTD-"/>
    <n v="50083290"/>
    <s v="B-5ML RSP NATURAL R2 NEW(L)-ET"/>
    <n v="79640"/>
    <n v="2.54"/>
    <n v="202285.6"/>
    <x v="0"/>
    <m/>
    <m/>
    <n v="25501174"/>
    <n v="4142508197"/>
    <d v="2025-10-15T00:00:00"/>
    <n v="4.0999999999999996"/>
    <d v="2025-12-31T00:00:00"/>
  </r>
  <r>
    <x v="2"/>
    <s v="MIHIR"/>
    <s v="EUGIA PHARMA SPECIALITIES LTD-"/>
    <s v="EUGIA PHARMA SPECIALITIES LTD-"/>
    <n v="50092585"/>
    <s v="B-15ML RSP WHITE R2 (L)-ET"/>
    <n v="150000"/>
    <n v="4.1100000000000003"/>
    <n v="616500"/>
    <x v="0"/>
    <m/>
    <s v="IN STERILIZATION"/>
    <n v="25501174"/>
    <n v="4142508197"/>
    <d v="2025-10-15T00:00:00"/>
    <n v="8"/>
    <d v="2025-12-31T00:00:00"/>
  </r>
  <r>
    <x v="2"/>
    <s v="MIHIR"/>
    <s v="DR.REDDY'S LABORATORIES LTD"/>
    <s v="DR.REDDY'S LABORATORIES LTD -"/>
    <n v="50107463"/>
    <s v="N-OPEN RSP 60MLTR NAT EZI-GS"/>
    <n v="30000"/>
    <n v="8.7100000000000009"/>
    <n v="261300.00000000003"/>
    <x v="4"/>
    <m/>
    <m/>
    <n v="25501185"/>
    <n v="4000317744"/>
    <d v="2025-10-16T00:00:00"/>
    <n v="1"/>
    <d v="2026-03-02T00:00:00"/>
  </r>
  <r>
    <x v="1"/>
    <s v="MIHIR"/>
    <s v="MYLAN LABORATORIES LTD- HOSUR"/>
    <s v="MYLAN LABORATORIES LTD- HOSUR"/>
    <n v="50081723"/>
    <s v="C-TAMPSAFE RSP WHITE (H)-GS"/>
    <n v="25315"/>
    <n v="2.73"/>
    <n v="69109.95"/>
    <x v="0"/>
    <m/>
    <s v="SHIPPED"/>
    <n v="25501191"/>
    <n v="4501607610"/>
    <d v="2025-10-18T00:00:00"/>
    <n v="1"/>
    <d v="2025-12-31T00:00:00"/>
  </r>
  <r>
    <x v="1"/>
    <s v="MIHIR"/>
    <s v="MYLAN LABORATORIES LTD- HOSUR"/>
    <s v="MYLAN LABORATORIES LTD- HOSUR"/>
    <n v="50081870"/>
    <s v="B-15ML RSP NATURAL(L)-GS"/>
    <n v="25315"/>
    <n v="3.85"/>
    <n v="97462.75"/>
    <x v="0"/>
    <m/>
    <s v="SHIPPED"/>
    <n v="25501191"/>
    <n v="4501607610"/>
    <d v="2025-10-18T00:00:00"/>
    <n v="2"/>
    <d v="2025-12-31T00:00:00"/>
  </r>
  <r>
    <x v="0"/>
    <s v="SAGAR"/>
    <s v="GlaxoSmithKline Pharmaceutical"/>
    <s v="GlaxoSmithKline Pharmaceutical"/>
    <n v="50114184"/>
    <s v="CR-28 WHT MEDI DSB1500 WHT (H)"/>
    <n v="360000"/>
    <n v="2.91"/>
    <n v="1047600"/>
    <x v="2"/>
    <m/>
    <m/>
    <n v="25500234"/>
    <n v="4503501933"/>
    <d v="2025-12-23T00:00:00"/>
    <n v="1.1000000000000001"/>
    <d v="2026-01-07T00:00:00"/>
  </r>
  <r>
    <x v="0"/>
    <s v="SAGAR"/>
    <s v="GlaxoSmithKline Pharmaceutical"/>
    <s v="GlaxoSmithKline Pharmaceutical"/>
    <n v="50114184"/>
    <s v="CR-28 WHT MEDI DSB1500 WHT (H)"/>
    <n v="1080000"/>
    <n v="2.91"/>
    <n v="3142800"/>
    <x v="2"/>
    <m/>
    <m/>
    <m/>
    <m/>
    <m/>
    <m/>
    <m/>
  </r>
  <r>
    <x v="0"/>
    <s v="PRIYANK"/>
    <s v="GLENMARK PHARMACEUTICALS LIMIT"/>
    <s v="GLENMARK PHARMACEUTICALS LIMIT"/>
    <n v="50112946"/>
    <s v="CR-33-WHT1-SG75M/0.035PRT(WHT)"/>
    <n v="700000"/>
    <n v="2.75"/>
    <n v="1925000"/>
    <x v="0"/>
    <m/>
    <m/>
    <n v="25501312"/>
    <n v="4501067382"/>
    <d v="2025-11-10T00:00:00"/>
    <n v="1.5"/>
    <d v="2025-12-17T00:00:00"/>
  </r>
  <r>
    <x v="0"/>
    <s v="PRIYANK"/>
    <s v="GLENMARK PHARMACEUTICALS LIMIT"/>
    <s v="GLENMARK PHARMACEUTICALS LIMIT"/>
    <n v="50112946"/>
    <s v="CR-33-WHT1-SG75M/0.035PRT(WHT)"/>
    <n v="1100000"/>
    <n v="2.75"/>
    <n v="3025000"/>
    <x v="0"/>
    <m/>
    <s v="SHIPPED"/>
    <m/>
    <m/>
    <m/>
    <m/>
    <m/>
  </r>
  <r>
    <x v="0"/>
    <s v="PRIYANK"/>
    <s v="GLENMARK PHARMACEUTICALS LIMIT"/>
    <s v="GLENMARK PHARMACEUTICALS LIMIT"/>
    <n v="50112947"/>
    <s v="CR-38-WHT1-SG75M/0.035PRT(WHT)"/>
    <n v="194000"/>
    <n v="2.93"/>
    <n v="568420"/>
    <x v="4"/>
    <n v="194000"/>
    <m/>
    <n v="25501377"/>
    <n v="4501091393"/>
    <d v="2025-11-18T00:00:00"/>
    <n v="4"/>
    <d v="2025-12-22T00:00:00"/>
  </r>
  <r>
    <x v="2"/>
    <s v="SAGAR"/>
    <s v="MANKIND PHARMA LTD"/>
    <s v="MANKIND RESEARCH CENTRE"/>
    <n v="50104632"/>
    <s v="B-5ML RSP NAT R2(270G)(P)-ET"/>
    <n v="15000"/>
    <n v="3.84"/>
    <n v="57600"/>
    <x v="0"/>
    <m/>
    <s v="SHIPPED"/>
    <n v="25501325"/>
    <n v="4114015386"/>
    <d v="2025-11-11T00:00:00"/>
    <n v="5"/>
    <d v="2025-12-31T00:00:00"/>
  </r>
  <r>
    <x v="3"/>
    <s v="MIHIR"/>
    <s v="JUGGAT PHARMA"/>
    <s v="JUGGAT PHARMA"/>
    <n v="50082167"/>
    <s v="B-15ML RG WHITE (L)-ET"/>
    <n v="100000"/>
    <n v="2.61"/>
    <n v="261000"/>
    <x v="0"/>
    <m/>
    <s v="IN STERILIZATION"/>
    <n v="25501326"/>
    <s v="MJP/2526/POS/PPM/00057"/>
    <d v="2025-11-11T00:00:00"/>
    <n v="1"/>
    <d v="2025-12-31T00:00:00"/>
  </r>
  <r>
    <x v="3"/>
    <s v="MIHIR"/>
    <s v="JUGGAT PHARMA"/>
    <s v="JUGGAT PHARMA"/>
    <n v="50082187"/>
    <s v="C-TAMPLOCK RED (H)-ET"/>
    <n v="100000"/>
    <n v="0.53"/>
    <n v="53000"/>
    <x v="0"/>
    <m/>
    <m/>
    <n v="25501326"/>
    <s v="MJP/2526/POS/PPM/00057"/>
    <d v="2025-11-11T00:00:00"/>
    <n v="2"/>
    <d v="2025-12-31T00:00:00"/>
  </r>
  <r>
    <x v="3"/>
    <s v="MIHIR"/>
    <s v="JUGGAT PHARMA"/>
    <s v="JUGGAT PHARMA"/>
    <n v="50082078"/>
    <s v="N-BLOCK RG NATURAL (L)-ET"/>
    <n v="100000"/>
    <n v="0.15"/>
    <n v="15000"/>
    <x v="0"/>
    <m/>
    <s v="IN STERILIZATION"/>
    <n v="25501326"/>
    <s v="MJP/2526/POS/PPM/00057"/>
    <d v="2025-11-11T00:00:00"/>
    <n v="3"/>
    <d v="2025-12-31T00:00:00"/>
  </r>
  <r>
    <x v="2"/>
    <s v="PRIYANK"/>
    <s v="SUN PHARMACEUTICAL MEDICARE LI"/>
    <s v="SUN PHARMACEUTICAL MEDICARE LI"/>
    <n v="50083291"/>
    <s v="B-5ML RSP WHITE R2 NEW (L)-GS"/>
    <n v="100000"/>
    <n v="1.57"/>
    <n v="157000"/>
    <x v="0"/>
    <m/>
    <m/>
    <n v="25501345"/>
    <n v="9300780604"/>
    <d v="2025-11-14T00:00:00"/>
    <n v="1"/>
    <d v="2025-12-15T00:00:00"/>
  </r>
  <r>
    <x v="2"/>
    <s v="PRIYANK"/>
    <s v="SUN PHARMACEUTICAL MEDICARE LI"/>
    <s v="SUN PHARMACEUTICAL MEDICARE LI"/>
    <n v="50081547"/>
    <s v="N-OPEN RSP 30mcl WHITE (L)-GS"/>
    <n v="100000"/>
    <n v="2.2400000000000002"/>
    <n v="224000.00000000003"/>
    <x v="0"/>
    <m/>
    <m/>
    <n v="25501345"/>
    <n v="9300780604"/>
    <d v="2025-11-14T00:00:00"/>
    <n v="2"/>
    <d v="2025-12-15T00:00:00"/>
  </r>
  <r>
    <x v="2"/>
    <s v="PRIYANK"/>
    <s v="SUN PHARMACEUTICAL MEDICARE LI"/>
    <s v="SUN PHARMACEUTICAL MEDICARE LI"/>
    <n v="50113738"/>
    <s v="C-TS RSP R2 2.0 WHT 64C (H)-GS"/>
    <n v="100000"/>
    <n v="1.22"/>
    <n v="122000"/>
    <x v="0"/>
    <m/>
    <m/>
    <n v="25501345"/>
    <n v="9300780604"/>
    <d v="2025-11-14T00:00:00"/>
    <n v="3"/>
    <d v="2025-12-15T00:00:00"/>
  </r>
  <r>
    <x v="0"/>
    <s v="PRIYANK"/>
    <s v="GLENMARK PHARMACEUTICALS LIMIT"/>
    <s v="GLENMARK PHARMACEUTICALS LIMIT"/>
    <n v="50112947"/>
    <s v="CR-38-WHT1-SG75M/0.035PRT(WHT)"/>
    <n v="500000"/>
    <n v="2.93"/>
    <n v="1465000"/>
    <x v="4"/>
    <n v="500000"/>
    <m/>
    <n v="25501377"/>
    <n v="4501091393"/>
    <d v="2025-11-18T00:00:00"/>
    <n v="5"/>
    <d v="2026-01-11T00:00:00"/>
  </r>
  <r>
    <x v="0"/>
    <s v="PRIYANK"/>
    <s v="GLENMARK PHARMACEUTICALS LIMIT"/>
    <s v="GLENMARK PHARMACEUTICALS LIMIT"/>
    <n v="50112947"/>
    <s v="CR-38-WHT1-SG75M/0.035PRT(WHT)"/>
    <n v="306000"/>
    <n v="2.93"/>
    <n v="896580"/>
    <x v="4"/>
    <n v="306000"/>
    <m/>
    <m/>
    <m/>
    <m/>
    <m/>
    <m/>
  </r>
  <r>
    <x v="3"/>
    <s v="PRIYANK"/>
    <s v="MEPRO PHARMACEUTICALS PVT LTD."/>
    <s v="MEPRO PHARMACEUTICALS PVT LTD."/>
    <n v="50082142"/>
    <s v="B-5ML RG NATURAL (L)-GS"/>
    <n v="50000"/>
    <n v="1.68"/>
    <n v="84000"/>
    <x v="0"/>
    <m/>
    <m/>
    <n v="25501363"/>
    <s v="PM125260166"/>
    <d v="2025-11-17T00:00:00"/>
    <n v="1"/>
    <d v="2025-12-17T00:00:00"/>
  </r>
  <r>
    <x v="3"/>
    <s v="PRIYANK"/>
    <s v="MEPRO PHARMACEUTICALS PVT LTD."/>
    <s v="MEPRO PHARMACEUTICALS PVT LTD."/>
    <n v="50082186"/>
    <s v="C-TAMPLOCK RED (H)-GS"/>
    <n v="50000"/>
    <n v="0.52400000000000002"/>
    <n v="26200"/>
    <x v="0"/>
    <m/>
    <m/>
    <n v="25501363"/>
    <s v="PM125260166"/>
    <d v="2025-11-17T00:00:00"/>
    <n v="2"/>
    <d v="2025-12-17T00:00:00"/>
  </r>
  <r>
    <x v="3"/>
    <s v="PRIYANK"/>
    <s v="MEPRO PHARMACEUTICALS PVT LTD."/>
    <s v="MEPRO PHARMACEUTICALS PVT LTD."/>
    <n v="50082077"/>
    <s v="N-BLOCK RG NATURAL (L)-GS"/>
    <n v="50000"/>
    <n v="0.15"/>
    <n v="7500"/>
    <x v="0"/>
    <m/>
    <m/>
    <n v="25501363"/>
    <s v="PM125260166"/>
    <d v="2025-11-17T00:00:00"/>
    <n v="3"/>
    <d v="2025-12-17T00:00:00"/>
  </r>
  <r>
    <x v="3"/>
    <s v="PRIYANK"/>
    <s v="MEPRO PHARMACEUTICALS PVT LTD."/>
    <s v="MEPRO PHARMACEUTICALS PVT LTD."/>
    <n v="50110676"/>
    <s v="B-10ML RG NATURAL 16C (L)-GS"/>
    <n v="20000"/>
    <n v="1.905"/>
    <n v="38100"/>
    <x v="0"/>
    <m/>
    <m/>
    <n v="25501363"/>
    <s v="PM125260166"/>
    <d v="2025-11-17T00:00:00"/>
    <n v="4"/>
    <d v="2025-12-17T00:00:00"/>
  </r>
  <r>
    <x v="3"/>
    <s v="PRIYANK"/>
    <s v="MEPRO PHARMACEUTICALS PVT LTD."/>
    <s v="MEPRO PHARMACEUTICALS PVT LTD."/>
    <n v="50081915"/>
    <s v="C-TAMPLOCK UTILITY BLUE(H)-GS"/>
    <n v="20000"/>
    <n v="0.52400000000000002"/>
    <n v="10480"/>
    <x v="0"/>
    <m/>
    <m/>
    <n v="25501363"/>
    <s v="PM125260166"/>
    <d v="2025-11-17T00:00:00"/>
    <n v="5.0999999999999996"/>
    <d v="2025-12-17T00:00:00"/>
  </r>
  <r>
    <x v="3"/>
    <s v="PRIYANK"/>
    <s v="MEPRO PHARMACEUTICALS PVT LTD."/>
    <s v="MEPRO PHARMACEUTICALS PVT LTD."/>
    <n v="50082077"/>
    <s v="N-BLOCK RG NATURAL (L)-GS"/>
    <n v="20000"/>
    <n v="0.15"/>
    <n v="3000"/>
    <x v="0"/>
    <m/>
    <m/>
    <n v="25501363"/>
    <s v="PM125260166"/>
    <d v="2025-11-17T00:00:00"/>
    <n v="6.1"/>
    <d v="2025-12-17T00:00:00"/>
  </r>
  <r>
    <x v="0"/>
    <s v="PRIYANK"/>
    <s v="GLENMARK PHARMACEUTICALS LIMIT"/>
    <s v="GLENMARK PHARMACEUTICALS LIMIT"/>
    <n v="50108164"/>
    <s v="CR-28MM 0.035 SG75M PRTD (WHT)"/>
    <n v="150000"/>
    <n v="2.46"/>
    <n v="369000"/>
    <x v="0"/>
    <n v="150000"/>
    <m/>
    <m/>
    <m/>
    <m/>
    <m/>
    <m/>
  </r>
  <r>
    <x v="0"/>
    <s v="PRIYANK"/>
    <s v="GLENMARK PHARMACEUTICALS LIMIT"/>
    <s v="GLENMARK PHARMACEUTICALS LIMIT"/>
    <n v="50108164"/>
    <s v="CR-28MM 0.035 SG75M PRTD (WHT)"/>
    <n v="150000"/>
    <n v="2.46"/>
    <n v="369000"/>
    <x v="5"/>
    <n v="150000"/>
    <m/>
    <m/>
    <m/>
    <m/>
    <m/>
    <m/>
  </r>
  <r>
    <x v="0"/>
    <s v="SAGAR"/>
    <s v="Haleon Lanka Enterprises Limit"/>
    <s v="Haleon Lanka Enterprises Limit"/>
    <n v="50104777"/>
    <s v="24MM SQUEEZE LOC PLGSEAL(PICT)"/>
    <n v="476000"/>
    <n v="1.7871999999999999"/>
    <n v="850707.2"/>
    <x v="0"/>
    <n v="476000"/>
    <m/>
    <n v="25880063"/>
    <n v="4503695647"/>
    <d v="2025-12-06T00:00:00"/>
    <n v="1"/>
    <d v="2026-03-02T00:00:00"/>
  </r>
  <r>
    <x v="2"/>
    <s v="MIHIR"/>
    <s v="ASPIRO PHARMA LIMITED"/>
    <s v="ASPIRO PHARMA LIMITED"/>
    <n v="50092423"/>
    <s v="B-15ML RSP NATURAL R2(L)-ET"/>
    <n v="60000"/>
    <n v="3.5"/>
    <n v="210000"/>
    <x v="6"/>
    <m/>
    <m/>
    <n v="25501384"/>
    <n v="9500160684"/>
    <d v="2025-11-20T00:00:00"/>
    <n v="1"/>
    <d v="2025-12-20T00:00:00"/>
  </r>
  <r>
    <x v="2"/>
    <s v="MIHIR"/>
    <s v="ASPIRO PHARMA LIMITED"/>
    <s v="ASPIRO PHARMA LIMITED"/>
    <n v="50113650"/>
    <s v="N-OPEN RSP NATURAL-64C(L)-ET"/>
    <n v="60000"/>
    <n v="1.8"/>
    <n v="108000"/>
    <x v="6"/>
    <m/>
    <m/>
    <n v="25501384"/>
    <n v="9500160684"/>
    <d v="2025-11-20T00:00:00"/>
    <n v="2"/>
    <d v="2025-12-20T00:00:00"/>
  </r>
  <r>
    <x v="2"/>
    <s v="MIHIR"/>
    <s v="ASPIRO PHARMA LIMITED"/>
    <s v="ASPIRO PHARMA LIMITED"/>
    <n v="50114461"/>
    <s v="C-TS RSP YW110543R2 2.0 64C-GS"/>
    <n v="60000"/>
    <n v="2.75"/>
    <n v="165000"/>
    <x v="6"/>
    <m/>
    <m/>
    <n v="25501384"/>
    <n v="9500160684"/>
    <d v="2025-11-20T00:00:00"/>
    <n v="3"/>
    <d v="2025-12-20T00:00:00"/>
  </r>
  <r>
    <x v="1"/>
    <s v="PRIYANK"/>
    <s v="ZYDUS LIFESCIENCES LTD-MORAIYA"/>
    <s v="AMANTA HEALTHCARE LIMITED"/>
    <n v="50081840"/>
    <s v="N-OPEN RSP NATURAL(L)-GS"/>
    <n v="100000"/>
    <n v="0.9"/>
    <n v="90000"/>
    <x v="0"/>
    <m/>
    <m/>
    <n v="25501388"/>
    <n v="4100013250"/>
    <d v="2025-11-20T00:00:00"/>
    <n v="1"/>
    <d v="2026-02-15T00:00:00"/>
  </r>
  <r>
    <x v="1"/>
    <s v="PRIYANK"/>
    <s v="ZYDUS LIFESCIENCES LTD-MORAIYA"/>
    <s v="AMANTA HEALTHCARE LIMITED"/>
    <n v="50081840"/>
    <s v="N-OPEN RSP NATURAL(L)-GS"/>
    <n v="200"/>
    <n v="0.9"/>
    <n v="180"/>
    <x v="0"/>
    <m/>
    <m/>
    <n v="25501388"/>
    <n v="4100013250"/>
    <d v="2025-11-20T00:00:00"/>
    <n v="2"/>
    <d v="2026-02-15T00:00:00"/>
  </r>
  <r>
    <x v="3"/>
    <s v="PRIYANK"/>
    <s v="CADILA PHARMACEUTICALS LIMITED"/>
    <s v="CADILA PHARMACEUTICALS LIMITED"/>
    <n v="50082156"/>
    <s v="C-TAMPLOCK WHITE (H)-GS"/>
    <n v="89529"/>
    <n v="0.39"/>
    <n v="34916.31"/>
    <x v="0"/>
    <m/>
    <m/>
    <n v="25501389"/>
    <n v="2500241653"/>
    <d v="2025-11-20T00:00:00"/>
    <n v="1"/>
    <d v="2025-12-20T00:00:00"/>
  </r>
  <r>
    <x v="3"/>
    <s v="PRIYANK"/>
    <s v="CADILA PHARMACEUTICALS LIMITED"/>
    <s v="CADILA PHARMACEUTICALS LIMITED"/>
    <n v="50082077"/>
    <s v="N-BLOCK RG NATURAL (L)-GS"/>
    <n v="91529"/>
    <n v="0.26"/>
    <n v="23797.54"/>
    <x v="0"/>
    <m/>
    <m/>
    <n v="25501389"/>
    <n v="2500241653"/>
    <d v="2025-11-20T00:00:00"/>
    <n v="2"/>
    <d v="2025-12-20T00:00:00"/>
  </r>
  <r>
    <x v="3"/>
    <s v="PRIYANK"/>
    <s v="CADILA PHARMACEUTICALS LIMITED"/>
    <s v="CADILA PHARMACEUTICALS LIMITED"/>
    <n v="50082156"/>
    <s v="C-TAMPLOCK WHITE (H)-GS"/>
    <n v="59752"/>
    <n v="0.39"/>
    <n v="23303.280000000002"/>
    <x v="0"/>
    <m/>
    <m/>
    <n v="25501390"/>
    <n v="2500240189"/>
    <d v="2025-11-20T00:00:00"/>
    <n v="1"/>
    <d v="2025-12-20T00:00:00"/>
  </r>
  <r>
    <x v="3"/>
    <s v="PRIYANK"/>
    <s v="CADILA PHARMACEUTICALS LIMITED"/>
    <s v="CADILA PHARMACEUTICALS LIMITED"/>
    <n v="50082077"/>
    <s v="N-BLOCK RG NATURAL (L)-GS"/>
    <n v="63752"/>
    <n v="0.26"/>
    <n v="16575.52"/>
    <x v="0"/>
    <m/>
    <m/>
    <n v="25501391"/>
    <n v="2500240137"/>
    <d v="2025-11-20T00:00:00"/>
    <n v="1"/>
    <d v="2025-12-20T00:00:00"/>
  </r>
  <r>
    <x v="0"/>
    <s v="MIHIR"/>
    <s v="HETERO LABS LTD.(UNIT V)"/>
    <s v="HETERO LABS LTD.(UNIT V)"/>
    <n v="50113314"/>
    <s v="CR-38-WHT1- FSM1 SFYP/035(BLK)"/>
    <n v="200000"/>
    <n v="2.6"/>
    <n v="520000"/>
    <x v="0"/>
    <m/>
    <m/>
    <n v="25501448"/>
    <n v="9500161494"/>
    <d v="2025-11-29T00:00:00"/>
    <n v="3"/>
    <d v="2025-12-20T00:00:00"/>
  </r>
  <r>
    <x v="3"/>
    <s v="PRIYANK"/>
    <s v="AJANTA PHARMA LIMITED."/>
    <s v="CIRON DRUGS &amp; PHARMACEUTICALS"/>
    <n v="50081970"/>
    <s v="B-5ML &quot;I&quot; WHITE 6C (L)-GS"/>
    <n v="120000"/>
    <n v="1.43"/>
    <n v="171600"/>
    <x v="0"/>
    <m/>
    <s v="SHIPPED"/>
    <n v="25501416"/>
    <n v="4100312051"/>
    <d v="2025-11-25T00:00:00"/>
    <n v="4"/>
    <d v="2026-02-01T00:00:00"/>
  </r>
  <r>
    <x v="3"/>
    <s v="PRIYANK"/>
    <s v="AJANTA PHARMA LIMITED."/>
    <s v="CIRON DRUGS &amp; PHARMACEUTICALS"/>
    <n v="50081808"/>
    <s v="C-TAMPSAFE &quot;I&quot; WHITE (H)-GS"/>
    <n v="120000"/>
    <n v="0.55000000000000004"/>
    <n v="66000"/>
    <x v="0"/>
    <m/>
    <s v="SHIPPED"/>
    <n v="25501416"/>
    <n v="4100312051"/>
    <d v="2025-11-25T00:00:00"/>
    <n v="5"/>
    <d v="2026-02-01T00:00:00"/>
  </r>
  <r>
    <x v="3"/>
    <s v="PRIYANK"/>
    <s v="AJANTA PHARMA LIMITED."/>
    <s v="CIRON DRUGS &amp; PHARMACEUTICALS"/>
    <n v="50111939"/>
    <s v="N-OPEN &quot;I&quot; NAT NEW 48C (L)-GS"/>
    <n v="120000"/>
    <n v="0.25"/>
    <n v="30000"/>
    <x v="0"/>
    <m/>
    <s v="SHIPPED"/>
    <n v="25501416"/>
    <n v="4100312051"/>
    <d v="2025-11-25T00:00:00"/>
    <n v="6"/>
    <d v="2026-02-01T00:00:00"/>
  </r>
  <r>
    <x v="3"/>
    <s v="PRIYANK"/>
    <s v="AJANTA PHARMA LIMITED."/>
    <s v="CIRON DRUGS &amp; PHARMACEUTICALS"/>
    <n v="50081970"/>
    <s v="B-5ML &quot;I&quot; WHITE 6C (L)-GS"/>
    <n v="60000"/>
    <n v="1.43"/>
    <n v="85800"/>
    <x v="0"/>
    <m/>
    <s v="SHIPPED"/>
    <n v="25501416"/>
    <n v="4100312051"/>
    <d v="2025-11-25T00:00:00"/>
    <n v="7"/>
    <d v="2026-02-01T00:00:00"/>
  </r>
  <r>
    <x v="3"/>
    <s v="PRIYANK"/>
    <s v="AJANTA PHARMA LIMITED."/>
    <s v="CIRON DRUGS &amp; PHARMACEUTICALS"/>
    <n v="50108251"/>
    <s v="C-TAMPSAFE &quot;I&quot; ORG 336940-GS"/>
    <n v="60000"/>
    <n v="0.77"/>
    <n v="46200"/>
    <x v="0"/>
    <m/>
    <s v="SHIPPED"/>
    <n v="25501416"/>
    <n v="4100312051"/>
    <d v="2025-11-25T00:00:00"/>
    <n v="8"/>
    <d v="2026-02-01T00:00:00"/>
  </r>
  <r>
    <x v="3"/>
    <s v="PRIYANK"/>
    <s v="AJANTA PHARMA LIMITED."/>
    <s v="CIRON DRUGS &amp; PHARMACEUTICALS"/>
    <n v="50111939"/>
    <s v="N-OPEN &quot;I&quot; NAT NEW 48C (L)-GS"/>
    <n v="60000"/>
    <n v="0.25"/>
    <n v="15000"/>
    <x v="0"/>
    <m/>
    <s v="SHIPPED"/>
    <n v="25501416"/>
    <n v="4100312051"/>
    <d v="2025-11-25T00:00:00"/>
    <n v="9"/>
    <d v="2026-02-01T00:00:00"/>
  </r>
  <r>
    <x v="3"/>
    <s v="PRIYANK"/>
    <s v="CADILA PHARMACEUTICALS LIMITED"/>
    <s v="CADILA PHARMACEUTICALS LIMITED"/>
    <n v="50082156"/>
    <s v="C-TAMPLOCK WHITE (H)-GS"/>
    <n v="49921"/>
    <n v="0.39"/>
    <n v="19469.190000000002"/>
    <x v="0"/>
    <m/>
    <m/>
    <n v="25501419"/>
    <n v="2500243663"/>
    <d v="2025-11-26T00:00:00"/>
    <n v="1"/>
    <d v="2026-01-07T00:00:00"/>
  </r>
  <r>
    <x v="3"/>
    <s v="PRIYANK"/>
    <s v="CADILA PHARMACEUTICALS LIMITED"/>
    <s v="CADILA PHARMACEUTICALS LIMITED"/>
    <n v="50082077"/>
    <s v="N-BLOCK RG NATURAL (L)-GS"/>
    <n v="49921"/>
    <n v="0.26"/>
    <n v="12979.460000000001"/>
    <x v="0"/>
    <m/>
    <m/>
    <n v="25501420"/>
    <n v="2500243615"/>
    <d v="2025-11-26T00:00:00"/>
    <n v="1"/>
    <d v="2026-01-07T00:00:00"/>
  </r>
  <r>
    <x v="1"/>
    <s v="PRIYANK"/>
    <s v="ZYDUS LIFESCIENCES LTD-MORAIYA"/>
    <s v="AMANTA HEALTHCARE LIMITED"/>
    <n v="50114364"/>
    <s v="B-5ML RSP NATURAL 48C(L)-GS"/>
    <n v="59800"/>
    <n v="3"/>
    <n v="179400"/>
    <x v="0"/>
    <m/>
    <m/>
    <n v="25501424"/>
    <n v="4100013623"/>
    <d v="2025-11-27T00:00:00"/>
    <n v="3"/>
    <d v="2026-02-15T00:00:00"/>
  </r>
  <r>
    <x v="1"/>
    <s v="PRIYANK"/>
    <s v="ZYDUS LIFESCIENCES LTD-MORAIYA"/>
    <s v="AMANTA HEALTHCARE LIMITED"/>
    <n v="50114364"/>
    <s v="B-5ML RSP NATURAL 48C(L)-GS"/>
    <n v="200"/>
    <n v="3"/>
    <n v="600"/>
    <x v="0"/>
    <m/>
    <m/>
    <n v="25501424"/>
    <n v="4100013623"/>
    <d v="2025-11-27T00:00:00"/>
    <n v="4"/>
    <d v="2026-02-15T00:00:00"/>
  </r>
  <r>
    <x v="3"/>
    <s v="PRIYANK"/>
    <s v="AJANTA PHARMA LIMITED-GUWAHATI"/>
    <s v="AJANTA PHARMA LIMITED-GUWAHATI"/>
    <n v="50114370"/>
    <s v="B-5ML &quot;O&quot; WHITE 48C(L)-GS"/>
    <n v="60000"/>
    <n v="1.62"/>
    <n v="97200"/>
    <x v="0"/>
    <m/>
    <s v="SHIPPED"/>
    <n v="25501443"/>
    <n v="4100312384"/>
    <d v="2025-11-29T00:00:00"/>
    <n v="4"/>
    <d v="2026-01-01T00:00:00"/>
  </r>
  <r>
    <x v="3"/>
    <s v="PRIYANK"/>
    <s v="AJANTA PHARMA LIMITED-GUWAHATI"/>
    <s v="AJANTA PHARMA LIMITED-GUWAHATI"/>
    <n v="50114592"/>
    <s v="C-TS &quot;O&quot; VILT91155 24C(H-M)-GS"/>
    <n v="60000"/>
    <n v="0.77"/>
    <n v="46200"/>
    <x v="0"/>
    <m/>
    <s v="SHIPPED"/>
    <n v="25501443"/>
    <n v="4100312384"/>
    <d v="2025-11-29T00:00:00"/>
    <n v="5"/>
    <d v="2026-01-01T00:00:00"/>
  </r>
  <r>
    <x v="3"/>
    <s v="PRIYANK"/>
    <s v="AJANTA PHARMA LIMITED-GUWAHATI"/>
    <s v="AJANTA PHARMA LIMITED-GUWAHATI"/>
    <n v="50081947"/>
    <s v="N-OPEN &quot;O&quot;NATURAL (L)-GS"/>
    <n v="60000"/>
    <n v="0.27"/>
    <n v="16200.000000000002"/>
    <x v="0"/>
    <m/>
    <s v="SHIPPED"/>
    <n v="25501443"/>
    <n v="4100312384"/>
    <d v="2025-11-29T00:00:00"/>
    <n v="6"/>
    <d v="2026-01-01T00:00:00"/>
  </r>
  <r>
    <x v="3"/>
    <s v="PRIYANK"/>
    <s v="AJANTA PHARMA LIMITED-GUWAHATI"/>
    <s v="AJANTA PHARMA LIMITED-GUWAHATI"/>
    <n v="50109736"/>
    <s v="B-5ML &quot;I&quot; WHITE 12C-HW (L)-GS"/>
    <n v="120000"/>
    <n v="1.5"/>
    <n v="180000"/>
    <x v="0"/>
    <m/>
    <m/>
    <n v="25501446"/>
    <n v="4100312386"/>
    <d v="2025-11-29T00:00:00"/>
    <n v="1"/>
    <d v="2026-01-01T00:00:00"/>
  </r>
  <r>
    <x v="3"/>
    <s v="PRIYANK"/>
    <s v="AJANTA PHARMA LIMITED-GUWAHATI"/>
    <s v="AJANTA PHARMA LIMITED-GUWAHATI"/>
    <n v="50081808"/>
    <s v="C-TAMPSAFE &quot;I&quot; WHITE (H)-GS"/>
    <n v="120000"/>
    <n v="0.56000000000000005"/>
    <n v="67200"/>
    <x v="0"/>
    <m/>
    <m/>
    <n v="25501446"/>
    <n v="4100312386"/>
    <d v="2025-11-29T00:00:00"/>
    <n v="2"/>
    <d v="2026-01-01T00:00:00"/>
  </r>
  <r>
    <x v="3"/>
    <s v="PRIYANK"/>
    <s v="AJANTA PHARMA LIMITED-GUWAHATI"/>
    <s v="AJANTA PHARMA LIMITED-GUWAHATI"/>
    <n v="50111939"/>
    <s v="N-OPEN &quot;I&quot; NAT NEW 48C (L)-GS"/>
    <n v="120000"/>
    <n v="0.26"/>
    <n v="31200"/>
    <x v="0"/>
    <m/>
    <m/>
    <n v="25501446"/>
    <n v="4100312386"/>
    <d v="2025-11-29T00:00:00"/>
    <n v="3"/>
    <d v="2026-01-01T00:00:00"/>
  </r>
  <r>
    <x v="0"/>
    <s v="MIHIR"/>
    <s v="HETERO LABS LTD.(UNIT V)"/>
    <s v="HETERO LABS LTD.(UNIT V)"/>
    <n v="50113314"/>
    <s v="CR-38-WHT1- FSM1 SFYP/035(BLK)"/>
    <n v="300000"/>
    <n v="2.6"/>
    <n v="780000"/>
    <x v="5"/>
    <m/>
    <m/>
    <n v="25501448"/>
    <n v="9500161494"/>
    <d v="2025-11-29T00:00:00"/>
    <n v="3"/>
    <d v="2025-12-20T00:00:00"/>
  </r>
  <r>
    <x v="2"/>
    <s v="MIHIR"/>
    <s v="GLAND PHARMA LTD"/>
    <s v="GLAND PHARMA LTD"/>
    <n v="50113649"/>
    <s v="N-OPEN RSP NATURAL-64C(L)-GS"/>
    <n v="700000"/>
    <n v="1.64"/>
    <n v="1148000"/>
    <x v="0"/>
    <m/>
    <s v="SHIPPED"/>
    <n v="25501457"/>
    <n v="4300009560"/>
    <d v="2025-12-02T00:00:00"/>
    <n v="1"/>
    <d v="2026-01-15T00:00:00"/>
  </r>
  <r>
    <x v="3"/>
    <s v="PRIYANK"/>
    <s v="CIRON DRUGS &amp; PHARMACEUTICALS"/>
    <s v="CIRON DRUGS &amp; PHARMACEUTICALS"/>
    <n v="50081866"/>
    <s v="B-5ML EX. RG WHITE (L)-GS"/>
    <n v="87700"/>
    <n v="1.48"/>
    <n v="129796"/>
    <x v="0"/>
    <m/>
    <s v="SHIPPED"/>
    <n v="25501463"/>
    <s v="C1/PM/E/44353"/>
    <d v="2025-12-02T00:00:00"/>
    <n v="1"/>
    <d v="2026-01-02T00:00:00"/>
  </r>
  <r>
    <x v="3"/>
    <s v="PRIYANK"/>
    <s v="CIRON DRUGS &amp; PHARMACEUTICALS"/>
    <s v="CIRON DRUGS &amp; PHARMACEUTICALS"/>
    <n v="50082011"/>
    <s v="C-DOUBLESAFE WHITE NX (H)-GS"/>
    <n v="46200"/>
    <n v="0.6"/>
    <n v="27720"/>
    <x v="0"/>
    <m/>
    <s v="SHIPPED"/>
    <n v="25501463"/>
    <s v="C1/PM/E/44353"/>
    <d v="2025-12-02T00:00:00"/>
    <n v="2"/>
    <d v="2026-01-02T00:00:00"/>
  </r>
  <r>
    <x v="3"/>
    <s v="PRIYANK"/>
    <s v="CIRON DRUGS &amp; PHARMACEUTICALS"/>
    <s v="CIRON DRUGS &amp; PHARMACEUTICALS"/>
    <n v="50105010"/>
    <s v="N-BLOCK RG WHITE-3R (L)-GS"/>
    <n v="87700"/>
    <n v="0.27"/>
    <n v="23679"/>
    <x v="0"/>
    <m/>
    <s v="SHIPPED"/>
    <n v="25501463"/>
    <s v="C1/PM/E/44353"/>
    <d v="2025-12-02T00:00:00"/>
    <n v="3"/>
    <d v="2026-01-02T00:00:00"/>
  </r>
  <r>
    <x v="3"/>
    <s v="PRIYANK"/>
    <s v="CIRON DRUGS &amp; PHARMACEUTICALS"/>
    <s v="CIRON DRUGS &amp; PHARMACEUTICALS"/>
    <n v="50115676"/>
    <s v="C-DSNX BLUE 408856 - GS"/>
    <n v="42100"/>
    <n v="0.6"/>
    <n v="25260"/>
    <x v="0"/>
    <m/>
    <s v="SHIPPED"/>
    <n v="25501463"/>
    <s v="C1/PM/E/44353"/>
    <d v="2025-12-02T00:00:00"/>
    <n v="4"/>
    <d v="2026-01-02T00:00:00"/>
  </r>
  <r>
    <x v="0"/>
    <s v="MIHIR"/>
    <s v="HETERO LABS LTD.(UNIT V)"/>
    <s v="HETERO LABS LTD.(UNIT V)"/>
    <n v="50113313"/>
    <s v="CR-33-WHT1- FSM1 SFYP/035(BLK)"/>
    <n v="500000"/>
    <n v="2.6"/>
    <n v="1300000"/>
    <x v="0"/>
    <n v="500000"/>
    <m/>
    <n v="25501448"/>
    <n v="9500161494"/>
    <d v="2025-11-29T00:00:00"/>
    <n v="3"/>
    <d v="2025-12-20T00:00:00"/>
  </r>
  <r>
    <x v="0"/>
    <s v="MIHIR"/>
    <s v="LAURUS LABS LIMITED- SEZ UNIT"/>
    <s v="LAURUS LABS LIMITED- SEZ UNIT"/>
    <n v="50101134"/>
    <s v="CR-38MM HS123/0.020 (WHT)"/>
    <n v="500000"/>
    <n v="2.38"/>
    <n v="1190000"/>
    <x v="0"/>
    <n v="410000"/>
    <m/>
    <n v="25501634"/>
    <n v="1000130474"/>
    <d v="2025-12-22T00:00:00"/>
    <n v="1"/>
    <d v="2025-12-27T00:00:00"/>
  </r>
  <r>
    <x v="2"/>
    <s v="PRIYANK"/>
    <s v="JAMP INDIA PHARMACEUTICALS (P)"/>
    <s v="JAMP INDIA PHARMACEUTICALS (P)"/>
    <n v="50114359"/>
    <s v="B-5ML RSP WHITE R2 48C(L)-ET"/>
    <n v="12000"/>
    <n v="3.75"/>
    <n v="45000"/>
    <x v="0"/>
    <m/>
    <m/>
    <n v="25501484"/>
    <s v="EB/PO25/0003"/>
    <d v="2025-12-03T00:00:00"/>
    <n v="11"/>
    <d v="2025-12-31T00:00:00"/>
  </r>
  <r>
    <x v="2"/>
    <s v="PRIYANK"/>
    <s v="JAMP INDIA PHARMACEUTICALS (P)"/>
    <s v="JAMP INDIA PHARMACEUTICALS (P)"/>
    <n v="50113739"/>
    <s v="C-TS RSP R2 2.0 WHT 64C (H)-ET"/>
    <n v="12000"/>
    <n v="3.23"/>
    <n v="38760"/>
    <x v="0"/>
    <m/>
    <m/>
    <n v="25501484"/>
    <s v="EB/PO25/0003"/>
    <d v="2025-12-03T00:00:00"/>
    <n v="12"/>
    <d v="2025-12-31T00:00:00"/>
  </r>
  <r>
    <x v="2"/>
    <s v="PRIYANK"/>
    <s v="JAMP INDIA PHARMACEUTICALS (P)"/>
    <s v="JAMP INDIA PHARMACEUTICALS (P)"/>
    <n v="50106206"/>
    <s v="N-OPEN RSP-30mcl NAT NEW(L)-ET"/>
    <n v="12000"/>
    <n v="2.93"/>
    <n v="35160"/>
    <x v="0"/>
    <m/>
    <m/>
    <n v="25501484"/>
    <s v="EB/PO25/0003"/>
    <d v="2025-12-03T00:00:00"/>
    <n v="13"/>
    <d v="2025-12-31T00:00:00"/>
  </r>
  <r>
    <x v="2"/>
    <s v="PRIYANK"/>
    <s v="JAMP INDIA PHARMACEUTICALS (P)"/>
    <s v="JAMP INDIA PHARMACEUTICALS (P)"/>
    <n v="50114359"/>
    <s v="B-5ML RSP WHITE R2 48C(L)-ET"/>
    <n v="12000"/>
    <n v="3.75"/>
    <n v="45000"/>
    <x v="0"/>
    <m/>
    <m/>
    <n v="25501484"/>
    <s v="EB/PO25/0003"/>
    <d v="2025-12-03T00:00:00"/>
    <n v="14"/>
    <d v="2025-12-31T00:00:00"/>
  </r>
  <r>
    <x v="2"/>
    <s v="PRIYANK"/>
    <s v="JAMP INDIA PHARMACEUTICALS (P)"/>
    <s v="JAMP INDIA PHARMACEUTICALS (P)"/>
    <n v="50113739"/>
    <s v="C-TS RSP R2 2.0 WHT 64C (H)-ET"/>
    <n v="12000"/>
    <n v="3.23"/>
    <n v="38760"/>
    <x v="0"/>
    <m/>
    <m/>
    <n v="25501484"/>
    <s v="EB/PO25/0003"/>
    <d v="2025-12-03T00:00:00"/>
    <n v="15"/>
    <d v="2025-12-31T00:00:00"/>
  </r>
  <r>
    <x v="2"/>
    <s v="PRIYANK"/>
    <s v="JAMP INDIA PHARMACEUTICALS (P)"/>
    <s v="JAMP INDIA PHARMACEUTICALS (P)"/>
    <n v="50106206"/>
    <s v="N-OPEN RSP-30mcl NAT NEW(L)-ET"/>
    <n v="12000"/>
    <n v="2.93"/>
    <n v="35160"/>
    <x v="0"/>
    <m/>
    <m/>
    <n v="25501484"/>
    <s v="EB/PO25/0003"/>
    <d v="2025-12-03T00:00:00"/>
    <n v="16"/>
    <d v="2025-12-31T00:00:00"/>
  </r>
  <r>
    <x v="2"/>
    <s v="PRIYANK"/>
    <s v="JAMP INDIA PHARMACEUTICALS (P)"/>
    <s v="JAMP INDIA PHARMACEUTICALS (P)"/>
    <n v="50114359"/>
    <s v="B-5ML RSP WHITE R2 48C(L)-ET"/>
    <n v="12000"/>
    <n v="3.75"/>
    <n v="45000"/>
    <x v="0"/>
    <m/>
    <m/>
    <n v="25501484"/>
    <s v="EB/PO25/0003"/>
    <d v="2025-12-03T00:00:00"/>
    <n v="17"/>
    <d v="2025-12-31T00:00:00"/>
  </r>
  <r>
    <x v="2"/>
    <s v="PRIYANK"/>
    <s v="JAMP INDIA PHARMACEUTICALS (P)"/>
    <s v="JAMP INDIA PHARMACEUTICALS (P)"/>
    <n v="50113739"/>
    <s v="C-TS RSP R2 2.0 WHT 64C (H)-ET"/>
    <n v="12000"/>
    <n v="3.23"/>
    <n v="38760"/>
    <x v="0"/>
    <m/>
    <m/>
    <n v="25501484"/>
    <s v="EB/PO25/0003"/>
    <d v="2025-12-03T00:00:00"/>
    <n v="18"/>
    <d v="2025-12-31T00:00:00"/>
  </r>
  <r>
    <x v="2"/>
    <s v="PRIYANK"/>
    <s v="JAMP INDIA PHARMACEUTICALS (P)"/>
    <s v="JAMP INDIA PHARMACEUTICALS (P)"/>
    <n v="50106206"/>
    <s v="N-OPEN RSP-30mcl NAT NEW(L)-ET"/>
    <n v="12000"/>
    <n v="2.93"/>
    <n v="35160"/>
    <x v="0"/>
    <m/>
    <m/>
    <n v="25501484"/>
    <s v="EB/PO25/0003"/>
    <d v="2025-12-03T00:00:00"/>
    <n v="19"/>
    <d v="2025-12-31T00:00:00"/>
  </r>
  <r>
    <x v="0"/>
    <s v="MIHIR"/>
    <s v="LAURUS LABS LIMITED- SEZ UNIT"/>
    <s v="LAURUS LABS LIMITED- SEZ UNIT"/>
    <n v="50101133"/>
    <s v="CR-33MM HS123/0.020 (WHT)"/>
    <n v="300000"/>
    <n v="2.2200000000000002"/>
    <n v="666000.00000000012"/>
    <x v="0"/>
    <n v="300000"/>
    <m/>
    <n v="25501143"/>
    <n v="1000129588"/>
    <d v="2025-10-11T00:00:00"/>
    <n v="2.1"/>
    <d v="2025-12-31T00:00:00"/>
  </r>
  <r>
    <x v="3"/>
    <s v="PRIYANK"/>
    <s v="SUNWAYS (INDIA) PRIVATE LIMITE"/>
    <s v="SUNWAYS ROHTO PHARMACEUTICAL ("/>
    <n v="50081947"/>
    <s v="N-OPEN &quot;O&quot;NATURAL (L)-GS"/>
    <n v="200000"/>
    <n v="0.19"/>
    <n v="38000"/>
    <x v="0"/>
    <m/>
    <m/>
    <n v="25501488"/>
    <s v="SIDPO26-484"/>
    <d v="2025-12-04T00:00:00"/>
    <n v="3"/>
    <d v="2025-12-29T00:00:00"/>
  </r>
  <r>
    <x v="3"/>
    <s v="PRIYANK"/>
    <s v="SUNWAYS (INDIA) PRIVATE LIMITE"/>
    <s v="SUNWAYS ROHTO PHARMACEUTICAL ("/>
    <n v="50114370"/>
    <s v="B-5ML &quot;O&quot; WHITE 48C(L)-GS"/>
    <n v="200000"/>
    <n v="2.39"/>
    <n v="478000"/>
    <x v="0"/>
    <m/>
    <s v="IN STERILIZATION"/>
    <n v="25501488"/>
    <s v="SIDPO26-484"/>
    <d v="2025-12-04T00:00:00"/>
    <n v="4"/>
    <d v="2025-12-29T00:00:00"/>
  </r>
  <r>
    <x v="3"/>
    <s v="PRIYANK"/>
    <s v="SUNWAYS (INDIA) PRIVATE LIMITE"/>
    <s v="SUNWAYS ROHTO PHARMACEUTICAL ("/>
    <n v="50081947"/>
    <s v="N-OPEN &quot;O&quot;NATURAL (L)-GS"/>
    <n v="300000"/>
    <n v="0.19"/>
    <n v="57000"/>
    <x v="0"/>
    <m/>
    <m/>
    <n v="25501488"/>
    <s v="SIDPO26-484"/>
    <d v="2025-12-04T00:00:00"/>
    <n v="5"/>
    <d v="2026-01-15T00:00:00"/>
  </r>
  <r>
    <x v="3"/>
    <s v="PRIYANK"/>
    <s v="SUNWAYS (INDIA) PRIVATE LIMITE"/>
    <s v="SUNWAYS ROHTO PHARMACEUTICAL ("/>
    <n v="50114370"/>
    <s v="B-5ML &quot;O&quot; WHITE 48C(L)-GS"/>
    <n v="300000"/>
    <n v="2.39"/>
    <n v="717000"/>
    <x v="0"/>
    <m/>
    <s v="IN STERILIZATION"/>
    <n v="25501488"/>
    <s v="SIDPO26-484"/>
    <d v="2025-12-04T00:00:00"/>
    <n v="6"/>
    <d v="2026-01-15T00:00:00"/>
  </r>
  <r>
    <x v="3"/>
    <s v="PRIYANK"/>
    <s v="SUNWAYS (INDIA) PRIVATE LIMITE"/>
    <s v="SUNWAYS ROHTO PHARMACEUTICAL ("/>
    <n v="50081947"/>
    <s v="N-OPEN &quot;O&quot;NATURAL (L)-GS"/>
    <n v="200000"/>
    <n v="0.19"/>
    <n v="38000"/>
    <x v="0"/>
    <m/>
    <m/>
    <n v="25501488"/>
    <s v="SIDPO26-484"/>
    <d v="2025-12-04T00:00:00"/>
    <n v="7"/>
    <d v="2026-01-31T00:00:00"/>
  </r>
  <r>
    <x v="3"/>
    <s v="PRIYANK"/>
    <s v="SUNWAYS (INDIA) PRIVATE LIMITE"/>
    <s v="SUNWAYS ROHTO PHARMACEUTICAL ("/>
    <n v="50114370"/>
    <s v="B-5ML &quot;O&quot; WHITE 48C(L)-GS"/>
    <n v="200000"/>
    <n v="2.39"/>
    <n v="478000"/>
    <x v="0"/>
    <m/>
    <s v="IN STERILIZATION"/>
    <n v="25501488"/>
    <s v="SIDPO26-484"/>
    <d v="2025-12-04T00:00:00"/>
    <n v="8"/>
    <d v="2026-01-31T00:00:00"/>
  </r>
  <r>
    <x v="3"/>
    <s v="PRIYANK"/>
    <s v="SUNWAYS (INDIA) PRIVATE LIMITE"/>
    <s v="SUNWAYS ROHTO PHARMACEUTICAL ("/>
    <n v="50115432"/>
    <s v="B-10ML &quot;O&quot; WHITE-18C (L)-GS"/>
    <n v="100000"/>
    <n v="2.41"/>
    <n v="241000"/>
    <x v="0"/>
    <m/>
    <m/>
    <n v="25501489"/>
    <s v="SIDPO26-485"/>
    <d v="2025-12-04T00:00:00"/>
    <n v="3"/>
    <d v="2026-01-17T00:00:00"/>
  </r>
  <r>
    <x v="3"/>
    <s v="PRIYANK"/>
    <s v="SUNWAYS (INDIA) PRIVATE LIMITE"/>
    <s v="SUNWAYS ROHTO PHARMACEUTICAL ("/>
    <n v="50081947"/>
    <s v="N-OPEN &quot;O&quot;NATURAL (L)-GS"/>
    <n v="100000"/>
    <n v="0.19"/>
    <n v="19000"/>
    <x v="0"/>
    <m/>
    <m/>
    <n v="25501489"/>
    <s v="SIDPO26-485"/>
    <d v="2025-12-04T00:00:00"/>
    <n v="4"/>
    <d v="2026-01-17T00:00:00"/>
  </r>
  <r>
    <x v="3"/>
    <s v="PRIYANK"/>
    <s v="SUNWAYS (INDIA) PRIVATE LIMITE"/>
    <s v="SUNWAYS ROHTO PHARMACEUTICAL ("/>
    <n v="50083266"/>
    <s v="B-5ML RG WHITE -12C (L)-GS"/>
    <n v="200000"/>
    <n v="2.1800000000000002"/>
    <n v="436000.00000000006"/>
    <x v="0"/>
    <m/>
    <s v="IN STERILIZATION"/>
    <n v="25501490"/>
    <s v="SIDPO26-487"/>
    <d v="2025-12-04T00:00:00"/>
    <n v="3"/>
    <d v="2026-01-20T00:00:00"/>
  </r>
  <r>
    <x v="3"/>
    <s v="PRIYANK"/>
    <s v="SUNWAYS (INDIA) PRIVATE LIMITE"/>
    <s v="SUNWAYS ROHTO PHARMACEUTICAL ("/>
    <n v="50082077"/>
    <s v="N-BLOCK RG NATURAL (L)-GS"/>
    <n v="200000"/>
    <n v="0.15"/>
    <n v="30000"/>
    <x v="0"/>
    <m/>
    <s v="IN STERILIZATION"/>
    <n v="25501490"/>
    <s v="SIDPO26-487"/>
    <d v="2025-12-04T00:00:00"/>
    <n v="4"/>
    <d v="2026-01-20T00:00:00"/>
  </r>
  <r>
    <x v="3"/>
    <s v="PRIYANK"/>
    <s v="SUNWAYS (INDIA) PRIVATE LIMITE"/>
    <s v="SUNWAYS ROHTO PHARMACEUTICAL ("/>
    <n v="50083266"/>
    <s v="B-5ML RG WHITE -12C (L)-GS"/>
    <n v="300000"/>
    <n v="2.1800000000000002"/>
    <n v="654000"/>
    <x v="0"/>
    <m/>
    <m/>
    <n v="25501490"/>
    <s v="SIDPO26-487"/>
    <d v="2025-12-04T00:00:00"/>
    <n v="5"/>
    <d v="2026-01-31T00:00:00"/>
  </r>
  <r>
    <x v="3"/>
    <s v="PRIYANK"/>
    <s v="SUNWAYS (INDIA) PRIVATE LIMITE"/>
    <s v="SUNWAYS ROHTO PHARMACEUTICAL ("/>
    <n v="50082077"/>
    <s v="N-BLOCK RG NATURAL (L)-GS"/>
    <n v="300000"/>
    <n v="0.15"/>
    <n v="45000"/>
    <x v="0"/>
    <m/>
    <m/>
    <n v="25501490"/>
    <s v="SIDPO26-487"/>
    <d v="2025-12-04T00:00:00"/>
    <n v="6"/>
    <d v="2026-01-31T00:00:00"/>
  </r>
  <r>
    <x v="1"/>
    <s v="PRIYANK"/>
    <s v="CIPLA LTD."/>
    <s v="PURE &amp; CURE HEALTHCARE PVT LTD"/>
    <n v="50114671"/>
    <s v="B-10ML RSP White -18C(L)-GS"/>
    <n v="160000"/>
    <n v="2.92"/>
    <n v="467200"/>
    <x v="0"/>
    <m/>
    <s v="SHIPPED"/>
    <n v="25501491"/>
    <n v="4510684792"/>
    <d v="2025-12-06T00:00:00"/>
    <n v="2"/>
    <d v="2025-12-25T00:00:00"/>
  </r>
  <r>
    <x v="1"/>
    <s v="PRIYANK"/>
    <s v="CIPLA LTD."/>
    <s v="PURE &amp; CURE HEALTHCARE PVT LTD"/>
    <n v="50081723"/>
    <s v="C-TAMPSAFE RSP WHITE (H)-GS"/>
    <n v="155000"/>
    <n v="1.49"/>
    <n v="230950"/>
    <x v="0"/>
    <m/>
    <s v="SHIPPED"/>
    <n v="25501491"/>
    <n v="4510684792"/>
    <d v="2025-12-06T00:00:00"/>
    <n v="3"/>
    <d v="2025-12-25T00:00:00"/>
  </r>
  <r>
    <x v="1"/>
    <s v="PRIYANK"/>
    <s v="CIPLA LTD."/>
    <s v="PURE &amp; CURE HEALTHCARE PVT LTD"/>
    <n v="50081840"/>
    <s v="N-OPEN RSP NATURAL(L)-GS"/>
    <n v="160000"/>
    <n v="1.1599999999999999"/>
    <n v="185600"/>
    <x v="0"/>
    <m/>
    <s v="SHIPPED"/>
    <n v="25501491"/>
    <n v="4510684792"/>
    <d v="2025-12-06T00:00:00"/>
    <n v="4"/>
    <d v="2025-12-25T00:00:00"/>
  </r>
  <r>
    <x v="3"/>
    <s v="PRIYANK"/>
    <s v="AJANTA PHARMA LIMITED."/>
    <s v="INDIANA OPTHALMIC"/>
    <n v="50081970"/>
    <s v="B-5ML &quot;I&quot; WHITE 6C (L)-GS"/>
    <n v="60000"/>
    <n v="1.43"/>
    <n v="85800"/>
    <x v="0"/>
    <m/>
    <s v="SHIPPED"/>
    <n v="25501494"/>
    <n v="4100313344"/>
    <d v="2025-12-06T00:00:00"/>
    <n v="1"/>
    <d v="2025-12-25T00:00:00"/>
  </r>
  <r>
    <x v="3"/>
    <s v="PRIYANK"/>
    <s v="AJANTA PHARMA LIMITED."/>
    <s v="INDIANA OPTHALMIC"/>
    <n v="50081808"/>
    <s v="C-TAMPSAFE &quot;I&quot; WHITE (H)-GS"/>
    <n v="60000"/>
    <n v="0.55000000000000004"/>
    <n v="33000"/>
    <x v="0"/>
    <m/>
    <s v="SHIPPED"/>
    <n v="25501494"/>
    <n v="4100313344"/>
    <d v="2025-12-06T00:00:00"/>
    <n v="2"/>
    <d v="2025-12-25T00:00:00"/>
  </r>
  <r>
    <x v="3"/>
    <s v="PRIYANK"/>
    <s v="AJANTA PHARMA LIMITED."/>
    <s v="INDIANA OPTHALMIC"/>
    <n v="50111939"/>
    <s v="N-OPEN &quot;I&quot; NAT NEW 48C (L)-GS"/>
    <n v="60000"/>
    <n v="0.25"/>
    <n v="15000"/>
    <x v="0"/>
    <m/>
    <s v="SHIPPED"/>
    <n v="25501494"/>
    <n v="4100313344"/>
    <d v="2025-12-06T00:00:00"/>
    <n v="3"/>
    <d v="2025-12-25T00:00:00"/>
  </r>
  <r>
    <x v="2"/>
    <s v="MIHIR"/>
    <s v="GLAND PHARMA LTD"/>
    <s v="GLAND PHARMA LTD"/>
    <n v="50114361"/>
    <s v="B-5ML RSP NATURAL R2 48C(L)-GS"/>
    <n v="300000"/>
    <n v="2.96"/>
    <n v="888000"/>
    <x v="0"/>
    <m/>
    <s v="SHIPPED"/>
    <n v="25501496"/>
    <n v="4300009633"/>
    <d v="2025-12-06T00:00:00"/>
    <n v="4"/>
    <d v="2026-01-15T00:00:00"/>
  </r>
  <r>
    <x v="3"/>
    <s v="PRIYANK"/>
    <s v="CIRON DRUGS &amp; PHARMACEUTICALS"/>
    <s v="CIRON DRUGS &amp; PHARMACEUTICALS"/>
    <n v="50081866"/>
    <s v="B-5ML EX. RG WHITE (L)-GS"/>
    <n v="134300"/>
    <n v="1.48"/>
    <n v="198764"/>
    <x v="0"/>
    <m/>
    <s v="SHIPPED"/>
    <n v="25501497"/>
    <s v="C1/PM/E/44439"/>
    <d v="2025-12-06T00:00:00"/>
    <n v="1"/>
    <d v="2026-01-06T00:00:00"/>
  </r>
  <r>
    <x v="3"/>
    <s v="PRIYANK"/>
    <s v="CIRON DRUGS &amp; PHARMACEUTICALS"/>
    <s v="CIRON DRUGS &amp; PHARMACEUTICALS"/>
    <n v="50082011"/>
    <s v="C-DOUBLESAFE WHITE NX (H)-GS"/>
    <n v="134300"/>
    <n v="0.6"/>
    <n v="80580"/>
    <x v="0"/>
    <m/>
    <s v="SHIPPED"/>
    <n v="25501497"/>
    <s v="C1/PM/E/44439"/>
    <d v="2025-12-06T00:00:00"/>
    <n v="2"/>
    <d v="2026-01-06T00:00:00"/>
  </r>
  <r>
    <x v="3"/>
    <s v="PRIYANK"/>
    <s v="CIRON DRUGS &amp; PHARMACEUTICALS"/>
    <s v="CIRON DRUGS &amp; PHARMACEUTICALS"/>
    <n v="50105010"/>
    <s v="N-BLOCK RG WHITE-3R (L)-GS"/>
    <n v="134300"/>
    <n v="0.27"/>
    <n v="36261"/>
    <x v="0"/>
    <m/>
    <s v="SHIPPED"/>
    <n v="25501497"/>
    <s v="C1/PM/E/44439"/>
    <d v="2025-12-06T00:00:00"/>
    <n v="3"/>
    <d v="2026-01-06T00:00:00"/>
  </r>
  <r>
    <x v="1"/>
    <s v="PRIYANK"/>
    <s v="CIPLA LTD."/>
    <s v="KAMLA LIFESCIENCES LIMITED (CI"/>
    <n v="50115491"/>
    <s v="B-5ML RSP WHT 48C(L).-GS"/>
    <n v="100239"/>
    <n v="2.6"/>
    <n v="260621.40000000002"/>
    <x v="0"/>
    <m/>
    <s v="SHIPPED"/>
    <n v="25501504"/>
    <n v="4510685034"/>
    <d v="2025-12-06T00:00:00"/>
    <n v="1"/>
    <d v="2026-01-27T00:00:00"/>
  </r>
  <r>
    <x v="1"/>
    <s v="PRIYANK"/>
    <s v="CIPLA LTD."/>
    <s v="KAMLA LIFESCIENCES LIMITED (CI"/>
    <n v="50081670"/>
    <s v="C-TAMPSAFE RSP WHITE(H)NEW-GS"/>
    <n v="166333"/>
    <n v="1.49"/>
    <n v="247836.17"/>
    <x v="0"/>
    <m/>
    <s v="SHIPPED"/>
    <n v="25501504"/>
    <n v="4510685034"/>
    <d v="2025-12-06T00:00:00"/>
    <n v="2"/>
    <d v="2026-01-27T00:00:00"/>
  </r>
  <r>
    <x v="1"/>
    <s v="PRIYANK"/>
    <s v="CIPLA LTD."/>
    <s v="KAMLA LIFESCIENCES LIMITED (CI"/>
    <n v="50081840"/>
    <s v="N-OPEN RSP NATURAL(L)-GS"/>
    <n v="164544"/>
    <n v="1.1599999999999999"/>
    <n v="190871.03999999998"/>
    <x v="0"/>
    <m/>
    <s v="SHIPPED"/>
    <n v="25501504"/>
    <n v="4510685034"/>
    <d v="2025-12-06T00:00:00"/>
    <n v="3"/>
    <d v="2026-01-27T00:00:00"/>
  </r>
  <r>
    <x v="2"/>
    <s v="MIHIR"/>
    <s v="EUGIA PHARMA SPECIALITIES LTD-"/>
    <s v="EUGIA PHARMA SPECIALITIES LTD-"/>
    <n v="50091672"/>
    <s v="B-10ML RSP WHITE R2 (L)-GS"/>
    <n v="5000"/>
    <n v="3.63"/>
    <n v="18150"/>
    <x v="0"/>
    <m/>
    <m/>
    <n v="25501507"/>
    <n v="4242501751"/>
    <d v="2025-12-06T00:00:00"/>
    <n v="1"/>
    <d v="2025-12-30T00:00:00"/>
  </r>
  <r>
    <x v="2"/>
    <s v="MIHIR"/>
    <s v="EUGIA PHARMA SPECIALITIES LTD-"/>
    <s v="EUGIA PHARMA SPECIALITIES LTD-"/>
    <n v="50092585"/>
    <s v="B-15ML RSP WHITE R2 (L)-ET"/>
    <n v="5000"/>
    <n v="4.1100000000000003"/>
    <n v="20550"/>
    <x v="0"/>
    <m/>
    <m/>
    <n v="25501507"/>
    <n v="4242501751"/>
    <d v="2025-12-06T00:00:00"/>
    <n v="2"/>
    <d v="2025-12-30T00:00:00"/>
  </r>
  <r>
    <x v="2"/>
    <s v="MIHIR"/>
    <s v="EUGIA PHARMA SPECIALITIES LTD-"/>
    <s v="EUGIA PHARMA SPECIALITIES LTD-"/>
    <n v="50113743"/>
    <s v="C-TS RSP R2 2.0 TANBR 64C-GS"/>
    <n v="5000"/>
    <n v="1.98"/>
    <n v="9900"/>
    <x v="0"/>
    <m/>
    <m/>
    <n v="25501507"/>
    <n v="4242501751"/>
    <d v="2025-12-06T00:00:00"/>
    <n v="3"/>
    <d v="2025-12-30T00:00:00"/>
  </r>
  <r>
    <x v="2"/>
    <s v="MIHIR"/>
    <s v="EUGIA PHARMA SPECIALITIES LTD-"/>
    <s v="EUGIA PHARMA SPECIALITIES LTD-"/>
    <n v="50113750"/>
    <s v="C-TS RSP R2 2.0 TURQ. 64C-ET"/>
    <n v="5000"/>
    <n v="1.98"/>
    <n v="9900"/>
    <x v="0"/>
    <m/>
    <m/>
    <n v="25501507"/>
    <n v="4242501751"/>
    <d v="2025-12-06T00:00:00"/>
    <n v="4"/>
    <d v="2025-12-30T00:00:00"/>
  </r>
  <r>
    <x v="2"/>
    <s v="MIHIR"/>
    <s v="EUGIA PHARMA SPECIALITIES LTD-"/>
    <s v="EUGIA PHARMA SPECIALITIES LTD-"/>
    <n v="50105704"/>
    <s v="N-OPEN RSP-30mcl WHT NEW(L)-ET"/>
    <n v="11000"/>
    <n v="1.61"/>
    <n v="17710"/>
    <x v="0"/>
    <m/>
    <m/>
    <n v="25501507"/>
    <n v="4242501751"/>
    <d v="2025-12-06T00:00:00"/>
    <n v="5"/>
    <d v="2025-12-30T00:00:00"/>
  </r>
  <r>
    <x v="4"/>
    <s v="PRIYANK"/>
    <s v="Lupin Limited"/>
    <s v="LUPIN LIMITED - Aurangabad"/>
    <n v="50101361"/>
    <s v="CR-33MM CRIII HS 123/035 (BLK)"/>
    <n v="34000"/>
    <n v="2.6"/>
    <n v="88400"/>
    <x v="0"/>
    <m/>
    <m/>
    <n v="25501477"/>
    <n v="3000452093"/>
    <d v="2025-12-03T00:00:00"/>
    <n v="1"/>
    <d v="2026-01-12T00:00:00"/>
  </r>
  <r>
    <x v="0"/>
    <s v="PRIYANK"/>
    <s v="Lupin Limited"/>
    <s v="LUPIN LIMITED-GOA"/>
    <n v="50113729"/>
    <s v="CR-28-WHT1-HSP-001/35SFYP(BLK)"/>
    <n v="180000"/>
    <n v="2.42"/>
    <n v="435600"/>
    <x v="0"/>
    <m/>
    <m/>
    <n v="25501232"/>
    <n v="3000449603"/>
    <d v="2025-10-28T00:00:00"/>
    <n v="1"/>
    <d v="2026-01-10T00:00:00"/>
  </r>
  <r>
    <x v="0"/>
    <s v="PRIYANK"/>
    <s v="Lupin Limited"/>
    <s v="LUPIN LIMITED - MANDIDEEP-ORAL"/>
    <n v="50110828"/>
    <s v="CR-28-WHT1-FSLE1-13/035BLK-MAS"/>
    <n v="360000"/>
    <n v="2.72"/>
    <n v="979200.00000000012"/>
    <x v="0"/>
    <m/>
    <m/>
    <n v="25501410"/>
    <n v="3000450978"/>
    <d v="2025-11-25T00:00:00"/>
    <n v="1"/>
    <d v="2025-12-25T00:00:00"/>
  </r>
  <r>
    <x v="0"/>
    <s v="PRIYANK"/>
    <s v="Lupin Limited"/>
    <s v="LUPIN LIMITED - MANDIDEEP-ORAL"/>
    <n v="50110828"/>
    <s v="CR-28-WHT1-FSLE1-13/035BLK-MAS"/>
    <n v="360000"/>
    <n v="2.72"/>
    <n v="979200.00000000012"/>
    <x v="0"/>
    <m/>
    <m/>
    <n v="25501411"/>
    <n v="3000450979"/>
    <d v="2025-11-25T00:00:00"/>
    <n v="1"/>
    <d v="2025-12-25T00:00:00"/>
  </r>
  <r>
    <x v="5"/>
    <s v="PRIYANK"/>
    <s v="PIRAMAL PHARMA LTD"/>
    <s v="PIRAMAL PHARMA LTD"/>
    <n v="50115862"/>
    <s v="SEVO 3.1 - ASSEMBLY"/>
    <n v="16632"/>
    <n v="85.78"/>
    <n v="1426692.96"/>
    <x v="0"/>
    <m/>
    <s v="SHIPPED"/>
    <n v="25501519"/>
    <n v="4700000605"/>
    <d v="2025-12-10T00:00:00"/>
    <n v="2.1"/>
    <d v="2026-02-28T00:00:00"/>
  </r>
  <r>
    <x v="5"/>
    <s v="PRIYANK"/>
    <s v="PIRAMAL PHARMA LTD"/>
    <s v="PIRAMAL PHARMA LTD"/>
    <n v="50115862"/>
    <s v="SEVO 3.1 - ASSEMBLY"/>
    <n v="8368"/>
    <n v="85.78"/>
    <n v="717807.04"/>
    <x v="0"/>
    <m/>
    <m/>
    <n v="25501519"/>
    <n v="4700000605"/>
    <d v="2025-12-10T00:00:00"/>
    <n v="2.1"/>
    <d v="2026-02-28T00:00:00"/>
  </r>
  <r>
    <x v="5"/>
    <s v="PRIYANK"/>
    <s v="PIRAMAL PHARMA LTD"/>
    <s v="PIRAMAL PHARMA LTD"/>
    <n v="50115862"/>
    <s v="SEVO 3.1 - ASSEMBLY"/>
    <n v="25000"/>
    <n v="85.78"/>
    <n v="2144500"/>
    <x v="0"/>
    <m/>
    <m/>
    <n v="25501519"/>
    <n v="4700000605"/>
    <d v="2025-12-10T00:00:00"/>
    <n v="2.1"/>
    <d v="2026-02-28T00:00:00"/>
  </r>
  <r>
    <x v="3"/>
    <s v="PRIYANK"/>
    <s v="CADILA PHARMACEUTICALS LIMITED"/>
    <s v="CADILA PHARMACEUTICALS LIMITED"/>
    <n v="50082077"/>
    <s v="N-BLOCK RG NATURAL (L)-GS"/>
    <n v="5000"/>
    <n v="0.26"/>
    <n v="1300"/>
    <x v="0"/>
    <m/>
    <m/>
    <n v="25501522"/>
    <n v="2500244134"/>
    <d v="2025-12-10T00:00:00"/>
    <n v="2"/>
    <d v="2026-01-14T00:00:00"/>
  </r>
  <r>
    <x v="1"/>
    <s v="PRIYANK"/>
    <s v="CIPLA LTD."/>
    <s v="PURE &amp; CURE HEALTHCARE PVT LTD"/>
    <n v="50081723"/>
    <s v="C-TAMPSAFE RSP WHITE (H)-GS"/>
    <n v="80000"/>
    <n v="1.49"/>
    <n v="119200"/>
    <x v="0"/>
    <m/>
    <m/>
    <n v="25501524"/>
    <n v="4510685276"/>
    <d v="2025-12-10T00:00:00"/>
    <n v="1"/>
    <d v="2025-12-25T00:00:00"/>
  </r>
  <r>
    <x v="1"/>
    <s v="PRIYANK"/>
    <s v="CIPLA LTD."/>
    <s v="PURE &amp; CURE HEALTHCARE PVT LTD"/>
    <n v="50081840"/>
    <s v="N-OPEN RSP NATURAL(L)-GS"/>
    <n v="80000"/>
    <n v="1.1599999999999999"/>
    <n v="92800"/>
    <x v="0"/>
    <m/>
    <m/>
    <n v="25501525"/>
    <n v="4510685274"/>
    <d v="2025-12-10T00:00:00"/>
    <n v="1"/>
    <d v="2025-12-25T00:00:00"/>
  </r>
  <r>
    <x v="3"/>
    <s v="SAGAR"/>
    <s v="AKUMS DRUGS &amp; PHARMACEUTICALS"/>
    <s v="Akums Drugs &amp; Pharmaceuticals"/>
    <n v="50081867"/>
    <s v="B-5ML EX. RG WHITE (L)-ET"/>
    <n v="39000"/>
    <n v="1.73"/>
    <n v="67470"/>
    <x v="0"/>
    <m/>
    <s v="SHIPPED"/>
    <n v="25501534"/>
    <n v="7600053059"/>
    <d v="2025-12-11T00:00:00"/>
    <n v="4"/>
    <d v="2026-01-11T00:00:00"/>
  </r>
  <r>
    <x v="3"/>
    <s v="SAGAR"/>
    <s v="AKUMS DRUGS &amp; PHARMACEUTICALS"/>
    <s v="Akums Drugs &amp; Pharmaceuticals"/>
    <n v="50082012"/>
    <s v="C-DOUBLESAFE WHITE NX (H)-ET"/>
    <n v="42000"/>
    <n v="0.81"/>
    <n v="34020"/>
    <x v="0"/>
    <m/>
    <s v="SHIPPED"/>
    <n v="25501534"/>
    <n v="7600053059"/>
    <d v="2025-12-11T00:00:00"/>
    <n v="5"/>
    <d v="2026-01-11T00:00:00"/>
  </r>
  <r>
    <x v="3"/>
    <s v="SAGAR"/>
    <s v="AKUMS DRUGS &amp; PHARMACEUTICALS"/>
    <s v="Akums Drugs &amp; Pharmaceuticals"/>
    <n v="50082078"/>
    <s v="N-BLOCK RG NATURAL (L)-ET"/>
    <n v="40000"/>
    <n v="0.46"/>
    <n v="18400"/>
    <x v="0"/>
    <m/>
    <s v="SHIPPED"/>
    <n v="25501534"/>
    <n v="7600053059"/>
    <d v="2025-12-11T00:00:00"/>
    <n v="6"/>
    <d v="2026-01-11T00:00:00"/>
  </r>
  <r>
    <x v="3"/>
    <s v="MIHIR"/>
    <s v="STERICON PHARMA PVT LTD"/>
    <s v="STERICON PHARMA PVT LTD"/>
    <n v="50110679"/>
    <s v="B-10ML RG WHITE 16C (L)-GS"/>
    <n v="426400"/>
    <n v="1.92"/>
    <n v="818688"/>
    <x v="4"/>
    <m/>
    <m/>
    <n v="25501535"/>
    <n v="4521003576"/>
    <d v="2025-12-11T00:00:00"/>
    <n v="1"/>
    <d v="2026-01-20T00:00:00"/>
  </r>
  <r>
    <x v="3"/>
    <s v="MIHIR"/>
    <s v="STERICON PHARMA PVT LTD"/>
    <s v="STERICON PHARMA PVT LTD"/>
    <n v="50081903"/>
    <s v="C-TAMPSAFE SS(R) WHITE(H)-GS"/>
    <n v="426400"/>
    <n v="0.72"/>
    <n v="307008"/>
    <x v="4"/>
    <m/>
    <m/>
    <n v="25501535"/>
    <n v="4521003576"/>
    <d v="2025-12-11T00:00:00"/>
    <n v="2"/>
    <d v="2026-01-20T00:00:00"/>
  </r>
  <r>
    <x v="3"/>
    <s v="MIHIR"/>
    <s v="STERICON PHARMA PVT LTD"/>
    <s v="STERICON PHARMA PVT LTD"/>
    <n v="50082096"/>
    <s v="N-OPEN RG NATURAL 64C(L)-GS"/>
    <n v="426400"/>
    <n v="0.25"/>
    <n v="106600"/>
    <x v="4"/>
    <m/>
    <m/>
    <n v="25501535"/>
    <n v="4521003576"/>
    <d v="2025-12-11T00:00:00"/>
    <n v="3"/>
    <d v="2026-01-20T00:00:00"/>
  </r>
  <r>
    <x v="2"/>
    <s v="PRIYANK"/>
    <s v="Alembic Pharmaceuticals Ltd,Fo"/>
    <s v="Alembic Pharmaceuticals Ltd,Fo"/>
    <n v="50114358"/>
    <s v="B-5ML RSP WHITE R2 48C(L)-GS"/>
    <n v="100000"/>
    <n v="2.8"/>
    <n v="280000"/>
    <x v="0"/>
    <m/>
    <m/>
    <n v="25501536"/>
    <n v="3100130424"/>
    <d v="2025-12-11T00:00:00"/>
    <n v="1"/>
    <d v="2026-02-10T00:00:00"/>
  </r>
  <r>
    <x v="2"/>
    <s v="PRIYANK"/>
    <s v="Alembic Pharmaceuticals Ltd,Fo"/>
    <s v="Alembic Pharmaceuticals Ltd,Fo"/>
    <n v="50091672"/>
    <s v="B-10ML RSP WHITE R2 (L)-GS"/>
    <n v="200000"/>
    <n v="3.31"/>
    <n v="662000"/>
    <x v="0"/>
    <m/>
    <m/>
    <n v="25501536"/>
    <n v="3100130424"/>
    <d v="2025-12-11T00:00:00"/>
    <n v="2"/>
    <d v="2026-02-10T00:00:00"/>
  </r>
  <r>
    <x v="2"/>
    <s v="PRIYANK"/>
    <s v="Alembic Pharmaceuticals Ltd,Fo"/>
    <s v="Alembic Pharmaceuticals Ltd,Fo"/>
    <n v="50114041"/>
    <s v="C-TS RSP BLUE R2 2.0 64C-GS"/>
    <n v="200000"/>
    <n v="2.37"/>
    <n v="474000"/>
    <x v="0"/>
    <m/>
    <m/>
    <n v="25501536"/>
    <n v="3100130424"/>
    <d v="2025-12-11T00:00:00"/>
    <n v="3"/>
    <d v="2026-02-10T00:00:00"/>
  </r>
  <r>
    <x v="2"/>
    <s v="PRIYANK"/>
    <s v="Alembic Pharmaceuticals Ltd,Fo"/>
    <s v="Alembic Pharmaceuticals Ltd,Fo"/>
    <n v="50114341"/>
    <s v="N-OPEN RSP WHITE 64C(L)-GS"/>
    <n v="300000"/>
    <n v="2.4300000000000002"/>
    <n v="729000"/>
    <x v="0"/>
    <m/>
    <m/>
    <n v="25501536"/>
    <n v="3100130424"/>
    <d v="2025-12-11T00:00:00"/>
    <n v="4"/>
    <d v="2026-02-10T00:00:00"/>
  </r>
  <r>
    <x v="2"/>
    <s v="PRIYANK"/>
    <s v="FLAGSHIP BIOTECH INTERNATIONAL"/>
    <s v="DIVINE LABORATORIES PVT  LTD"/>
    <n v="50114358"/>
    <s v="B-5ML RSP WHITE R2 48C(L)-GS"/>
    <n v="2500"/>
    <n v="2.98"/>
    <n v="7450"/>
    <x v="0"/>
    <m/>
    <m/>
    <n v="25501537"/>
    <s v="FBIPL-R/PM/25-26_0008"/>
    <d v="2025-12-11T00:00:00"/>
    <n v="1"/>
    <d v="2026-01-11T00:00:00"/>
  </r>
  <r>
    <x v="2"/>
    <s v="PRIYANK"/>
    <s v="FLAGSHIP BIOTECH INTERNATIONAL"/>
    <s v="DIVINE LABORATORIES PVT  LTD"/>
    <n v="50091672"/>
    <s v="B-10ML RSP WHITE R2 (L)-GS"/>
    <n v="1500"/>
    <n v="3.41"/>
    <n v="5115"/>
    <x v="0"/>
    <m/>
    <m/>
    <n v="25501537"/>
    <s v="FBIPL-R/PM/25-26_0008"/>
    <d v="2025-12-11T00:00:00"/>
    <n v="2"/>
    <d v="2026-01-11T00:00:00"/>
  </r>
  <r>
    <x v="2"/>
    <s v="PRIYANK"/>
    <s v="FLAGSHIP BIOTECH INTERNATIONAL"/>
    <s v="DIVINE LABORATORIES PVT  LTD"/>
    <n v="50092554"/>
    <s v="B-15ML RSP WHITE R2 (L)-GS"/>
    <n v="500"/>
    <n v="4.7"/>
    <n v="2350"/>
    <x v="0"/>
    <m/>
    <m/>
    <n v="25501537"/>
    <s v="FBIPL-R/PM/25-26_0008"/>
    <d v="2025-12-11T00:00:00"/>
    <n v="3"/>
    <d v="2026-01-11T00:00:00"/>
  </r>
  <r>
    <x v="2"/>
    <s v="PRIYANK"/>
    <s v="FLAGSHIP BIOTECH INTERNATIONAL"/>
    <s v="DIVINE LABORATORIES PVT  LTD"/>
    <n v="50113738"/>
    <s v="C-TS RSP R2 2.0 WHT 64C (H)-GS"/>
    <n v="4500"/>
    <n v="2.4900000000000002"/>
    <n v="11205.000000000002"/>
    <x v="0"/>
    <m/>
    <m/>
    <n v="25501537"/>
    <s v="FBIPL-R/PM/25-26_0008"/>
    <d v="2025-12-11T00:00:00"/>
    <n v="4"/>
    <d v="2026-01-11T00:00:00"/>
  </r>
  <r>
    <x v="2"/>
    <s v="PRIYANK"/>
    <s v="FLAGSHIP BIOTECH INTERNATIONAL"/>
    <s v="DIVINE LABORATORIES PVT  LTD"/>
    <n v="50113649"/>
    <s v="N-OPEN RSP NATURAL-64C(L)-GS"/>
    <n v="4500"/>
    <n v="2.37"/>
    <n v="10665"/>
    <x v="0"/>
    <m/>
    <m/>
    <n v="25501537"/>
    <s v="FBIPL-R/PM/25-26_0008"/>
    <d v="2025-12-11T00:00:00"/>
    <n v="5"/>
    <d v="2026-01-11T00:00:00"/>
  </r>
  <r>
    <x v="3"/>
    <s v="PRIYANK"/>
    <s v="CIRON DRUGS &amp; PHARMACEUTICALS"/>
    <s v="CIRON DRUGS &amp; PHARMACEUTICALS"/>
    <n v="50081866"/>
    <s v="B-5ML EX. RG WHITE (L)-GS"/>
    <n v="80200"/>
    <n v="1.48"/>
    <n v="118696"/>
    <x v="0"/>
    <m/>
    <s v="SHIPPED"/>
    <n v="25501539"/>
    <s v="C1/PM/E/44474-A1"/>
    <d v="2025-12-11T00:00:00"/>
    <n v="1"/>
    <d v="2026-01-11T00:00:00"/>
  </r>
  <r>
    <x v="3"/>
    <s v="PRIYANK"/>
    <s v="CIRON DRUGS &amp; PHARMACEUTICALS"/>
    <s v="CIRON DRUGS &amp; PHARMACEUTICALS"/>
    <n v="50082011"/>
    <s v="C-DOUBLESAFE WHITE NX (H)-GS"/>
    <n v="80200"/>
    <n v="0.6"/>
    <n v="48120"/>
    <x v="0"/>
    <m/>
    <s v="SHIPPED"/>
    <n v="25501539"/>
    <s v="C1/PM/E/44474-A1"/>
    <d v="2025-12-11T00:00:00"/>
    <n v="2"/>
    <d v="2026-01-11T00:00:00"/>
  </r>
  <r>
    <x v="3"/>
    <s v="PRIYANK"/>
    <s v="CIRON DRUGS &amp; PHARMACEUTICALS"/>
    <s v="CIRON DRUGS &amp; PHARMACEUTICALS"/>
    <n v="50105010"/>
    <s v="N-BLOCK RG WHITE-3R (L)-GS"/>
    <n v="80200"/>
    <n v="0.27"/>
    <n v="21654"/>
    <x v="0"/>
    <m/>
    <s v="SHIPPED"/>
    <n v="25501539"/>
    <s v="C1/PM/E/44474-A1"/>
    <d v="2025-12-11T00:00:00"/>
    <n v="3"/>
    <d v="2026-01-11T00:00:00"/>
  </r>
  <r>
    <x v="0"/>
    <s v="PRIYANK"/>
    <s v="Lupin Limited"/>
    <s v="LUPIN  LIMITED- Nagpur- SEZ- 6"/>
    <n v="50110016"/>
    <s v="CR-33MM HS123/035-(P-BLK)-1"/>
    <n v="210000"/>
    <n v="2.86"/>
    <n v="600600"/>
    <x v="0"/>
    <m/>
    <m/>
    <n v="25501614"/>
    <n v="3000452945"/>
    <d v="2025-12-19T00:00:00"/>
    <n v="1"/>
    <d v="2026-02-10T00:00:00"/>
  </r>
  <r>
    <x v="1"/>
    <s v="PRIYANK"/>
    <s v="CIPLA LTD."/>
    <s v="PURE &amp; CURE HEALTHCARE PVT LTD"/>
    <n v="50115491"/>
    <s v="B-5ML RSP WHT 48C(L).-GS"/>
    <n v="80000"/>
    <n v="2.6"/>
    <n v="208000"/>
    <x v="0"/>
    <m/>
    <m/>
    <n v="25501546"/>
    <n v="4510685628"/>
    <d v="2025-12-12T00:00:00"/>
    <n v="1"/>
    <d v="2025-12-25T00:00:00"/>
  </r>
  <r>
    <x v="0"/>
    <s v="PRIYANK"/>
    <s v="Lupin Limited"/>
    <s v="LUPIN LIMITED-PUNE R&amp;D"/>
    <n v="50110828"/>
    <s v="CR-28-WHT1-FSLE1-13/035BLK-MAS"/>
    <n v="1000"/>
    <n v="2.72"/>
    <n v="2720"/>
    <x v="0"/>
    <m/>
    <m/>
    <n v="25501650"/>
    <n v="3000453488"/>
    <d v="2025-12-23T00:00:00"/>
    <n v="1"/>
    <d v="2026-01-05T00:00:00"/>
  </r>
  <r>
    <x v="3"/>
    <s v="MIHIR"/>
    <s v="JUGGAT PHARMA"/>
    <s v="JUGGAT PHARMA"/>
    <n v="50110678"/>
    <s v="B-10ML RG WHITE 16C (L)-NS"/>
    <n v="60000"/>
    <n v="2.2400000000000002"/>
    <n v="134400"/>
    <x v="0"/>
    <m/>
    <s v="SHIPPED"/>
    <n v="25501553"/>
    <s v="MJP/2526/POS/PPM/00217"/>
    <d v="2025-12-13T00:00:00"/>
    <n v="1"/>
    <d v="2026-01-25T00:00:00"/>
  </r>
  <r>
    <x v="3"/>
    <s v="MIHIR"/>
    <s v="JUGGAT PHARMA"/>
    <s v="JUGGAT PHARMA"/>
    <n v="50081601"/>
    <s v="C-TAMPSAFE SS(R)U.BLUE(H)-NS"/>
    <n v="60000"/>
    <n v="0.53"/>
    <n v="31800"/>
    <x v="0"/>
    <m/>
    <s v="SHIPPED"/>
    <n v="25501553"/>
    <s v="MJP/2526/POS/PPM/00217"/>
    <d v="2025-12-13T00:00:00"/>
    <n v="2"/>
    <d v="2026-01-25T00:00:00"/>
  </r>
  <r>
    <x v="3"/>
    <s v="MIHIR"/>
    <s v="JUGGAT PHARMA"/>
    <s v="JUGGAT PHARMA"/>
    <n v="50082095"/>
    <s v="N-OPEN RG NATURAL 64C(L)-NS"/>
    <n v="60000"/>
    <n v="0.15"/>
    <n v="9000"/>
    <x v="0"/>
    <m/>
    <s v="SHIPPED"/>
    <n v="25501553"/>
    <s v="MJP/2526/POS/PPM/00217"/>
    <d v="2025-12-13T00:00:00"/>
    <n v="3"/>
    <d v="2026-01-25T00:00:00"/>
  </r>
  <r>
    <x v="2"/>
    <s v="PRIYANK"/>
    <s v="AMNEAL PHARMACEUTICALS PVT LTD"/>
    <s v="AMNEAL PHARMACEUTICALS PVT LTD"/>
    <n v="50114359"/>
    <s v="B-5ML RSP WHITE R2 48C(L)-ET"/>
    <n v="288000"/>
    <n v="2.87"/>
    <n v="826560"/>
    <x v="0"/>
    <m/>
    <m/>
    <n v="25501554"/>
    <s v="OP-25000385"/>
    <d v="2025-12-13T00:00:00"/>
    <n v="1.1000000000000001"/>
    <d v="2025-12-31T00:00:00"/>
  </r>
  <r>
    <x v="2"/>
    <s v="PRIYANK"/>
    <s v="AMNEAL PHARMACEUTICALS PVT LTD"/>
    <s v="AMNEAL PHARMACEUTICALS PVT LTD"/>
    <n v="50113739"/>
    <s v="C-TS RSP R2 2.0 WHT 64C (H)-ET"/>
    <n v="288000"/>
    <n v="2.4300000000000002"/>
    <n v="699840"/>
    <x v="0"/>
    <m/>
    <m/>
    <n v="25501554"/>
    <s v="OP-25000385"/>
    <d v="2025-12-13T00:00:00"/>
    <n v="2.1"/>
    <d v="2026-11-24T00:00:00"/>
  </r>
  <r>
    <x v="2"/>
    <s v="PRIYANK"/>
    <s v="AMNEAL PHARMACEUTICALS PVT LTD"/>
    <s v="AMNEAL PHARMACEUTICALS PVT LTD"/>
    <n v="50114342"/>
    <s v="N-OPEN RSP WHITE 64C(L)-ET"/>
    <n v="288000"/>
    <n v="2.35"/>
    <n v="676800"/>
    <x v="0"/>
    <m/>
    <m/>
    <n v="25501554"/>
    <s v="OP-25000385"/>
    <d v="2025-12-13T00:00:00"/>
    <n v="3.1"/>
    <d v="2026-11-24T00:00:00"/>
  </r>
  <r>
    <x v="1"/>
    <s v="PRIYANK"/>
    <s v="SUN PHARMACEUTICAL MEDICARE LI"/>
    <s v="SUN PHARMACEUTICAL MEDICARE LI"/>
    <n v="50081939"/>
    <s v="N-OPEN RSP WHITE (L)-ET"/>
    <n v="650000"/>
    <n v="0.44"/>
    <n v="286000"/>
    <x v="0"/>
    <m/>
    <m/>
    <n v="25501556"/>
    <n v="9300791075"/>
    <d v="2025-12-13T00:00:00"/>
    <n v="1"/>
    <d v="2025-12-31T00:00:00"/>
  </r>
  <r>
    <x v="1"/>
    <s v="PRIYANK"/>
    <s v="SUN PHARMACEUTICAL MEDICARE LI"/>
    <s v="SUN PHARMACEUTICAL MEDICARE LI"/>
    <n v="50081724"/>
    <s v="C-TAMPSAFE RSP WHITE (H)-ET"/>
    <n v="576100"/>
    <n v="1.1299999999999999"/>
    <n v="650992.99999999988"/>
    <x v="0"/>
    <m/>
    <m/>
    <n v="25501556"/>
    <n v="9300791075"/>
    <d v="2025-12-13T00:00:00"/>
    <n v="2"/>
    <d v="2025-12-31T00:00:00"/>
  </r>
  <r>
    <x v="1"/>
    <s v="PRIYANK"/>
    <s v="SUN PHARMACEUTICAL INDUSTRIES"/>
    <s v="SUN PHARMACEUTICAL INDUSTRIES"/>
    <n v="50081938"/>
    <s v="N-OPEN RSP WHITE (L)-GS"/>
    <n v="27500"/>
    <n v="0.44"/>
    <n v="12100"/>
    <x v="0"/>
    <m/>
    <m/>
    <n v="25501559"/>
    <n v="9300792671"/>
    <d v="2025-12-13T00:00:00"/>
    <n v="1"/>
    <d v="2026-05-29T00:00:00"/>
  </r>
  <r>
    <x v="5"/>
    <s v="PRIYANK"/>
    <s v="UNIZA HEALTHCARE LLP"/>
    <s v="UNIZA HEALTHCARE LLP"/>
    <n v="50112952"/>
    <s v="DPI_CB(B-W)-SWASHALER"/>
    <n v="9996"/>
    <n v="66"/>
    <n v="659736"/>
    <x v="0"/>
    <m/>
    <s v="SHIPPED"/>
    <n v="25501560"/>
    <s v="100/25/5/345"/>
    <d v="2025-12-13T00:00:00"/>
    <n v="1"/>
    <d v="2025-12-31T00:00:00"/>
  </r>
  <r>
    <x v="3"/>
    <s v="PARTH"/>
    <s v="VIVIMED LABS LIMITED-HYD"/>
    <s v="VIVIMED LABS LIMITED-HYD"/>
    <n v="50081462"/>
    <s v="B-5ML EX. RG WHITE (L-F)-GS"/>
    <n v="60000"/>
    <n v="1.51"/>
    <n v="90600"/>
    <x v="3"/>
    <m/>
    <m/>
    <n v="25501561"/>
    <n v="4500043525"/>
    <d v="2025-12-13T00:00:00"/>
    <n v="4"/>
    <d v="2025-12-31T00:00:00"/>
  </r>
  <r>
    <x v="3"/>
    <s v="PARTH"/>
    <s v="VIVIMED LABS LIMITED-HYD"/>
    <s v="VIVIMED LABS LIMITED-HYD"/>
    <n v="50082011"/>
    <s v="C-DOUBLESAFE WHITE NX (H)-GS"/>
    <n v="60000"/>
    <n v="0.55000000000000004"/>
    <n v="33000"/>
    <x v="3"/>
    <m/>
    <m/>
    <n v="25501561"/>
    <n v="4500043525"/>
    <d v="2025-12-13T00:00:00"/>
    <n v="5"/>
    <d v="2025-12-31T00:00:00"/>
  </r>
  <r>
    <x v="3"/>
    <s v="PARTH"/>
    <s v="VIVIMED LABS LIMITED-HYD"/>
    <s v="VIVIMED LABS LIMITED-HYD"/>
    <n v="50081746"/>
    <s v="N-BLOCK RG WHITE (L-F)-GS"/>
    <n v="60000"/>
    <n v="0.42"/>
    <n v="25200"/>
    <x v="3"/>
    <m/>
    <m/>
    <n v="25501561"/>
    <n v="4500043525"/>
    <d v="2025-12-13T00:00:00"/>
    <n v="6"/>
    <d v="2025-12-31T00:00:00"/>
  </r>
  <r>
    <x v="3"/>
    <s v="SAGAR"/>
    <s v="PURE &amp; CURE HEALTHCARE PVT LTD"/>
    <s v="PURE &amp; CURE HEALTHCARE PVT LTD"/>
    <n v="50099313"/>
    <s v="B-10ML EX.RG O.GREEN 16C(L)-ET"/>
    <n v="100000"/>
    <n v="1.94"/>
    <n v="194000"/>
    <x v="0"/>
    <m/>
    <m/>
    <n v="25501562"/>
    <n v="4501243744"/>
    <d v="2025-12-15T00:00:00"/>
    <n v="4"/>
    <d v="2026-01-15T00:00:00"/>
  </r>
  <r>
    <x v="3"/>
    <s v="SAGAR"/>
    <s v="PURE &amp; CURE HEALTHCARE PVT LTD"/>
    <s v="PURE &amp; CURE HEALTHCARE PVT LTD"/>
    <n v="50081931"/>
    <s v="C-DOUBLESAFE NX O.GREEN (H)-ET"/>
    <n v="100000"/>
    <n v="0.78"/>
    <n v="78000"/>
    <x v="0"/>
    <m/>
    <m/>
    <n v="25501562"/>
    <n v="4501243744"/>
    <d v="2025-12-15T00:00:00"/>
    <n v="5"/>
    <d v="2026-01-15T00:00:00"/>
  </r>
  <r>
    <x v="3"/>
    <s v="PRIYANK"/>
    <s v="Sion Healthcare (SHL) Limited"/>
    <s v="Sion Healthcare (SHL) Limited"/>
    <n v="50081970"/>
    <s v="B-5ML &quot;I&quot; WHITE 6C (L)-GS"/>
    <n v="200000"/>
    <n v="1.66"/>
    <n v="332000"/>
    <x v="0"/>
    <m/>
    <s v="SHIPPED"/>
    <n v="25501563"/>
    <s v="POPM25261343"/>
    <d v="2025-12-15T00:00:00"/>
    <n v="1"/>
    <d v="2026-01-15T00:00:00"/>
  </r>
  <r>
    <x v="3"/>
    <s v="PRIYANK"/>
    <s v="Sion Healthcare (SHL) Limited"/>
    <s v="Sion Healthcare (SHL) Limited"/>
    <n v="50081808"/>
    <s v="C-TAMPSAFE &quot;I&quot; WHITE (H)-GS"/>
    <n v="100000"/>
    <n v="0.61"/>
    <n v="61000"/>
    <x v="0"/>
    <m/>
    <s v="SHIPPED"/>
    <n v="25501563"/>
    <s v="POPM25261343"/>
    <d v="2025-12-15T00:00:00"/>
    <n v="2"/>
    <d v="2026-01-15T00:00:00"/>
  </r>
  <r>
    <x v="3"/>
    <s v="PRIYANK"/>
    <s v="Sion Healthcare (SHL) Limited"/>
    <s v="Sion Healthcare (SHL) Limited"/>
    <n v="50111939"/>
    <s v="N-OPEN &quot;I&quot; NAT NEW 48C (L)-GS"/>
    <n v="275000"/>
    <n v="0.26"/>
    <n v="71500"/>
    <x v="0"/>
    <m/>
    <s v="SHIPPED"/>
    <n v="25501563"/>
    <s v="POPM25261343"/>
    <d v="2025-12-15T00:00:00"/>
    <n v="3"/>
    <d v="2026-01-15T00:00:00"/>
  </r>
  <r>
    <x v="3"/>
    <s v="PRIYANK"/>
    <s v="Sion Healthcare (SHL) Limited"/>
    <s v="Sion Healthcare (SHL) Limited"/>
    <n v="50111525"/>
    <s v="B-10ML &quot;I&quot;O.GRN91151-16C(L)-GS"/>
    <n v="100000"/>
    <n v="2.27"/>
    <n v="227000"/>
    <x v="0"/>
    <m/>
    <s v="SHIPPED"/>
    <n v="25501563"/>
    <s v="POPM25261343"/>
    <d v="2025-12-15T00:00:00"/>
    <n v="4"/>
    <d v="2026-01-15T00:00:00"/>
  </r>
  <r>
    <x v="3"/>
    <s v="PRIYANK"/>
    <s v="Sion Healthcare (SHL) Limited"/>
    <s v="Sion Healthcare (SHL) Limited"/>
    <n v="50111525"/>
    <s v="B-10ML &quot;I&quot;O.GRN91151-16C(L)-GS"/>
    <n v="100000"/>
    <n v="2.27"/>
    <n v="227000"/>
    <x v="0"/>
    <m/>
    <s v="SHIPPED"/>
    <n v="25501563"/>
    <s v="POPM25261343"/>
    <d v="2025-12-15T00:00:00"/>
    <n v="4"/>
    <d v="2026-01-15T00:00:00"/>
  </r>
  <r>
    <x v="3"/>
    <s v="PRIYANK"/>
    <s v="Sion Healthcare (SHL) Limited"/>
    <s v="Sion Healthcare (SHL) Limited"/>
    <n v="50103503"/>
    <s v="B-5ML &quot;I&quot; O GREEN (L)-GS"/>
    <n v="100000"/>
    <n v="2.08"/>
    <n v="208000"/>
    <x v="0"/>
    <m/>
    <s v="SHIPPED"/>
    <n v="25501563"/>
    <s v="POPM25261343"/>
    <d v="2025-12-15T00:00:00"/>
    <n v="5"/>
    <d v="2026-01-15T00:00:00"/>
  </r>
  <r>
    <x v="3"/>
    <s v="PRIYANK"/>
    <s v="Sion Healthcare (SHL) Limited"/>
    <s v="Sion Healthcare (SHL) Limited"/>
    <n v="50082373"/>
    <s v="C-TAMP SAFE&quot;I&quot; O.GREEN-GS"/>
    <n v="100000"/>
    <n v="0.85"/>
    <n v="85000"/>
    <x v="0"/>
    <m/>
    <s v="SHIPPED"/>
    <n v="25501563"/>
    <s v="POPM25261343"/>
    <d v="2025-12-15T00:00:00"/>
    <n v="6"/>
    <d v="2026-01-15T00:00:00"/>
  </r>
  <r>
    <x v="3"/>
    <s v="PRIYANK"/>
    <s v="Sion Healthcare (SHL) Limited"/>
    <s v="Sion Healthcare (SHL) Limited"/>
    <n v="50082373"/>
    <s v="C-TAMP SAFE&quot;I&quot; O.GREEN-GS"/>
    <n v="200000"/>
    <n v="0.85"/>
    <n v="170000"/>
    <x v="0"/>
    <m/>
    <s v="SHIPPED"/>
    <n v="25501563"/>
    <s v="POPM25261343"/>
    <d v="2025-12-15T00:00:00"/>
    <n v="6"/>
    <d v="2026-01-15T00:00:00"/>
  </r>
  <r>
    <x v="3"/>
    <s v="PRIYANK"/>
    <s v="Sion Healthcare (SHL) Limited"/>
    <s v="Sion Healthcare (SHL) Limited"/>
    <n v="50082375"/>
    <s v="N-OPEN &quot;I&quot; O.GREEN (L)-GS"/>
    <n v="300000"/>
    <n v="0.5"/>
    <n v="150000"/>
    <x v="0"/>
    <m/>
    <s v="SHIPPED"/>
    <n v="25501563"/>
    <s v="POPM25261343"/>
    <d v="2025-12-15T00:00:00"/>
    <n v="7"/>
    <d v="2026-01-15T00:00:00"/>
  </r>
  <r>
    <x v="3"/>
    <s v="PRIYANK"/>
    <s v="INDOCO REMEDIES LTD - WALUJ"/>
    <s v="INDOCO REMEDIES LTD - WALUJ"/>
    <n v="50110675"/>
    <s v="B-10ML RG NATURAL 16C (L)-NS"/>
    <n v="30000"/>
    <n v="1.4"/>
    <n v="42000"/>
    <x v="0"/>
    <m/>
    <m/>
    <n v="25501569"/>
    <n v="4500087293"/>
    <d v="2025-12-15T00:00:00"/>
    <n v="1"/>
    <d v="2026-01-10T00:00:00"/>
  </r>
  <r>
    <x v="3"/>
    <s v="PRIYANK"/>
    <s v="INDOCO REMEDIES LTD - WALUJ"/>
    <s v="INDOCO REMEDIES LTD - WALUJ"/>
    <n v="50081902"/>
    <s v="C-TAMPSAFE SS(R) WHITE(H)-NS"/>
    <n v="30000"/>
    <n v="0.41"/>
    <n v="12300"/>
    <x v="0"/>
    <m/>
    <m/>
    <n v="25501569"/>
    <n v="4500087293"/>
    <d v="2025-12-15T00:00:00"/>
    <n v="2"/>
    <d v="2026-01-10T00:00:00"/>
  </r>
  <r>
    <x v="3"/>
    <s v="PRIYANK"/>
    <s v="INDOCO REMEDIES LTD - WALUJ"/>
    <s v="INDOCO REMEDIES LTD - WALUJ"/>
    <n v="50082095"/>
    <s v="N-OPEN RG NATURAL 64C(L)-NS"/>
    <n v="30000"/>
    <n v="0.13"/>
    <n v="3900"/>
    <x v="0"/>
    <m/>
    <m/>
    <n v="25501569"/>
    <n v="4500087293"/>
    <d v="2025-12-15T00:00:00"/>
    <n v="3"/>
    <d v="2026-01-10T00:00:00"/>
  </r>
  <r>
    <x v="1"/>
    <s v="PRIYANK"/>
    <s v="ZYDUS LIFESCIENCES LTD-MORAIYA"/>
    <s v="AMANTA HEALTHCARE LIMITED"/>
    <n v="50114367"/>
    <s v="B-5ML RSP WHITE 48C(L)-GS"/>
    <n v="59800"/>
    <n v="3.1"/>
    <n v="185380"/>
    <x v="0"/>
    <m/>
    <m/>
    <n v="25501570"/>
    <n v="4100014373"/>
    <d v="2025-12-15T00:00:00"/>
    <n v="1"/>
    <d v="2026-03-18T00:00:00"/>
  </r>
  <r>
    <x v="1"/>
    <s v="PRIYANK"/>
    <s v="ZYDUS LIFESCIENCES LTD-MORAIYA"/>
    <s v="AMANTA HEALTHCARE LIMITED"/>
    <n v="50114367"/>
    <s v="B-5ML RSP WHITE 48C(L)-GS"/>
    <n v="200"/>
    <n v="3.1"/>
    <n v="620"/>
    <x v="0"/>
    <m/>
    <m/>
    <n v="25501570"/>
    <n v="4100014373"/>
    <d v="2025-12-15T00:00:00"/>
    <n v="2"/>
    <d v="2026-03-18T00:00:00"/>
  </r>
  <r>
    <x v="1"/>
    <s v="PRIYANK"/>
    <s v="ZYDUS LIFESCIENCES LTD-MORAIYA"/>
    <s v="AMANTA HEALTHCARE LIMITED"/>
    <n v="50081723"/>
    <s v="C-TAMPSAFE RSP WHITE (H)-GS"/>
    <n v="100000"/>
    <n v="0.96"/>
    <n v="96000"/>
    <x v="0"/>
    <m/>
    <m/>
    <n v="25501570"/>
    <n v="4100014373"/>
    <d v="2025-12-15T00:00:00"/>
    <n v="3"/>
    <d v="2026-03-18T00:00:00"/>
  </r>
  <r>
    <x v="1"/>
    <s v="PRIYANK"/>
    <s v="ZYDUS LIFESCIENCES LTD-MORAIYA"/>
    <s v="AMANTA HEALTHCARE LIMITED"/>
    <n v="50081723"/>
    <s v="C-TAMPSAFE RSP WHITE (H)-GS"/>
    <n v="200"/>
    <n v="0.96"/>
    <n v="192"/>
    <x v="0"/>
    <m/>
    <m/>
    <n v="25501570"/>
    <n v="4100014373"/>
    <d v="2025-12-15T00:00:00"/>
    <n v="4"/>
    <d v="2026-03-18T00:00:00"/>
  </r>
  <r>
    <x v="2"/>
    <s v="MIHIR"/>
    <s v="EUGIA PHARMA SPECIALITIES LTD-"/>
    <s v="EUGIA PHARMA SPECIALITIES LTD-"/>
    <n v="50113556"/>
    <s v=" B-7ML RSP R2 WHITE (L)-ET"/>
    <n v="10000"/>
    <n v="3.45"/>
    <n v="34500"/>
    <x v="0"/>
    <m/>
    <m/>
    <n v="25501571"/>
    <n v="4242501790"/>
    <d v="2025-12-15T00:00:00"/>
    <n v="1"/>
    <d v="2026-01-15T00:00:00"/>
  </r>
  <r>
    <x v="2"/>
    <s v="MIHIR"/>
    <s v="EUGIA PHARMA SPECIALITIES LTD-"/>
    <s v="EUGIA PHARMA SPECIALITIES LTD-"/>
    <n v="50105704"/>
    <s v="N-OPEN RSP-30mcl WHT NEW(L)-ET"/>
    <n v="5000"/>
    <n v="1.61"/>
    <n v="8050.0000000000009"/>
    <x v="0"/>
    <m/>
    <m/>
    <n v="25501571"/>
    <n v="4242501790"/>
    <d v="2025-12-15T00:00:00"/>
    <n v="2"/>
    <d v="2026-01-15T00:00:00"/>
  </r>
  <r>
    <x v="2"/>
    <s v="MIHIR"/>
    <s v="EUGIA PHARMA SPECIALITIES LTD-"/>
    <s v="EUGIA PHARMA SPECIALITIES LTD-"/>
    <n v="50091632"/>
    <s v="B-10ML RSP NATURAL R2 (L)-ET"/>
    <n v="135000"/>
    <n v="3.63"/>
    <n v="490050"/>
    <x v="0"/>
    <m/>
    <s v="SHIPPED"/>
    <n v="25501572"/>
    <n v="4142510363"/>
    <d v="2025-12-15T00:00:00"/>
    <n v="1"/>
    <d v="2026-01-15T00:00:00"/>
  </r>
  <r>
    <x v="2"/>
    <s v="MIHIR"/>
    <s v="EUGIA PHARMA SPECIALITIES LTD-"/>
    <s v="EUGIA PHARMA SPECIALITIES LTD-"/>
    <n v="50113739"/>
    <s v="C-TS RSP R2 2.0 WHT 64C (H)-ET"/>
    <n v="350000"/>
    <n v="1.86"/>
    <n v="651000"/>
    <x v="0"/>
    <m/>
    <m/>
    <n v="25501572"/>
    <n v="4142510363"/>
    <d v="2025-12-15T00:00:00"/>
    <n v="2"/>
    <d v="2026-01-15T00:00:00"/>
  </r>
  <r>
    <x v="2"/>
    <s v="MIHIR"/>
    <s v="EUGIA PHARMA SPECIALITIES LTD-"/>
    <s v="EUGIA PHARMA SPECIALITIES LTD-"/>
    <n v="50101370"/>
    <s v="N-28mcl SUSPENSION NAT APL-ET"/>
    <n v="300000"/>
    <n v="3.73"/>
    <n v="1119000"/>
    <x v="0"/>
    <m/>
    <m/>
    <n v="25501572"/>
    <n v="4142510363"/>
    <d v="2025-12-15T00:00:00"/>
    <n v="3"/>
    <d v="2026-01-15T00:00:00"/>
  </r>
  <r>
    <x v="2"/>
    <s v="MIHIR"/>
    <s v="EUGIA PHARMA SPECIALITIES LTD-"/>
    <s v="EUGIA PHARMA SPECIALITIES LTD-"/>
    <n v="50091632"/>
    <s v="B-10ML RSP NATURAL R2 (L)-ET"/>
    <n v="100000"/>
    <n v="3.63"/>
    <n v="363000"/>
    <x v="0"/>
    <m/>
    <s v="SHIPPED"/>
    <n v="25501572"/>
    <n v="4142510363"/>
    <d v="2025-12-15T00:00:00"/>
    <n v="1"/>
    <d v="2026-01-15T00:00:00"/>
  </r>
  <r>
    <x v="2"/>
    <s v="MIHIR"/>
    <s v="EUGIA PHARMA SPECIALITIES LTD-"/>
    <s v="EUGIA PHARMA SPECIALITIES LTD-"/>
    <n v="50113739"/>
    <s v="C-TS RSP R2 2.0 WHT 64C (H)-ET"/>
    <n v="350000"/>
    <n v="1.86"/>
    <n v="651000"/>
    <x v="0"/>
    <m/>
    <s v="SHIPPED"/>
    <n v="25501572"/>
    <n v="4142510363"/>
    <d v="2025-12-15T00:00:00"/>
    <n v="2"/>
    <d v="2026-01-15T00:00:00"/>
  </r>
  <r>
    <x v="2"/>
    <s v="MIHIR"/>
    <s v="EUGIA PHARMA SPECIALITIES LTD-"/>
    <s v="EUGIA PHARMA SPECIALITIES LTD-"/>
    <n v="50101370"/>
    <s v="N-28mcl SUSPENSION NAT APL-ET"/>
    <n v="200000"/>
    <n v="3.73"/>
    <n v="746000"/>
    <x v="0"/>
    <m/>
    <s v="SHIPPED"/>
    <n v="25501572"/>
    <n v="4142510363"/>
    <d v="2025-12-15T00:00:00"/>
    <n v="3"/>
    <d v="2026-01-15T00:00:00"/>
  </r>
  <r>
    <x v="2"/>
    <s v="MIHIR"/>
    <s v="EUGIA PHARMA SPECIALITIES LTD-"/>
    <s v="EUGIA PHARMA SPECIALITIES LTD-"/>
    <n v="50091632"/>
    <s v="B-10ML RSP NATURAL R2 (L)-ET"/>
    <n v="100000"/>
    <n v="3.63"/>
    <n v="363000"/>
    <x v="0"/>
    <m/>
    <s v="SHIPPED"/>
    <n v="25501572"/>
    <n v="4142510363"/>
    <d v="2025-12-15T00:00:00"/>
    <n v="1"/>
    <d v="2026-01-15T00:00:00"/>
  </r>
  <r>
    <x v="2"/>
    <s v="MIHIR"/>
    <s v="EUGIA PHARMA SPECIALITIES LTD-"/>
    <s v="EUGIA PHARMA SPECIALITIES LTD-"/>
    <n v="50113739"/>
    <s v="C-TS RSP R2 2.0 WHT 64C (H)-ET"/>
    <n v="300000"/>
    <n v="1.86"/>
    <n v="558000"/>
    <x v="0"/>
    <m/>
    <m/>
    <n v="25501572"/>
    <n v="4142510363"/>
    <d v="2025-12-15T00:00:00"/>
    <n v="2"/>
    <d v="2026-01-15T00:00:00"/>
  </r>
  <r>
    <x v="2"/>
    <s v="MIHIR"/>
    <s v="EUGIA PHARMA SPECIALITIES LTD-"/>
    <s v="EUGIA PHARMA SPECIALITIES LTD-"/>
    <n v="50101370"/>
    <s v="N-28mcl SUSPENSION NAT APL-ET"/>
    <n v="240000"/>
    <n v="3.73"/>
    <n v="895200"/>
    <x v="3"/>
    <m/>
    <m/>
    <n v="25501572"/>
    <n v="4142510363"/>
    <d v="2025-12-15T00:00:00"/>
    <n v="3"/>
    <d v="2026-01-15T00:00:00"/>
  </r>
  <r>
    <x v="2"/>
    <s v="PRIYANK"/>
    <s v="INDOCO REMEDIES LTD"/>
    <s v="INDOCO REMEDIES LTD"/>
    <n v="50093242"/>
    <s v="B-5ML RSP R2 NAT. 1810E NEW-ET"/>
    <n v="400000"/>
    <n v="3.52"/>
    <n v="1408000"/>
    <x v="4"/>
    <m/>
    <m/>
    <n v="25501575"/>
    <n v="4500087088"/>
    <d v="2025-12-16T00:00:00"/>
    <n v="1"/>
    <d v="2026-02-01T00:00:00"/>
  </r>
  <r>
    <x v="2"/>
    <s v="PRIYANK"/>
    <s v="INDOCO REMEDIES LTD"/>
    <s v="INDOCO REMEDIES LTD"/>
    <n v="50096946"/>
    <s v="B-10ML RSP NAT R2 1810E (L)-ET"/>
    <n v="180000"/>
    <n v="4.1399999999999997"/>
    <n v="745200"/>
    <x v="4"/>
    <m/>
    <m/>
    <n v="25501575"/>
    <n v="4500087088"/>
    <d v="2025-12-16T00:00:00"/>
    <n v="2"/>
    <d v="2026-02-01T00:00:00"/>
  </r>
  <r>
    <x v="2"/>
    <s v="PRIYANK"/>
    <s v="INDOCO REMEDIES LTD"/>
    <s v="INDOCO REMEDIES LTD"/>
    <n v="50106297"/>
    <s v="C-TS RSP R2 2.0 WHT 1905(H)-ET"/>
    <n v="540000"/>
    <n v="1.86"/>
    <n v="1004400"/>
    <x v="4"/>
    <m/>
    <m/>
    <n v="25501575"/>
    <n v="4500087088"/>
    <d v="2025-12-16T00:00:00"/>
    <n v="3"/>
    <d v="2026-02-01T00:00:00"/>
  </r>
  <r>
    <x v="2"/>
    <s v="PRIYANK"/>
    <s v="INDOCO REMEDIES LTD"/>
    <s v="INDOCO REMEDIES LTD"/>
    <n v="50081841"/>
    <s v="N-OPEN RSP NATURAL(L)-ET"/>
    <n v="540000"/>
    <n v="1.39"/>
    <n v="750600"/>
    <x v="4"/>
    <m/>
    <m/>
    <n v="25501575"/>
    <n v="4500087088"/>
    <d v="2025-12-16T00:00:00"/>
    <n v="4"/>
    <d v="2026-02-01T00:00:00"/>
  </r>
  <r>
    <x v="3"/>
    <s v="PARTH"/>
    <s v="NOOR HERBALS"/>
    <s v="NOOR HERBALS"/>
    <n v="50081867"/>
    <s v="B-5ML EX. RG WHITE (L)-ET"/>
    <n v="30000"/>
    <n v="3.8"/>
    <n v="114000"/>
    <x v="0"/>
    <m/>
    <m/>
    <n v="25501577"/>
    <s v="BPREX-187/2025-26"/>
    <d v="2025-12-17T00:00:00"/>
    <n v="1"/>
    <d v="2026-01-07T00:00:00"/>
  </r>
  <r>
    <x v="3"/>
    <s v="PARTH"/>
    <s v="NOOR HERBALS"/>
    <s v="NOOR HERBALS"/>
    <n v="50082012"/>
    <s v="C-DOUBLESAFE WHITE NX (H)-ET"/>
    <n v="30000"/>
    <n v="1.39"/>
    <n v="41700"/>
    <x v="0"/>
    <m/>
    <m/>
    <n v="25501577"/>
    <s v="BPREX-187/2025-26"/>
    <d v="2025-12-17T00:00:00"/>
    <n v="2"/>
    <d v="2026-01-07T00:00:00"/>
  </r>
  <r>
    <x v="3"/>
    <s v="PARTH"/>
    <s v="NOOR HERBALS"/>
    <s v="NOOR HERBALS"/>
    <n v="50082078"/>
    <s v="N-BLOCK RG NATURAL (L)-ET"/>
    <n v="30000"/>
    <n v="0.7"/>
    <n v="21000"/>
    <x v="0"/>
    <m/>
    <m/>
    <n v="25501577"/>
    <s v="BPREX-187/2025-26"/>
    <d v="2025-12-17T00:00:00"/>
    <n v="3"/>
    <d v="2026-01-07T00:00:00"/>
  </r>
  <r>
    <x v="3"/>
    <s v="PARTH"/>
    <s v="NOOR HERBALS"/>
    <s v="NOOR HERBALS"/>
    <n v="50099313"/>
    <s v="B-10ML EX.RG O.GREEN 16C(L)-ET"/>
    <n v="30000"/>
    <n v="4.04"/>
    <n v="121200"/>
    <x v="0"/>
    <m/>
    <m/>
    <n v="25501577"/>
    <s v="BPREX-187/2025-26"/>
    <d v="2025-12-17T00:00:00"/>
    <n v="4"/>
    <d v="2026-01-17T00:00:00"/>
  </r>
  <r>
    <x v="3"/>
    <s v="PARTH"/>
    <s v="NOOR HERBALS"/>
    <s v="NOOR HERBALS"/>
    <n v="50081931"/>
    <s v="C-DOUBLESAFE NX O.GREEN (H)-ET"/>
    <n v="30000"/>
    <n v="1.37"/>
    <n v="41100"/>
    <x v="0"/>
    <m/>
    <m/>
    <n v="25501577"/>
    <s v="BPREX-187/2025-26"/>
    <d v="2025-12-17T00:00:00"/>
    <n v="5"/>
    <d v="2026-01-17T00:00:00"/>
  </r>
  <r>
    <x v="3"/>
    <s v="PARTH"/>
    <s v="NOOR HERBALS"/>
    <s v="NOOR HERBALS"/>
    <n v="50082005"/>
    <s v="N-BLOCK RG O. GREEN (L)-ET"/>
    <n v="30000"/>
    <n v="0.69"/>
    <n v="20700"/>
    <x v="0"/>
    <m/>
    <m/>
    <n v="25501577"/>
    <s v="BPREX-187/2025-26"/>
    <d v="2025-12-17T00:00:00"/>
    <n v="6"/>
    <d v="2026-01-17T00:00:00"/>
  </r>
  <r>
    <x v="1"/>
    <s v="PRIYANK"/>
    <s v="HANUCHEM LABORATORIES"/>
    <s v="HANUCHEM LABORATORIES"/>
    <n v="50114364"/>
    <s v="B-5ML RSP NATURAL 48C(L)-GS"/>
    <n v="60000"/>
    <n v="2.88"/>
    <n v="172800"/>
    <x v="0"/>
    <m/>
    <s v="SHIPPED"/>
    <n v="25501578"/>
    <s v="PM/U4/2025-26/0406"/>
    <d v="2025-12-17T00:00:00"/>
    <n v="1"/>
    <d v="2026-01-17T00:00:00"/>
  </r>
  <r>
    <x v="1"/>
    <s v="PRIYANK"/>
    <s v="HANUCHEM LABORATORIES"/>
    <s v="HANUCHEM LABORATORIES"/>
    <n v="50081723"/>
    <s v="C-TAMPSAFE RSP WHITE (H)-GS"/>
    <n v="60000"/>
    <n v="1.85"/>
    <n v="111000"/>
    <x v="0"/>
    <m/>
    <s v="SHIPPED"/>
    <n v="25501578"/>
    <s v="PM/U4/2025-26/0406"/>
    <d v="2025-12-17T00:00:00"/>
    <n v="2"/>
    <d v="2026-01-17T00:00:00"/>
  </r>
  <r>
    <x v="1"/>
    <s v="PRIYANK"/>
    <s v="HANUCHEM LABORATORIES"/>
    <s v="HANUCHEM LABORATORIES"/>
    <n v="50113649"/>
    <s v="N-OPEN RSP NATURAL-64C(L)-GS"/>
    <n v="60000"/>
    <n v="1.3"/>
    <n v="78000"/>
    <x v="0"/>
    <m/>
    <s v="SHIPPED"/>
    <n v="25501578"/>
    <s v="PM/U4/2025-26/0406"/>
    <d v="2025-12-17T00:00:00"/>
    <n v="3"/>
    <d v="2026-01-17T00:00:00"/>
  </r>
  <r>
    <x v="2"/>
    <s v="PRIYANK"/>
    <s v="AMNEAL PHARMACEUTICALS PVT LTD"/>
    <s v="AMNEAL PHARMACEUTICALS PVT LTD"/>
    <n v="50091673"/>
    <s v="B-10ML RSP WHITE R2 (L)-ET"/>
    <n v="130000"/>
    <n v="3.29"/>
    <n v="427700"/>
    <x v="0"/>
    <m/>
    <m/>
    <n v="25501580"/>
    <s v="OP-25000404"/>
    <d v="2025-12-17T00:00:00"/>
    <n v="2"/>
    <d v="2025-12-30T00:00:00"/>
  </r>
  <r>
    <x v="3"/>
    <s v="PRIYANK"/>
    <s v="AJANTA PHARMA LIMITED."/>
    <s v="ADORE PHARMACEUTICAL PVT LTD-A"/>
    <n v="50081970"/>
    <s v="B-5ML &quot;I&quot; WHITE 6C (L)-GS"/>
    <n v="120000"/>
    <n v="1.43"/>
    <n v="171600"/>
    <x v="0"/>
    <m/>
    <s v="SHIPPED"/>
    <n v="25501582"/>
    <n v="4100312969"/>
    <d v="2025-12-17T00:00:00"/>
    <n v="1"/>
    <d v="2026-01-01T00:00:00"/>
  </r>
  <r>
    <x v="3"/>
    <s v="PRIYANK"/>
    <s v="AJANTA PHARMA LIMITED."/>
    <s v="ADORE PHARMACEUTICAL PVT LTD-A"/>
    <n v="50081808"/>
    <s v="C-TAMPSAFE &quot;I&quot; WHITE (H)-GS"/>
    <n v="120000"/>
    <n v="0.55000000000000004"/>
    <n v="66000"/>
    <x v="0"/>
    <m/>
    <s v="SHIPPED"/>
    <n v="25501582"/>
    <n v="4100312969"/>
    <d v="2025-12-17T00:00:00"/>
    <n v="2"/>
    <d v="2026-01-01T00:00:00"/>
  </r>
  <r>
    <x v="3"/>
    <s v="PRIYANK"/>
    <s v="AJANTA PHARMA LIMITED."/>
    <s v="ADORE PHARMACEUTICAL PVT LTD-A"/>
    <n v="50111939"/>
    <s v="N-OPEN &quot;I&quot; NAT NEW 48C (L)-GS"/>
    <n v="120000"/>
    <n v="0.25"/>
    <n v="30000"/>
    <x v="0"/>
    <m/>
    <s v="SHIPPED"/>
    <n v="25501582"/>
    <n v="4100312969"/>
    <d v="2025-12-17T00:00:00"/>
    <n v="3"/>
    <d v="2026-01-01T00:00:00"/>
  </r>
  <r>
    <x v="3"/>
    <s v="PRIYANK"/>
    <s v="AJANTA PHARMA LIMITED."/>
    <s v="ADORE PHARMACEUTICAL PVT LTD-A"/>
    <n v="50081970"/>
    <s v="B-5ML &quot;I&quot; WHITE 6C (L)-GS"/>
    <n v="60000"/>
    <n v="1.43"/>
    <n v="85800"/>
    <x v="0"/>
    <m/>
    <m/>
    <n v="25501582"/>
    <n v="4100312969"/>
    <d v="2025-12-17T00:00:00"/>
    <n v="4"/>
    <d v="2026-01-01T00:00:00"/>
  </r>
  <r>
    <x v="3"/>
    <s v="PRIYANK"/>
    <s v="AJANTA PHARMA LIMITED."/>
    <s v="ADORE PHARMACEUTICAL PVT LTD-A"/>
    <n v="50108251"/>
    <s v="C-TAMPSAFE &quot;I&quot; ORG 336940-GS"/>
    <n v="60000"/>
    <n v="0.77"/>
    <n v="46200"/>
    <x v="0"/>
    <m/>
    <m/>
    <n v="25501582"/>
    <n v="4100312969"/>
    <d v="2025-12-17T00:00:00"/>
    <n v="5"/>
    <d v="2026-01-01T00:00:00"/>
  </r>
  <r>
    <x v="3"/>
    <s v="PRIYANK"/>
    <s v="AJANTA PHARMA LIMITED."/>
    <s v="ADORE PHARMACEUTICAL PVT LTD-A"/>
    <n v="50111939"/>
    <s v="N-OPEN &quot;I&quot; NAT NEW 48C (L)-GS"/>
    <n v="60000"/>
    <n v="0.25"/>
    <n v="15000"/>
    <x v="0"/>
    <m/>
    <m/>
    <n v="25501582"/>
    <n v="4100312969"/>
    <d v="2025-12-17T00:00:00"/>
    <n v="6"/>
    <d v="2026-01-01T00:00:00"/>
  </r>
  <r>
    <x v="3"/>
    <s v="PRIYANK"/>
    <s v="AJANTA PHARMA LIMITED."/>
    <s v="INDIANA OPTHALMIC"/>
    <n v="50081970"/>
    <s v="B-5ML &quot;I&quot; WHITE 6C (L)-GS"/>
    <n v="60000"/>
    <n v="1.43"/>
    <n v="85800"/>
    <x v="0"/>
    <m/>
    <m/>
    <n v="25501583"/>
    <n v="4100312971"/>
    <d v="2025-12-17T00:00:00"/>
    <n v="1"/>
    <d v="2026-01-17T00:00:00"/>
  </r>
  <r>
    <x v="3"/>
    <s v="PRIYANK"/>
    <s v="AJANTA PHARMA LIMITED."/>
    <s v="INDIANA OPTHALMIC"/>
    <n v="50081808"/>
    <s v="C-TAMPSAFE &quot;I&quot; WHITE (H)-GS"/>
    <n v="60000"/>
    <n v="0.55000000000000004"/>
    <n v="33000"/>
    <x v="0"/>
    <m/>
    <m/>
    <n v="25501583"/>
    <n v="4100312971"/>
    <d v="2025-12-17T00:00:00"/>
    <n v="2"/>
    <d v="2026-01-17T00:00:00"/>
  </r>
  <r>
    <x v="3"/>
    <s v="PRIYANK"/>
    <s v="AJANTA PHARMA LIMITED."/>
    <s v="INDIANA OPTHALMIC"/>
    <n v="50111939"/>
    <s v="N-OPEN &quot;I&quot; NAT NEW 48C (L)-GS"/>
    <n v="60000"/>
    <n v="0.25"/>
    <n v="15000"/>
    <x v="0"/>
    <m/>
    <m/>
    <n v="25501583"/>
    <n v="4100312971"/>
    <d v="2025-12-17T00:00:00"/>
    <n v="3"/>
    <d v="2026-01-17T00:00:00"/>
  </r>
  <r>
    <x v="6"/>
    <s v="RAHUL"/>
    <s v="Reckitt Benckiser"/>
    <s v="Reckitt Benckiser"/>
    <n v="50115936"/>
    <s v=" B-60ML DAL NATURAL (PET) "/>
    <n v="299880"/>
    <n v="1.6"/>
    <n v="479808"/>
    <x v="2"/>
    <m/>
    <s v="SHIPPED"/>
    <m/>
    <m/>
    <m/>
    <m/>
    <m/>
  </r>
  <r>
    <x v="6"/>
    <s v="RAHUL"/>
    <s v="Reckitt Benckiser"/>
    <s v="Reckitt Benckiser"/>
    <n v="50115936"/>
    <s v=" B-60ML DAL NATURAL (PET) "/>
    <n v="299880"/>
    <n v="1.6"/>
    <n v="479808"/>
    <x v="2"/>
    <m/>
    <s v="SHIPPED"/>
    <m/>
    <m/>
    <m/>
    <m/>
    <m/>
  </r>
  <r>
    <x v="6"/>
    <s v="RAHUL"/>
    <s v="Reckitt Benckiser"/>
    <s v="Reckitt Benckiser"/>
    <n v="50115936"/>
    <s v=" B-60ML DAL NATURAL (PET) "/>
    <n v="299880"/>
    <n v="1.6"/>
    <n v="479808"/>
    <x v="2"/>
    <m/>
    <s v="SHIPPED"/>
    <m/>
    <m/>
    <m/>
    <m/>
    <m/>
  </r>
  <r>
    <x v="6"/>
    <s v="RAHUL"/>
    <s v="Reckitt Benckiser"/>
    <s v="Reckitt Benckiser"/>
    <n v="50115936"/>
    <s v=" B-60ML DAL NATURAL (PET) "/>
    <n v="299880"/>
    <n v="1.6"/>
    <n v="479808"/>
    <x v="2"/>
    <m/>
    <m/>
    <m/>
    <m/>
    <m/>
    <m/>
    <m/>
  </r>
  <r>
    <x v="6"/>
    <s v="RAHUL"/>
    <s v="Reckitt Benckiser"/>
    <s v="Reckitt Benckiser"/>
    <n v="50115936"/>
    <s v=" B-60ML DAL NATURAL (PET) "/>
    <n v="299880"/>
    <n v="1.6"/>
    <n v="479808"/>
    <x v="2"/>
    <m/>
    <m/>
    <m/>
    <m/>
    <m/>
    <m/>
    <m/>
  </r>
  <r>
    <x v="6"/>
    <s v="RAHUL"/>
    <s v="Reckitt Benckiser"/>
    <s v="Reckitt Benckiser"/>
    <n v="50115936"/>
    <s v=" B-60ML DAL NATURAL (PET) "/>
    <n v="299880"/>
    <n v="1.6"/>
    <n v="479808"/>
    <x v="2"/>
    <m/>
    <m/>
    <m/>
    <m/>
    <m/>
    <m/>
    <m/>
  </r>
  <r>
    <x v="6"/>
    <s v="RAHUL"/>
    <s v="Reckitt Benckiser"/>
    <s v="Reckitt Benckiser"/>
    <n v="50115936"/>
    <s v=" B-60ML DAL NATURAL (PET) "/>
    <n v="299880"/>
    <n v="1.6"/>
    <n v="479808"/>
    <x v="2"/>
    <m/>
    <m/>
    <m/>
    <m/>
    <m/>
    <m/>
    <m/>
  </r>
  <r>
    <x v="6"/>
    <s v="RAHUL"/>
    <s v="Reckitt Benckiser"/>
    <s v="Reckitt Benckiser"/>
    <n v="50115936"/>
    <s v=" B-60ML DAL NATURAL (PET) "/>
    <n v="299880"/>
    <n v="1.6"/>
    <n v="479808"/>
    <x v="2"/>
    <m/>
    <m/>
    <m/>
    <m/>
    <m/>
    <m/>
    <m/>
  </r>
  <r>
    <x v="6"/>
    <s v="RAHUL"/>
    <s v="Reckitt Benckiser"/>
    <s v="Reckitt Benckiser"/>
    <n v="50115936"/>
    <s v=" B-60ML DAL NATURAL (PET) "/>
    <n v="299880"/>
    <n v="1.6"/>
    <n v="479808"/>
    <x v="2"/>
    <m/>
    <m/>
    <m/>
    <m/>
    <m/>
    <m/>
    <m/>
  </r>
  <r>
    <x v="0"/>
    <s v="PRIYANK"/>
    <s v="Lupin Limited"/>
    <s v="Lupin Limited"/>
    <n v="50110016"/>
    <s v="CR-33MM HS123/035-(P-BLK)-1"/>
    <n v="600000"/>
    <n v="2.86"/>
    <n v="1716000"/>
    <x v="0"/>
    <m/>
    <s v="SHIPPED"/>
    <m/>
    <m/>
    <m/>
    <m/>
    <m/>
  </r>
  <r>
    <x v="2"/>
    <s v="MIHIR"/>
    <s v="GLAND PHARMA LTD"/>
    <s v="GLAND PHARMA LTD"/>
    <n v="50092554"/>
    <s v="B-15ML RSP WHITE R2 (L)-GS"/>
    <n v="25000"/>
    <n v="3.52"/>
    <n v="88000"/>
    <x v="0"/>
    <m/>
    <s v="SHIPPED"/>
    <n v="25501587"/>
    <n v="4300009749"/>
    <d v="2025-12-17T00:00:00"/>
    <n v="1"/>
    <d v="2026-01-30T00:00:00"/>
  </r>
  <r>
    <x v="2"/>
    <s v="MIHIR"/>
    <s v="GLAND PHARMA LTD"/>
    <s v="GLAND PHARMA LTD"/>
    <n v="50113752"/>
    <s v="C-TS RSP R2 2.0 GREY 64C-GS"/>
    <n v="25000"/>
    <n v="1.92"/>
    <n v="48000"/>
    <x v="0"/>
    <m/>
    <s v="SHIPPED"/>
    <n v="25501587"/>
    <n v="4300009749"/>
    <d v="2025-12-17T00:00:00"/>
    <n v="2"/>
    <d v="2026-01-30T00:00:00"/>
  </r>
  <r>
    <x v="0"/>
    <s v="PRIYANK"/>
    <s v="Lupin Limited"/>
    <s v="Lupin Limited"/>
    <n v="50110017"/>
    <s v="CR-38MM HS123/035-(P-BLK)-1"/>
    <n v="370000"/>
    <n v="2.86"/>
    <n v="1058200"/>
    <x v="0"/>
    <n v="370000"/>
    <s v="SHIPPED"/>
    <m/>
    <m/>
    <m/>
    <m/>
    <m/>
  </r>
  <r>
    <x v="0"/>
    <s v="PRIYANK"/>
    <s v="Lupin Limited"/>
    <s v="Lupin Limited"/>
    <n v="50110017"/>
    <s v="CR-38MM HS123/035-(P-BLK)-1"/>
    <n v="300000"/>
    <n v="2.86"/>
    <n v="858000"/>
    <x v="0"/>
    <n v="300000"/>
    <s v="SHIPPED"/>
    <m/>
    <m/>
    <m/>
    <m/>
    <m/>
  </r>
  <r>
    <x v="0"/>
    <s v="PRIYANK"/>
    <s v="Lupin Limited"/>
    <s v="Lupin Limited"/>
    <n v="50110016"/>
    <s v="CR-33MM HS123/035-(P-BLK)-1"/>
    <n v="600000"/>
    <n v="2.86"/>
    <n v="1716000"/>
    <x v="0"/>
    <m/>
    <s v="SHIPPED"/>
    <m/>
    <m/>
    <m/>
    <m/>
    <m/>
  </r>
  <r>
    <x v="0"/>
    <s v="PRIYANK"/>
    <s v="Lupin Limited"/>
    <s v="Lupin Limited"/>
    <n v="50110016"/>
    <s v="CR-33MM HS123/035-(P-BLK)-1"/>
    <n v="600000"/>
    <n v="2.86"/>
    <n v="1716000"/>
    <x v="0"/>
    <m/>
    <s v="SHIPPED"/>
    <m/>
    <m/>
    <m/>
    <m/>
    <m/>
  </r>
  <r>
    <x v="0"/>
    <s v="SAGAR"/>
    <s v="Medreich Limited"/>
    <s v="Medreich Limited"/>
    <n v="50114184"/>
    <s v="CR-28 WHT MEDI DSB1500 WHT (H)"/>
    <n v="400000"/>
    <n v="2.91"/>
    <n v="1164000"/>
    <x v="2"/>
    <m/>
    <m/>
    <n v="25500223"/>
    <n v="4510203469"/>
    <d v="2025-12-12T00:00:00"/>
    <n v="1"/>
    <d v="2026-02-12T00:00:00"/>
  </r>
  <r>
    <x v="0"/>
    <s v="SAGAR"/>
    <s v="Medreich Limited"/>
    <s v="Medreich Limited"/>
    <n v="50114184"/>
    <s v="CR-28 WHT MEDI DSB1500 WHT (H)"/>
    <n v="140000"/>
    <n v="2.91"/>
    <n v="407400"/>
    <x v="2"/>
    <m/>
    <m/>
    <n v="25500223"/>
    <n v="4510203469"/>
    <d v="2025-12-12T00:00:00"/>
    <n v="2"/>
    <d v="2026-02-14T00:00:00"/>
  </r>
  <r>
    <x v="3"/>
    <s v="SAGAR"/>
    <s v="AKUMS DRUGS &amp; PHARMACEUTICALS"/>
    <s v="Akums Drugs &amp; Pharmaceuticals"/>
    <n v="50099313"/>
    <s v="B-10ML EX.RG O.GREEN 16C(L)-ET"/>
    <n v="76172"/>
    <n v="1.94"/>
    <n v="147773.68"/>
    <x v="0"/>
    <m/>
    <s v="SHIPPED"/>
    <n v="25501597"/>
    <n v="7600053610"/>
    <d v="2025-12-18T00:00:00"/>
    <n v="1"/>
    <d v="2026-01-18T00:00:00"/>
  </r>
  <r>
    <x v="3"/>
    <s v="SAGAR"/>
    <s v="AKUMS DRUGS &amp; PHARMACEUTICALS"/>
    <s v="Akums Drugs &amp; Pharmaceuticals"/>
    <n v="50081931"/>
    <s v="C-DOUBLESAFE NX O.GREEN (H)-ET"/>
    <n v="75000"/>
    <n v="0.78"/>
    <n v="58500"/>
    <x v="0"/>
    <m/>
    <s v="SHIPPED"/>
    <n v="25501597"/>
    <n v="7600053610"/>
    <d v="2025-12-18T00:00:00"/>
    <n v="2"/>
    <d v="2026-01-18T00:00:00"/>
  </r>
  <r>
    <x v="3"/>
    <s v="SAGAR"/>
    <s v="AKUMS DRUGS &amp; PHARMACEUTICALS"/>
    <s v="Akums Drugs &amp; Pharmaceuticals"/>
    <n v="50082005"/>
    <s v="N-BLOCK RG O. GREEN (L)-ET"/>
    <n v="77500"/>
    <n v="0.46"/>
    <n v="35650"/>
    <x v="0"/>
    <m/>
    <s v="SHIPPED"/>
    <n v="25501597"/>
    <n v="7600053610"/>
    <d v="2025-12-18T00:00:00"/>
    <n v="3"/>
    <d v="2026-01-18T00:00:00"/>
  </r>
  <r>
    <x v="3"/>
    <s v="SAGAR"/>
    <s v="AKUMS DRUGS &amp; PHARMACEUTICALS"/>
    <s v="Akums Drugs &amp; Pharmaceuticals"/>
    <n v="50101726"/>
    <s v="B-5ML EX.RG P.GREEN (L)-GS"/>
    <n v="10900"/>
    <n v="1.75"/>
    <n v="19075"/>
    <x v="0"/>
    <m/>
    <m/>
    <n v="25501598"/>
    <n v="7600053628"/>
    <d v="2025-12-18T00:00:00"/>
    <n v="1"/>
    <d v="2026-01-18T00:00:00"/>
  </r>
  <r>
    <x v="3"/>
    <s v="SAGAR"/>
    <s v="AKUMS DRUGS &amp; PHARMACEUTICALS"/>
    <s v="Akums Drugs &amp; Pharmaceuticals"/>
    <n v="50092255"/>
    <s v="C-DOUBLESAFE NX P.GREEN (H)-GS"/>
    <n v="8800"/>
    <n v="0.83"/>
    <n v="7304"/>
    <x v="0"/>
    <m/>
    <m/>
    <n v="25501598"/>
    <n v="7600053628"/>
    <d v="2025-12-18T00:00:00"/>
    <n v="2"/>
    <d v="2026-01-18T00:00:00"/>
  </r>
  <r>
    <x v="3"/>
    <s v="SAGAR"/>
    <s v="AKUMS DRUGS &amp; PHARMACEUTICALS"/>
    <s v="Akums Drugs &amp; Pharmaceuticals"/>
    <n v="50101733"/>
    <s v="N-BLOCK RG P.GREEN (L)-GS"/>
    <n v="10800"/>
    <n v="0.46"/>
    <n v="4968"/>
    <x v="0"/>
    <m/>
    <m/>
    <n v="25501598"/>
    <n v="7600053628"/>
    <d v="2025-12-18T00:00:00"/>
    <n v="3"/>
    <d v="2026-01-18T00:00:00"/>
  </r>
  <r>
    <x v="3"/>
    <s v="SAGAR"/>
    <s v="AKUMS DRUGS &amp; PHARMACEUTICALS"/>
    <s v="Akums Drugs &amp; Pharmaceuticals"/>
    <n v="50114401"/>
    <s v="B-10ML O DESIGN O.GRN18C(L)-GS"/>
    <n v="40000"/>
    <n v="1.81"/>
    <n v="72400"/>
    <x v="0"/>
    <m/>
    <m/>
    <n v="25501599"/>
    <n v="7600053630"/>
    <d v="2025-12-18T00:00:00"/>
    <n v="1"/>
    <d v="2026-01-18T00:00:00"/>
  </r>
  <r>
    <x v="3"/>
    <s v="SAGAR"/>
    <s v="AKUMS DRUGS &amp; PHARMACEUTICALS"/>
    <s v="Akums Drugs &amp; Pharmaceuticals"/>
    <n v="50081679"/>
    <s v="C-TAMPSAFE &quot;O&quot; O.GREEN (H)-GS"/>
    <n v="39000"/>
    <n v="0.9"/>
    <n v="35100"/>
    <x v="0"/>
    <m/>
    <m/>
    <n v="25501599"/>
    <n v="7600053630"/>
    <d v="2025-12-18T00:00:00"/>
    <n v="2"/>
    <d v="2026-01-18T00:00:00"/>
  </r>
  <r>
    <x v="3"/>
    <s v="SAGAR"/>
    <s v="AKUMS DRUGS &amp; PHARMACEUTICALS"/>
    <s v="Akums Drugs &amp; Pharmaceuticals"/>
    <n v="50081892"/>
    <s v="N-OPEN &quot;O&quot; O. GREEN (L)-GS"/>
    <n v="40000"/>
    <n v="0.33"/>
    <n v="13200"/>
    <x v="0"/>
    <m/>
    <m/>
    <n v="25501599"/>
    <n v="7600053630"/>
    <d v="2025-12-18T00:00:00"/>
    <n v="3"/>
    <d v="2026-01-18T00:00:00"/>
  </r>
  <r>
    <x v="3"/>
    <s v="SAGAR"/>
    <s v="PURE &amp; CURE HEALTHCARE PVT LTD"/>
    <s v="PURE &amp; CURE HEALTHCARE PVT LTD"/>
    <n v="50114401"/>
    <s v="B-10ML O DESIGN O.GRN18C(L)-GS"/>
    <n v="100000"/>
    <n v="1.81"/>
    <n v="181000"/>
    <x v="0"/>
    <m/>
    <m/>
    <n v="25501600"/>
    <n v="4501245005"/>
    <d v="2025-12-18T00:00:00"/>
    <n v="1"/>
    <d v="2026-01-18T00:00:00"/>
  </r>
  <r>
    <x v="3"/>
    <s v="SAGAR"/>
    <s v="PURE &amp; CURE HEALTHCARE PVT LTD"/>
    <s v="PURE &amp; CURE HEALTHCARE PVT LTD"/>
    <n v="50081679"/>
    <s v="C-TAMPSAFE &quot;O&quot; O.GREEN (H)-GS"/>
    <n v="100000"/>
    <n v="0.9"/>
    <n v="90000"/>
    <x v="0"/>
    <m/>
    <m/>
    <n v="25501600"/>
    <n v="4501245005"/>
    <d v="2025-12-18T00:00:00"/>
    <n v="2"/>
    <d v="2026-01-18T00:00:00"/>
  </r>
  <r>
    <x v="3"/>
    <s v="SAGAR"/>
    <s v="PURE &amp; CURE HEALTHCARE PVT LTD"/>
    <s v="PURE &amp; CURE HEALTHCARE PVT LTD"/>
    <n v="50081892"/>
    <s v="N-OPEN &quot;O&quot; O. GREEN (L)-GS"/>
    <n v="100000"/>
    <n v="0.33"/>
    <n v="33000"/>
    <x v="0"/>
    <m/>
    <m/>
    <n v="25501600"/>
    <n v="4501245005"/>
    <d v="2025-12-18T00:00:00"/>
    <n v="3"/>
    <d v="2026-01-18T00:00:00"/>
  </r>
  <r>
    <x v="5"/>
    <s v="MIHIR"/>
    <s v="VAMSI PHARMA"/>
    <s v="VAMSI PHARMA"/>
    <n v="50105834"/>
    <s v="INSPIRA ASSEMBLY"/>
    <n v="23520"/>
    <n v="62"/>
    <n v="1458240"/>
    <x v="0"/>
    <m/>
    <s v="SHIPPED"/>
    <n v="25501601"/>
    <s v="BPPM252416"/>
    <d v="2025-12-18T00:00:00"/>
    <n v="1"/>
    <d v="2026-01-07T00:00:00"/>
  </r>
  <r>
    <x v="3"/>
    <s v="PRIYANK"/>
    <s v="CADILA PHARMACEUTICALS LIMITED"/>
    <s v="CADILA PHARMACEUTICALS LIMITED"/>
    <n v="50082077"/>
    <s v="N-BLOCK RG NATURAL (L)-GS"/>
    <n v="21572"/>
    <n v="0.26"/>
    <n v="5608.72"/>
    <x v="0"/>
    <m/>
    <m/>
    <n v="25501605"/>
    <n v="2500245095"/>
    <d v="2025-12-18T00:00:00"/>
    <n v="1"/>
    <d v="2026-01-28T00:00:00"/>
  </r>
  <r>
    <x v="3"/>
    <s v="PRIYANK"/>
    <s v="AJANTA PHARMA LIMITED-GUWAHATI"/>
    <s v="AJANTA PHARMA LIMITED-GUWAHATI"/>
    <n v="50109736"/>
    <s v="B-5ML &quot;I&quot; WHITE 12C-HW (L)-GS"/>
    <n v="200000"/>
    <n v="1.5"/>
    <n v="300000"/>
    <x v="0"/>
    <m/>
    <m/>
    <n v="25501608"/>
    <n v="4100314686"/>
    <d v="2025-12-18T00:00:00"/>
    <n v="4"/>
    <d v="2026-01-18T00:00:00"/>
  </r>
  <r>
    <x v="3"/>
    <s v="PRIYANK"/>
    <s v="AJANTA PHARMA LIMITED-GUWAHATI"/>
    <s v="AJANTA PHARMA LIMITED-GUWAHATI"/>
    <n v="50081808"/>
    <s v="C-TAMPSAFE &quot;I&quot; WHITE (H)-GS"/>
    <n v="200000"/>
    <n v="0.56000000000000005"/>
    <n v="112000.00000000001"/>
    <x v="0"/>
    <m/>
    <m/>
    <n v="25501608"/>
    <n v="4100314686"/>
    <d v="2025-12-18T00:00:00"/>
    <n v="5"/>
    <d v="2026-01-18T00:00:00"/>
  </r>
  <r>
    <x v="3"/>
    <s v="PRIYANK"/>
    <s v="AJANTA PHARMA LIMITED-GUWAHATI"/>
    <s v="AJANTA PHARMA LIMITED-GUWAHATI"/>
    <n v="50111939"/>
    <s v="N-OPEN &quot;I&quot; NAT NEW 48C (L)-GS"/>
    <n v="200000"/>
    <n v="0.26"/>
    <n v="52000"/>
    <x v="0"/>
    <m/>
    <m/>
    <n v="25501608"/>
    <n v="4100314686"/>
    <d v="2025-12-18T00:00:00"/>
    <n v="6"/>
    <d v="2026-01-18T00:00:00"/>
  </r>
  <r>
    <x v="3"/>
    <s v="PRIYANK"/>
    <s v="AJANTA PHARMA LIMITED-GUWAHATI"/>
    <s v="AJANTA PHARMA LIMITED-GUWAHATI"/>
    <n v="50111525"/>
    <s v="B-10ML &quot;I&quot;O.GRN91151-16C(L)-GS"/>
    <n v="60000"/>
    <n v="2.16"/>
    <n v="129600.00000000001"/>
    <x v="0"/>
    <m/>
    <s v="SHIPPED"/>
    <n v="25501609"/>
    <n v="4100314704"/>
    <d v="2025-12-18T00:00:00"/>
    <n v="1"/>
    <d v="2026-01-01T00:00:00"/>
  </r>
  <r>
    <x v="3"/>
    <s v="PRIYANK"/>
    <s v="AJANTA PHARMA LIMITED-GUWAHATI"/>
    <s v="AJANTA PHARMA LIMITED-GUWAHATI"/>
    <n v="50082373"/>
    <s v="C-TAMP SAFE&quot;I&quot; O.GREEN-GS"/>
    <n v="60000"/>
    <n v="0.82"/>
    <n v="49200"/>
    <x v="0"/>
    <m/>
    <s v="SHIPPED"/>
    <n v="25501609"/>
    <n v="4100314704"/>
    <d v="2025-12-18T00:00:00"/>
    <n v="2"/>
    <d v="2026-01-01T00:00:00"/>
  </r>
  <r>
    <x v="3"/>
    <s v="PRIYANK"/>
    <s v="AJANTA PHARMA LIMITED-GUWAHATI"/>
    <s v="AJANTA PHARMA LIMITED-GUWAHATI"/>
    <n v="50082375"/>
    <s v="N-OPEN &quot;I&quot; O.GREEN (L)-GS"/>
    <n v="60000"/>
    <n v="0.49"/>
    <n v="29400"/>
    <x v="0"/>
    <m/>
    <s v="SHIPPED"/>
    <n v="25501609"/>
    <n v="4100314704"/>
    <d v="2025-12-18T00:00:00"/>
    <n v="3"/>
    <d v="2026-01-01T00:00:00"/>
  </r>
  <r>
    <x v="3"/>
    <s v="PRIYANK"/>
    <s v="AJANTA PHARMA LIMITED-GUWAHATI"/>
    <s v="AJANTA PHARMA LIMITED-GUWAHATI"/>
    <n v="50114370"/>
    <s v="B-5ML &quot;O&quot; WHITE 48C(L)-GS"/>
    <n v="400000"/>
    <n v="1.62"/>
    <n v="648000"/>
    <x v="0"/>
    <m/>
    <s v="SHIPPED"/>
    <n v="25501610"/>
    <n v="4100314701"/>
    <d v="2025-12-19T00:00:00"/>
    <n v="1"/>
    <d v="2026-01-01T00:00:00"/>
  </r>
  <r>
    <x v="3"/>
    <s v="PRIYANK"/>
    <s v="AJANTA PHARMA LIMITED-GUWAHATI"/>
    <s v="AJANTA PHARMA LIMITED-GUWAHATI"/>
    <n v="50081805"/>
    <s v="C-TAMPSAFE &quot;O&quot; WHITE (H)-GS"/>
    <n v="400000"/>
    <n v="0.62"/>
    <n v="248000"/>
    <x v="0"/>
    <m/>
    <s v="SHIPPED"/>
    <n v="25501610"/>
    <n v="4100314701"/>
    <d v="2025-12-19T00:00:00"/>
    <n v="2"/>
    <d v="2026-01-01T00:00:00"/>
  </r>
  <r>
    <x v="3"/>
    <s v="PRIYANK"/>
    <s v="AJANTA PHARMA LIMITED-GUWAHATI"/>
    <s v="AJANTA PHARMA LIMITED-GUWAHATI"/>
    <n v="50081947"/>
    <s v="N-OPEN &quot;O&quot;NATURAL (L)-GS"/>
    <n v="400000"/>
    <n v="0.27"/>
    <n v="108000"/>
    <x v="0"/>
    <m/>
    <s v="SHIPPED"/>
    <n v="25501610"/>
    <n v="4100314701"/>
    <d v="2025-12-19T00:00:00"/>
    <n v="3"/>
    <d v="2026-01-01T00:00:00"/>
  </r>
  <r>
    <x v="3"/>
    <s v="PRIYANK"/>
    <s v="AJANTA PHARMA LIMITED-GUWAHATI"/>
    <s v="AJANTA PHARMA LIMITED-GUWAHATI"/>
    <n v="50109736"/>
    <s v="B-5ML &quot;I&quot; WHITE 12C-HW (L)-GS"/>
    <n v="124000"/>
    <n v="1.5"/>
    <n v="186000"/>
    <x v="0"/>
    <m/>
    <m/>
    <n v="25501611"/>
    <n v="4100314706"/>
    <d v="2025-12-19T00:00:00"/>
    <n v="1"/>
    <d v="2026-01-01T00:00:00"/>
  </r>
  <r>
    <x v="3"/>
    <s v="PRIYANK"/>
    <s v="AJANTA PHARMA LIMITED-GUWAHATI"/>
    <s v="AJANTA PHARMA LIMITED-GUWAHATI"/>
    <n v="50108251"/>
    <s v="C-TAMPSAFE &quot;I&quot; ORG 336940-GS"/>
    <n v="124000"/>
    <n v="0.78"/>
    <n v="96720"/>
    <x v="0"/>
    <m/>
    <m/>
    <n v="25501611"/>
    <n v="4100314706"/>
    <d v="2025-12-19T00:00:00"/>
    <n v="2"/>
    <d v="2026-01-01T00:00:00"/>
  </r>
  <r>
    <x v="3"/>
    <s v="PRIYANK"/>
    <s v="AJANTA PHARMA LIMITED-GUWAHATI"/>
    <s v="AJANTA PHARMA LIMITED-GUWAHATI"/>
    <n v="50111939"/>
    <s v="N-OPEN &quot;I&quot; NAT NEW 48C (L)-GS"/>
    <n v="124000"/>
    <n v="0.26"/>
    <n v="32240"/>
    <x v="0"/>
    <m/>
    <m/>
    <n v="25501611"/>
    <n v="4100314706"/>
    <d v="2025-12-19T00:00:00"/>
    <n v="3"/>
    <d v="2026-01-01T00:00:00"/>
  </r>
  <r>
    <x v="0"/>
    <s v="MIHIR"/>
    <s v="MYLAN LABORATORIES LTD - NASHIK"/>
    <s v="MYLAN LABORATORIES LTD - NASHIK"/>
    <n v="50102168"/>
    <s v="CR-38MM BLUE0.035 SG100(PLAIN)"/>
    <n v="400000"/>
    <n v="2.98"/>
    <n v="1192000"/>
    <x v="0"/>
    <n v="700000"/>
    <s v="SHIPPED"/>
    <m/>
    <m/>
    <m/>
    <m/>
    <m/>
  </r>
  <r>
    <x v="0"/>
    <s v="MIHIR"/>
    <s v="MYLAN LABORATORIES LTD - NASHIK"/>
    <s v="MYLAN LABORATORIES LTD - NASHIK"/>
    <n v="50102168"/>
    <s v="CR-38MM BLUE0.035 SG100(PLAIN)"/>
    <n v="300000"/>
    <n v="2.98"/>
    <n v="894000"/>
    <x v="0"/>
    <n v="300000"/>
    <m/>
    <m/>
    <m/>
    <m/>
    <m/>
    <m/>
  </r>
  <r>
    <x v="0"/>
    <s v="MIHIR"/>
    <s v="MYLAN LABORATORIES LTD - NASHIK"/>
    <s v="MYLAN LABORATORIES LTD - NASHIK"/>
    <n v="50102169"/>
    <s v="CR-38MM 0.020 SG75M (PLAIN)"/>
    <n v="100000"/>
    <n v="2.9"/>
    <n v="290000"/>
    <x v="0"/>
    <n v="100000"/>
    <s v="SHIPPED"/>
    <m/>
    <m/>
    <m/>
    <m/>
    <m/>
  </r>
  <r>
    <x v="0"/>
    <s v="MIHIR"/>
    <s v="MYLAN LABORATORIES LTD - NASHIK"/>
    <s v="MYLAN LABORATORIES LTD - NASHIK"/>
    <n v="50102170"/>
    <s v="CR-33MM 0.020 SG75M (PLAIN)"/>
    <n v="50000"/>
    <n v="2.75"/>
    <n v="137500"/>
    <x v="0"/>
    <n v="50000"/>
    <s v="SHIPPED"/>
    <m/>
    <m/>
    <m/>
    <m/>
    <m/>
  </r>
  <r>
    <x v="2"/>
    <s v="PRIYANK"/>
    <s v="RENOVA LIFESCINECES  PVT LTD"/>
    <s v="RENOVA LIFESCINECES  PVT LTD"/>
    <n v="50114358"/>
    <s v="B-5ML RSP WHITE R2 48C(L)-GS"/>
    <n v="160000"/>
    <n v="3.89"/>
    <n v="622400"/>
    <x v="0"/>
    <m/>
    <s v="SHIPPED"/>
    <n v="25501616"/>
    <s v="PORFPM25260361"/>
    <d v="2025-12-19T00:00:00"/>
    <n v="1"/>
    <d v="2026-01-19T00:00:00"/>
  </r>
  <r>
    <x v="2"/>
    <s v="PRIYANK"/>
    <s v="RENOVA LIFESCINECES  PVT LTD"/>
    <s v="RENOVA LIFESCINECES  PVT LTD"/>
    <n v="50113743"/>
    <s v="C-TS RSP R2 2.0 TANBR 64C-GS"/>
    <n v="160000"/>
    <n v="1.65"/>
    <n v="264000"/>
    <x v="0"/>
    <m/>
    <s v="SHIPPED"/>
    <n v="25501616"/>
    <s v="PORFPM25260361"/>
    <d v="2025-12-19T00:00:00"/>
    <n v="2"/>
    <d v="2026-01-19T00:00:00"/>
  </r>
  <r>
    <x v="2"/>
    <s v="PRIYANK"/>
    <s v="RENOVA LIFESCINECES  PVT LTD"/>
    <s v="RENOVA LIFESCINECES  PVT LTD"/>
    <n v="50105703"/>
    <s v="N-OPEN RSP-30mcl WHT NEW(L)-GS"/>
    <n v="160000"/>
    <n v="1.1000000000000001"/>
    <n v="176000"/>
    <x v="0"/>
    <m/>
    <s v="SHIPPED"/>
    <n v="25501616"/>
    <s v="PORFPM25260361"/>
    <d v="2025-12-19T00:00:00"/>
    <n v="3"/>
    <d v="2026-01-19T00:00:00"/>
  </r>
  <r>
    <x v="2"/>
    <s v="MIHIR"/>
    <s v="GLAND PHARMA LTD"/>
    <s v="GLAND PHARMA LTD"/>
    <n v="50114361"/>
    <s v="B-5ML RSP NATURAL R2 48C(L)-GS"/>
    <n v="400000"/>
    <n v="2.96"/>
    <n v="1184000"/>
    <x v="0"/>
    <m/>
    <s v="SHIPPED"/>
    <n v="25501617"/>
    <n v="4300009761"/>
    <d v="2025-12-19T00:00:00"/>
    <n v="1"/>
    <d v="2026-01-30T00:00:00"/>
  </r>
  <r>
    <x v="2"/>
    <s v="MIHIR"/>
    <s v="GLAND PHARMA LTD"/>
    <s v="GLAND PHARMA LTD"/>
    <n v="50113743"/>
    <s v="C-TS RSP R2 2.0 TANBR 64C-GS"/>
    <n v="75000"/>
    <n v="1.92"/>
    <n v="144000"/>
    <x v="0"/>
    <m/>
    <s v="SHIPPED"/>
    <n v="25501617"/>
    <n v="4300009761"/>
    <d v="2025-12-19T00:00:00"/>
    <n v="2"/>
    <d v="2026-01-30T00:00:00"/>
  </r>
  <r>
    <x v="2"/>
    <s v="MIHIR"/>
    <s v="GLAND PHARMA LTD"/>
    <s v="GLAND PHARMA LTD"/>
    <n v="50113649"/>
    <s v="N-OPEN RSP NATURAL-64C(L)-GS"/>
    <n v="600000"/>
    <n v="1.64"/>
    <n v="983999.99999999988"/>
    <x v="0"/>
    <m/>
    <s v="SHIPPED"/>
    <n v="25501617"/>
    <n v="4300009761"/>
    <d v="2025-12-19T00:00:00"/>
    <n v="3"/>
    <d v="2026-01-30T00:00:00"/>
  </r>
  <r>
    <x v="2"/>
    <s v="MIHIR"/>
    <s v="GLAND PHARMA LTD"/>
    <s v="GLAND PHARMA LTD"/>
    <n v="50091673"/>
    <s v="B-10ML RSP WHITE R2 (L)-ET"/>
    <n v="150000"/>
    <n v="3.29"/>
    <n v="493500"/>
    <x v="0"/>
    <m/>
    <s v="SHIPPED"/>
    <n v="25501617"/>
    <n v="4300009761"/>
    <d v="2025-12-19T00:00:00"/>
    <n v="4"/>
    <d v="2026-01-30T00:00:00"/>
  </r>
  <r>
    <x v="2"/>
    <s v="MIHIR"/>
    <s v="GLAND PHARMA LTD"/>
    <s v="GLAND PHARMA LTD"/>
    <n v="50113750"/>
    <s v="C-TS RSP R2 2.0 TURQ. 64C-ET"/>
    <n v="175000"/>
    <n v="1.92"/>
    <n v="336000"/>
    <x v="0"/>
    <m/>
    <s v="SHIPPED"/>
    <n v="25501617"/>
    <n v="4300009761"/>
    <d v="2025-12-19T00:00:00"/>
    <n v="5"/>
    <d v="2026-01-30T00:00:00"/>
  </r>
  <r>
    <x v="2"/>
    <s v="MIHIR"/>
    <s v="GLAND PHARMA LTD"/>
    <s v="GLAND PHARMA LTD"/>
    <n v="50114342"/>
    <s v="N-OPEN RSP WHITE 64C(L)-ET"/>
    <n v="125000"/>
    <n v="1.7"/>
    <n v="212500"/>
    <x v="0"/>
    <m/>
    <s v="SHIPPED"/>
    <n v="25501617"/>
    <n v="4300009761"/>
    <d v="2025-12-19T00:00:00"/>
    <n v="6"/>
    <d v="2026-01-30T00:00:00"/>
  </r>
  <r>
    <x v="1"/>
    <s v="PRIYANK"/>
    <s v="SUN PHARMA LABORATORIES LIMITE"/>
    <s v="SUN PHARMA LABORATORIES LIMITE"/>
    <n v="50114671"/>
    <s v="B-10ML RSP White -18C(L)-GS"/>
    <n v="300000"/>
    <n v="1.78"/>
    <n v="534000"/>
    <x v="0"/>
    <m/>
    <s v="SHIPPED"/>
    <n v="25501619"/>
    <n v="9300794312"/>
    <d v="2025-12-19T00:00:00"/>
    <n v="1"/>
    <d v="2026-01-15T00:00:00"/>
  </r>
  <r>
    <x v="1"/>
    <s v="PRIYANK"/>
    <s v="SUN PHARMA LABORATORIES LIMITE"/>
    <s v="SUN PHARMA LABORATORIES LIMITE"/>
    <n v="50114671"/>
    <s v="B-10ML RSP White -18C(L)-GS"/>
    <n v="310000"/>
    <n v="1.78"/>
    <n v="551800"/>
    <x v="0"/>
    <m/>
    <m/>
    <n v="25501619"/>
    <n v="9300794312"/>
    <d v="2025-12-19T00:00:00"/>
    <n v="1"/>
    <d v="2026-01-15T00:00:00"/>
  </r>
  <r>
    <x v="1"/>
    <s v="PRIYANK"/>
    <s v="SUN PHARMA LABORATORIES LIMITE"/>
    <s v="SUN PHARMA LABORATORIES LIMITE"/>
    <n v="50113649"/>
    <s v="N-OPEN RSP NATURAL-64C(L)-GS"/>
    <n v="537500"/>
    <n v="0.45"/>
    <n v="241875"/>
    <x v="0"/>
    <m/>
    <m/>
    <n v="25501619"/>
    <n v="9300794312"/>
    <d v="2025-12-19T00:00:00"/>
    <n v="2.1"/>
    <d v="2026-02-20T00:00:00"/>
  </r>
  <r>
    <x v="1"/>
    <s v="PRIYANK"/>
    <s v="SUN PHARMA LABORATORIES LIMITE"/>
    <s v="SUN PHARMA LABORATORIES LIMITE"/>
    <n v="50113649"/>
    <s v="N-OPEN RSP NATURAL-64C(L)-GS"/>
    <n v="1840000"/>
    <n v="0.45"/>
    <n v="828000"/>
    <x v="0"/>
    <m/>
    <m/>
    <n v="25501619"/>
    <n v="9300794312"/>
    <d v="2025-12-19T00:00:00"/>
    <n v="3"/>
    <d v="2026-01-15T00:00:00"/>
  </r>
  <r>
    <x v="1"/>
    <s v="PRIYANK"/>
    <s v="SUN PHARMA LABORATORIES LIMITE"/>
    <s v="SUN PHARMA LABORATORIES LIMITE"/>
    <n v="50081723"/>
    <s v="C-TAMPSAFE RSP WHITE (H)-GS"/>
    <n v="1259650"/>
    <n v="1.1599999999999999"/>
    <n v="1461194"/>
    <x v="0"/>
    <m/>
    <m/>
    <n v="25501619"/>
    <n v="9300794312"/>
    <d v="2025-12-19T00:00:00"/>
    <n v="4.0999999999999996"/>
    <d v="2026-01-15T00:00:00"/>
  </r>
  <r>
    <x v="1"/>
    <s v="PRIYANK"/>
    <s v="SUN PHARMA LABORATORIES LIMITE"/>
    <s v="SUN PHARMA LABORATORIES LIMITE"/>
    <n v="50081670"/>
    <s v="C-TAMPSAFE RSP WHITE(H)NEW-GS"/>
    <n v="373600"/>
    <n v="1.1599999999999999"/>
    <n v="433375.99999999994"/>
    <x v="0"/>
    <m/>
    <s v="SHIPPED"/>
    <n v="25501619"/>
    <n v="9300794312"/>
    <d v="2025-12-19T00:00:00"/>
    <n v="5.0999999999999996"/>
    <d v="2026-02-20T00:00:00"/>
  </r>
  <r>
    <x v="1"/>
    <s v="PRIYANK"/>
    <s v="SUN PHARMA LABORATORIES LIMITE"/>
    <s v="SUN PHARMA LABORATORIES LIMITE"/>
    <n v="50114364"/>
    <s v="B-5ML RSP NATURAL 48C(L)-GS"/>
    <n v="970000"/>
    <n v="1.44"/>
    <n v="1396800"/>
    <x v="0"/>
    <m/>
    <m/>
    <n v="25501619"/>
    <n v="9300794312"/>
    <d v="2025-12-19T00:00:00"/>
    <n v="6"/>
    <d v="2026-02-16T00:00:00"/>
  </r>
  <r>
    <x v="1"/>
    <s v="PRIYANK"/>
    <s v="SUN PHARMA LABORATORIES LIMITE"/>
    <s v="SUN PHARMA LABORATORIES LIMITE"/>
    <n v="50114368"/>
    <s v="B-5ML RSP WHITE 48C(L)-ET"/>
    <n v="360000"/>
    <n v="1.52"/>
    <n v="547200"/>
    <x v="0"/>
    <m/>
    <m/>
    <n v="25501619"/>
    <n v="9300794312"/>
    <d v="2025-12-19T00:00:00"/>
    <n v="7"/>
    <d v="2026-02-12T00:00:00"/>
  </r>
  <r>
    <x v="1"/>
    <s v="PRIYANK"/>
    <s v="SUN PHARMA LABORATORIES LIMITE"/>
    <s v="SUN PHARMA LABORATORIES LIMITE"/>
    <n v="50081878"/>
    <s v="B-10ML RSP NATURAL(H)-GS"/>
    <n v="18600"/>
    <n v="1.97"/>
    <n v="36642"/>
    <x v="0"/>
    <m/>
    <m/>
    <n v="25501619"/>
    <n v="9300794312"/>
    <d v="2025-12-19T00:00:00"/>
    <n v="10.199999999999999"/>
    <d v="2026-01-10T00:00:00"/>
  </r>
  <r>
    <x v="1"/>
    <s v="PRIYANK"/>
    <s v="SUN PHARMA LABORATORIES LIMITE"/>
    <s v="SUN PHARMA LABORATORIES LIMITE"/>
    <n v="50114341"/>
    <s v="N-OPEN RSP WHITE 64C(L)-GS"/>
    <n v="87000"/>
    <n v="0.45"/>
    <n v="39150"/>
    <x v="0"/>
    <m/>
    <s v="SHIPPED"/>
    <n v="25501619"/>
    <n v="9300794312"/>
    <d v="2025-12-19T00:00:00"/>
    <n v="11"/>
    <d v="2026-02-05T00:00:00"/>
  </r>
  <r>
    <x v="3"/>
    <s v="PRIYANK"/>
    <s v="CIRON DRUGS &amp; PHARMACEUTICALS"/>
    <s v="CIRON DRUGS &amp; PHARMACEUTICALS"/>
    <n v="50081866"/>
    <s v="B-5ML EX. RG WHITE (L)-GS"/>
    <n v="208100"/>
    <n v="1.48"/>
    <n v="307988"/>
    <x v="0"/>
    <m/>
    <s v="SHIPPED"/>
    <n v="25501620"/>
    <s v="C1/PM/E/44607"/>
    <d v="2025-12-19T00:00:00"/>
    <n v="1"/>
    <d v="2026-01-19T00:00:00"/>
  </r>
  <r>
    <x v="3"/>
    <s v="PRIYANK"/>
    <s v="CIRON DRUGS &amp; PHARMACEUTICALS"/>
    <s v="CIRON DRUGS &amp; PHARMACEUTICALS"/>
    <n v="50082011"/>
    <s v="C-DOUBLESAFE WHITE NX (H)-GS"/>
    <n v="208100"/>
    <n v="0.6"/>
    <n v="124860"/>
    <x v="0"/>
    <m/>
    <s v="SHIPPED"/>
    <n v="25501620"/>
    <s v="C1/PM/E/44607"/>
    <d v="2025-12-19T00:00:00"/>
    <n v="2"/>
    <d v="2026-01-19T00:00:00"/>
  </r>
  <r>
    <x v="3"/>
    <s v="PRIYANK"/>
    <s v="CIRON DRUGS &amp; PHARMACEUTICALS"/>
    <s v="CIRON DRUGS &amp; PHARMACEUTICALS"/>
    <n v="50105010"/>
    <s v="N-BLOCK RG WHITE-3R (L)-GS"/>
    <n v="208100"/>
    <n v="0.27"/>
    <n v="56187.000000000007"/>
    <x v="0"/>
    <m/>
    <s v="SHIPPED"/>
    <n v="25501620"/>
    <s v="C1/PM/E/44607"/>
    <d v="2025-12-19T00:00:00"/>
    <n v="3"/>
    <d v="2026-01-19T00:00:00"/>
  </r>
  <r>
    <x v="3"/>
    <s v="PRIYANK"/>
    <s v="AJANTA PHARMA LIMITED-GUWAHATI"/>
    <s v="AJANTA PHARMA LIMITED-GUWAHATI"/>
    <n v="50114370"/>
    <s v="B-5ML &quot;O&quot; WHITE 48C(L)-GS"/>
    <n v="60000"/>
    <n v="1.62"/>
    <n v="97200"/>
    <x v="0"/>
    <m/>
    <s v="SHIPPED"/>
    <n v="25501621"/>
    <n v="4100315060"/>
    <d v="2025-12-19T00:00:00"/>
    <n v="1"/>
    <d v="2026-02-01T00:00:00"/>
  </r>
  <r>
    <x v="3"/>
    <s v="PRIYANK"/>
    <s v="AJANTA PHARMA LIMITED-GUWAHATI"/>
    <s v="AJANTA PHARMA LIMITED-GUWAHATI"/>
    <n v="50115090"/>
    <s v="C-TS &quot;O&quot; U.Yellow 24C (H-M)-GS"/>
    <n v="60000"/>
    <n v="0.77"/>
    <n v="46200"/>
    <x v="0"/>
    <m/>
    <s v="SHIPPED"/>
    <n v="25501621"/>
    <n v="4100315060"/>
    <d v="2025-12-19T00:00:00"/>
    <n v="2"/>
    <d v="2026-02-01T00:00:00"/>
  </r>
  <r>
    <x v="3"/>
    <s v="PRIYANK"/>
    <s v="AJANTA PHARMA LIMITED-GUWAHATI"/>
    <s v="AJANTA PHARMA LIMITED-GUWAHATI"/>
    <n v="50081947"/>
    <s v="N-OPEN &quot;O&quot;NATURAL (L)-GS"/>
    <n v="60000"/>
    <n v="0.27"/>
    <n v="16200.000000000002"/>
    <x v="0"/>
    <m/>
    <s v="SHIPPED"/>
    <n v="25501621"/>
    <n v="4100315060"/>
    <d v="2025-12-19T00:00:00"/>
    <n v="3"/>
    <d v="2026-02-01T00:00:00"/>
  </r>
  <r>
    <x v="0"/>
    <s v="MIHIR"/>
    <s v="ONESOURCE SPECIALTY PHARMA LIM"/>
    <s v="Strides Pharma Science Limited"/>
    <n v="50101140"/>
    <s v="CR-38MM 035 FS 5-4 (RED)"/>
    <n v="174000"/>
    <n v="3.43"/>
    <n v="596820"/>
    <x v="0"/>
    <n v="100000"/>
    <m/>
    <m/>
    <m/>
    <m/>
    <m/>
    <m/>
  </r>
  <r>
    <x v="3"/>
    <s v="PRIYANK"/>
    <s v="AJANTA PHARMA LIMITED-GUWAHATI"/>
    <s v="AJANTA PHARMA LIMITED-GUWAHATI"/>
    <n v="50109736"/>
    <s v="B-5ML &quot;I&quot; WHITE 12C-HW (L)-GS"/>
    <n v="200000"/>
    <n v="1.5"/>
    <n v="300000"/>
    <x v="0"/>
    <m/>
    <m/>
    <n v="25501623"/>
    <n v="4100315059"/>
    <d v="2025-12-20T00:00:00"/>
    <n v="1"/>
    <d v="2026-02-01T00:00:00"/>
  </r>
  <r>
    <x v="3"/>
    <s v="PRIYANK"/>
    <s v="AJANTA PHARMA LIMITED-GUWAHATI"/>
    <s v="AJANTA PHARMA LIMITED-GUWAHATI"/>
    <n v="50081808"/>
    <s v="C-TAMPSAFE &quot;I&quot; WHITE (H)-GS"/>
    <n v="200000"/>
    <n v="0.56000000000000005"/>
    <n v="112000.00000000001"/>
    <x v="0"/>
    <m/>
    <m/>
    <n v="25501623"/>
    <n v="4100315059"/>
    <d v="2025-12-20T00:00:00"/>
    <n v="2"/>
    <d v="2026-02-01T00:00:00"/>
  </r>
  <r>
    <x v="3"/>
    <s v="PRIYANK"/>
    <s v="AJANTA PHARMA LIMITED-GUWAHATI"/>
    <s v="AJANTA PHARMA LIMITED-GUWAHATI"/>
    <n v="50111939"/>
    <s v="N-OPEN &quot;I&quot; NAT NEW 48C (L)-GS"/>
    <n v="200000"/>
    <n v="0.26"/>
    <n v="52000"/>
    <x v="0"/>
    <m/>
    <m/>
    <n v="25501623"/>
    <n v="4100315059"/>
    <d v="2025-12-20T00:00:00"/>
    <n v="3"/>
    <d v="2026-02-01T00:00:00"/>
  </r>
  <r>
    <x v="3"/>
    <s v="PRIYANK"/>
    <s v="AJANTA PHARMA LIMITED-GUWAHATI"/>
    <s v="AJANTA PHARMA LIMITED-GUWAHATI"/>
    <n v="50111528"/>
    <s v="B-10ML &quot;I&quot; WHITE-16C (L)-GS"/>
    <n v="155000"/>
    <n v="1.63"/>
    <n v="252649.99999999997"/>
    <x v="0"/>
    <m/>
    <m/>
    <n v="25501623"/>
    <n v="4100315059"/>
    <d v="2025-12-20T00:00:00"/>
    <n v="4"/>
    <d v="2026-02-01T00:00:00"/>
  </r>
  <r>
    <x v="3"/>
    <s v="PRIYANK"/>
    <s v="AJANTA PHARMA LIMITED-GUWAHATI"/>
    <s v="AJANTA PHARMA LIMITED-GUWAHATI"/>
    <n v="50081808"/>
    <s v="C-TAMPSAFE &quot;I&quot; WHITE (H)-GS"/>
    <n v="155000"/>
    <n v="0.56000000000000005"/>
    <n v="86800.000000000015"/>
    <x v="0"/>
    <m/>
    <m/>
    <n v="25501623"/>
    <n v="4100315059"/>
    <d v="2025-12-20T00:00:00"/>
    <n v="5"/>
    <d v="2026-02-01T00:00:00"/>
  </r>
  <r>
    <x v="3"/>
    <s v="PRIYANK"/>
    <s v="AJANTA PHARMA LIMITED-GUWAHATI"/>
    <s v="AJANTA PHARMA LIMITED-GUWAHATI"/>
    <n v="50111939"/>
    <s v="N-OPEN &quot;I&quot; NAT NEW 48C (L)-GS"/>
    <n v="155000"/>
    <n v="0.26"/>
    <n v="40300"/>
    <x v="0"/>
    <m/>
    <m/>
    <n v="25501623"/>
    <n v="4100315059"/>
    <d v="2025-12-20T00:00:00"/>
    <n v="6"/>
    <d v="2026-02-01T00:00:00"/>
  </r>
  <r>
    <x v="3"/>
    <s v="PRIYANK"/>
    <s v="CIRON DRUGS &amp; PHARMACEUTICALS"/>
    <s v="CIRON DRUGS &amp; PHARMACEUTICALS"/>
    <n v="50099319"/>
    <s v="B-10ML EX.RG WHITE 16C (L)-GS"/>
    <n v="120100"/>
    <n v="1.78"/>
    <n v="213778"/>
    <x v="0"/>
    <m/>
    <s v="SHIPPED"/>
    <n v="25501624"/>
    <s v="C1/PM/E/44611"/>
    <d v="2025-12-20T00:00:00"/>
    <n v="1"/>
    <d v="2026-01-20T00:00:00"/>
  </r>
  <r>
    <x v="3"/>
    <s v="PRIYANK"/>
    <s v="CIRON DRUGS &amp; PHARMACEUTICALS"/>
    <s v="CIRON DRUGS &amp; PHARMACEUTICALS"/>
    <n v="50115676"/>
    <s v="C-DSNX BLUE 408856 - GS"/>
    <n v="120100"/>
    <n v="0.6"/>
    <n v="72060"/>
    <x v="0"/>
    <m/>
    <s v="SHIPPED"/>
    <n v="25501624"/>
    <s v="C1/PM/E/44611"/>
    <d v="2025-12-20T00:00:00"/>
    <n v="2"/>
    <d v="2026-01-20T00:00:00"/>
  </r>
  <r>
    <x v="3"/>
    <s v="PRIYANK"/>
    <s v="CIRON DRUGS &amp; PHARMACEUTICALS"/>
    <s v="CIRON DRUGS &amp; PHARMACEUTICALS"/>
    <n v="50105010"/>
    <s v="N-BLOCK RG WHITE-3R (L)-GS"/>
    <n v="120100"/>
    <n v="0.27"/>
    <n v="32427.000000000004"/>
    <x v="0"/>
    <m/>
    <s v="SHIPPED"/>
    <n v="25501624"/>
    <s v="C1/PM/E/44611"/>
    <d v="2025-12-20T00:00:00"/>
    <n v="3"/>
    <d v="2026-01-20T00:00:00"/>
  </r>
  <r>
    <x v="3"/>
    <s v="SAGAR"/>
    <s v="S BL Pvt Ltd"/>
    <s v="S BL Pvt Ltd"/>
    <n v="50111522"/>
    <s v="B-10ML &quot;I&quot; NATURAL-16C(L)-GS"/>
    <n v="10000"/>
    <n v="1.6"/>
    <n v="16000"/>
    <x v="0"/>
    <m/>
    <m/>
    <n v="25501625"/>
    <n v="4500040082"/>
    <d v="2025-12-20T00:00:00"/>
    <n v="1"/>
    <d v="2026-01-20T00:00:00"/>
  </r>
  <r>
    <x v="3"/>
    <s v="SAGAR"/>
    <s v="S BL Pvt Ltd"/>
    <s v="S BL Pvt Ltd"/>
    <n v="50081808"/>
    <s v="C-TAMPSAFE &quot;I&quot; WHITE (H)-GS"/>
    <n v="10000"/>
    <n v="0.65"/>
    <n v="6500"/>
    <x v="0"/>
    <m/>
    <m/>
    <n v="25501625"/>
    <n v="4500040082"/>
    <d v="2025-12-20T00:00:00"/>
    <n v="2"/>
    <d v="2026-01-20T00:00:00"/>
  </r>
  <r>
    <x v="3"/>
    <s v="SAGAR"/>
    <s v="S BL Pvt Ltd"/>
    <s v="S BL Pvt Ltd"/>
    <n v="50111939"/>
    <s v="N-OPEN &quot;I&quot; NAT NEW 48C (L)-GS"/>
    <n v="10000"/>
    <n v="0.3"/>
    <n v="3000"/>
    <x v="0"/>
    <m/>
    <m/>
    <n v="25501625"/>
    <n v="4500040082"/>
    <d v="2025-12-20T00:00:00"/>
    <n v="3"/>
    <d v="2026-01-20T00:00:00"/>
  </r>
  <r>
    <x v="3"/>
    <s v="SAGAR"/>
    <s v="S BL Pvt Ltd"/>
    <s v="S BL Pvt Ltd"/>
    <n v="50081863"/>
    <s v="B-5ML &quot;I&quot; NATURAL 6C (L)-GS"/>
    <n v="10000"/>
    <n v="1.41"/>
    <n v="14100"/>
    <x v="0"/>
    <m/>
    <m/>
    <n v="25501625"/>
    <n v="4500040082"/>
    <d v="2025-12-20T00:00:00"/>
    <n v="4"/>
    <d v="2026-01-20T00:00:00"/>
  </r>
  <r>
    <x v="3"/>
    <s v="SAGAR"/>
    <s v="S BL Pvt Ltd"/>
    <s v="S BL Pvt Ltd"/>
    <n v="50081808"/>
    <s v="C-TAMPSAFE &quot;I&quot; WHITE (H)-GS"/>
    <n v="10000"/>
    <n v="0.65"/>
    <n v="6500"/>
    <x v="0"/>
    <m/>
    <m/>
    <n v="25501625"/>
    <n v="4500040082"/>
    <d v="2025-12-20T00:00:00"/>
    <n v="5"/>
    <d v="2026-01-20T00:00:00"/>
  </r>
  <r>
    <x v="3"/>
    <s v="SAGAR"/>
    <s v="S BL Pvt Ltd"/>
    <s v="S BL Pvt Ltd"/>
    <n v="50111939"/>
    <s v="N-OPEN &quot;I&quot; NAT NEW 48C (L)-GS"/>
    <n v="10000"/>
    <n v="0.3"/>
    <n v="3000"/>
    <x v="0"/>
    <m/>
    <m/>
    <n v="25501625"/>
    <n v="4500040082"/>
    <d v="2025-12-20T00:00:00"/>
    <n v="6"/>
    <d v="2026-01-20T00:00:00"/>
  </r>
  <r>
    <x v="3"/>
    <s v="PRIYANK"/>
    <s v="SIONALL HEALTHCARE LIMITED"/>
    <s v="SIONALL HEALTHCARE LIMITED"/>
    <n v="50102486"/>
    <s v="B-10ML EX.RG O.GREEN (L-F)-NS"/>
    <n v="50000"/>
    <n v="1.72"/>
    <n v="86000"/>
    <x v="0"/>
    <m/>
    <m/>
    <n v="25501626"/>
    <s v="SAPOPM252600316"/>
    <d v="2025-12-20T00:00:00"/>
    <n v="1"/>
    <d v="2026-01-20T00:00:00"/>
  </r>
  <r>
    <x v="3"/>
    <s v="PRIYANK"/>
    <s v="SIONALL HEALTHCARE LIMITED"/>
    <s v="SIONALL HEALTHCARE LIMITED"/>
    <n v="50081929"/>
    <s v="C-DOUBLESAFE NX O.GREEN (H)-NS"/>
    <n v="50000"/>
    <n v="0.56999999999999995"/>
    <n v="28499.999999999996"/>
    <x v="0"/>
    <m/>
    <m/>
    <n v="25501626"/>
    <s v="SAPOPM252600316"/>
    <d v="2025-12-20T00:00:00"/>
    <n v="3"/>
    <d v="2026-01-20T00:00:00"/>
  </r>
  <r>
    <x v="3"/>
    <s v="PRIYANK"/>
    <s v="SIONALL HEALTHCARE LIMITED"/>
    <s v="SIONALL HEALTHCARE LIMITED"/>
    <n v="50115920"/>
    <s v="N-BLOCK RG O.GREEN-3R (L)-NS"/>
    <n v="50000"/>
    <n v="0.33"/>
    <n v="16500"/>
    <x v="0"/>
    <m/>
    <m/>
    <n v="25501626"/>
    <s v="SAPOPM252600316"/>
    <d v="2025-12-20T00:00:00"/>
    <n v="4"/>
    <d v="2026-01-20T00:00:00"/>
  </r>
  <r>
    <x v="3"/>
    <s v="PRIYANK"/>
    <s v="SIONALL HEALTHCARE LIMITED"/>
    <s v="SIONALL HEALTHCARE LIMITED"/>
    <n v="50104746"/>
    <s v="B-5ML EX.RG O.GREEN (L-F)-NS"/>
    <n v="50000"/>
    <n v="1.6"/>
    <n v="80000"/>
    <x v="0"/>
    <m/>
    <m/>
    <n v="25501626"/>
    <s v="SAPOPM252600316"/>
    <d v="2025-12-20T00:00:00"/>
    <n v="2"/>
    <d v="2026-01-20T00:00:00"/>
  </r>
  <r>
    <x v="3"/>
    <s v="PRIYANK"/>
    <s v="SIONALL HEALTHCARE LIMITED"/>
    <s v="SIONALL HEALTHCARE LIMITED"/>
    <n v="50081929"/>
    <s v="C-DOUBLESAFE NX O.GREEN (H)-NS"/>
    <n v="50000"/>
    <n v="0.56999999999999995"/>
    <n v="28499.999999999996"/>
    <x v="0"/>
    <m/>
    <m/>
    <n v="25501626"/>
    <s v="SAPOPM252600316"/>
    <d v="2025-12-20T00:00:00"/>
    <n v="3"/>
    <d v="2026-01-20T00:00:00"/>
  </r>
  <r>
    <x v="3"/>
    <s v="PRIYANK"/>
    <s v="SIONALL HEALTHCARE LIMITED"/>
    <s v="SIONALL HEALTHCARE LIMITED"/>
    <n v="50115920"/>
    <s v="N-BLOCK RG O.GREEN-3R (L)-NS"/>
    <n v="50000"/>
    <n v="0.33"/>
    <n v="16500"/>
    <x v="0"/>
    <m/>
    <m/>
    <n v="25501626"/>
    <s v="SAPOPM252600316"/>
    <d v="2025-12-20T00:00:00"/>
    <n v="4"/>
    <d v="2026-01-20T00:00:00"/>
  </r>
  <r>
    <x v="0"/>
    <s v="MIHIR"/>
    <s v="ONESOURCE SPECIALTY PHARMA LIM"/>
    <s v="Strides Pharma Science Limited"/>
    <n v="50101140"/>
    <s v="CR-38MM 035 FS 5-4 (RED)"/>
    <n v="300000"/>
    <n v="3.43"/>
    <n v="1029000"/>
    <x v="0"/>
    <n v="300000"/>
    <m/>
    <m/>
    <m/>
    <m/>
    <m/>
    <m/>
  </r>
  <r>
    <x v="3"/>
    <s v="PRIYANK"/>
    <s v="CIRON DRUGS &amp; PHARMACEUTICALS"/>
    <s v="CIRON DRUGS &amp; PHARMACEUTICALS"/>
    <n v="50081866"/>
    <s v="B-5ML EX. RG WHITE (L)-GS"/>
    <n v="200000"/>
    <n v="1.48"/>
    <n v="296000"/>
    <x v="0"/>
    <m/>
    <m/>
    <n v="25501628"/>
    <s v="C1/PM/E/44663"/>
    <d v="2025-12-22T00:00:00"/>
    <n v="1"/>
    <d v="2026-01-22T00:00:00"/>
  </r>
  <r>
    <x v="3"/>
    <s v="PRIYANK"/>
    <s v="CIRON DRUGS &amp; PHARMACEUTICALS"/>
    <s v="CIRON DRUGS &amp; PHARMACEUTICALS"/>
    <n v="50115676"/>
    <s v="C-DSNX BLUE 408856 - GS"/>
    <n v="200000"/>
    <n v="0.6"/>
    <n v="120000"/>
    <x v="0"/>
    <m/>
    <m/>
    <n v="25501628"/>
    <s v="C1/PM/E/44663"/>
    <d v="2025-12-22T00:00:00"/>
    <n v="2"/>
    <d v="2026-01-22T00:00:00"/>
  </r>
  <r>
    <x v="3"/>
    <s v="PRIYANK"/>
    <s v="CIRON DRUGS &amp; PHARMACEUTICALS"/>
    <s v="CIRON DRUGS &amp; PHARMACEUTICALS"/>
    <n v="50105010"/>
    <s v="N-BLOCK RG WHITE-3R (L)-GS"/>
    <n v="200000"/>
    <n v="0.27"/>
    <n v="54000"/>
    <x v="0"/>
    <m/>
    <m/>
    <n v="25501628"/>
    <s v="C1/PM/E/44663"/>
    <d v="2025-12-22T00:00:00"/>
    <n v="3"/>
    <d v="2026-01-22T00:00:00"/>
  </r>
  <r>
    <x v="3"/>
    <s v="PRIYANK"/>
    <s v="CIRON DRUGS &amp; PHARMACEUTICALS"/>
    <s v="CIRON DRUGS &amp; PHARMACEUTICALS"/>
    <n v="50081866"/>
    <s v="B-5ML EX. RG WHITE (L)-GS"/>
    <n v="347000"/>
    <n v="1.48"/>
    <n v="513560"/>
    <x v="3"/>
    <m/>
    <m/>
    <n v="25501628"/>
    <s v="C1/PM/E/44663"/>
    <d v="2025-12-22T00:00:00"/>
    <n v="1"/>
    <d v="2026-01-22T00:00:00"/>
  </r>
  <r>
    <x v="3"/>
    <s v="PRIYANK"/>
    <s v="CIRON DRUGS &amp; PHARMACEUTICALS"/>
    <s v="CIRON DRUGS &amp; PHARMACEUTICALS"/>
    <n v="50115676"/>
    <s v="C-DSNX BLUE 408856 - GS"/>
    <n v="347000"/>
    <n v="0.6"/>
    <n v="208200"/>
    <x v="3"/>
    <m/>
    <m/>
    <n v="25501628"/>
    <s v="C1/PM/E/44663"/>
    <d v="2025-12-22T00:00:00"/>
    <n v="2"/>
    <d v="2026-01-22T00:00:00"/>
  </r>
  <r>
    <x v="3"/>
    <s v="PRIYANK"/>
    <s v="CIRON DRUGS &amp; PHARMACEUTICALS"/>
    <s v="CIRON DRUGS &amp; PHARMACEUTICALS"/>
    <n v="50105010"/>
    <s v="N-BLOCK RG WHITE-3R (L)-GS"/>
    <n v="347000"/>
    <n v="0.27"/>
    <n v="93690"/>
    <x v="3"/>
    <m/>
    <m/>
    <n v="25501628"/>
    <s v="C1/PM/E/44663"/>
    <d v="2025-12-22T00:00:00"/>
    <n v="3"/>
    <d v="2026-01-22T00:00:00"/>
  </r>
  <r>
    <x v="0"/>
    <s v="RAHUL"/>
    <s v="Reckitt Benckiser-ISD"/>
    <s v="Reckitt Benckiser-ISD"/>
    <n v="50115936"/>
    <s v="CR-38-RED 1700-(NL)"/>
    <n v="66000"/>
    <n v="3"/>
    <n v="198000"/>
    <x v="0"/>
    <n v="66000"/>
    <m/>
    <n v="25501586"/>
    <n v="4503753597"/>
    <d v="2025-12-17T00:00:00"/>
    <n v="1"/>
    <d v="2025-12-31T00:00:00"/>
  </r>
  <r>
    <x v="2"/>
    <s v="MIHIR"/>
    <s v="ASPIRO PHARMA LIMITED"/>
    <s v="ASPIRO PHARMA LIMITED"/>
    <n v="50091632"/>
    <s v="B-10ML RSP NATURAL R2 (L)-ET"/>
    <n v="60000"/>
    <n v="3.3"/>
    <n v="198000"/>
    <x v="6"/>
    <m/>
    <s v="IN STERILIZATION"/>
    <n v="25501633"/>
    <n v="9500168422"/>
    <d v="2025-12-22T00:00:00"/>
    <n v="1"/>
    <d v="2026-01-30T00:00:00"/>
  </r>
  <r>
    <x v="0"/>
    <s v="PRIYANK"/>
    <s v="RUBICON RESEARCH LTD"/>
    <s v="RUBICON  RESEARCH LIMITED"/>
    <n v="50113461"/>
    <s v="CR-28-WHT1-HS123/.020(WHT)"/>
    <n v="108400"/>
    <n v="2.15"/>
    <n v="233060"/>
    <x v="0"/>
    <n v="27000"/>
    <s v="SHIPPED"/>
    <n v="25500966"/>
    <n v="4500025793"/>
    <d v="2025-09-12T00:00:00"/>
    <n v="1"/>
    <d v="2025-12-31T00:00:00"/>
  </r>
  <r>
    <x v="0"/>
    <s v="SAGAR"/>
    <s v="Medreich Limited"/>
    <s v="Medreich Limited"/>
    <n v="50114184"/>
    <s v="CR-28 WHT MEDI DSB1500 WHT (H)"/>
    <n v="170000"/>
    <n v="2.91"/>
    <n v="494700"/>
    <x v="2"/>
    <m/>
    <m/>
    <n v="25500223"/>
    <n v="4510203469"/>
    <d v="2025-12-12T00:00:00"/>
    <n v="3"/>
    <d v="2026-02-25T00:00:00"/>
  </r>
  <r>
    <x v="1"/>
    <s v="PRIYANK"/>
    <s v="USV PRIVATE LIMITED"/>
    <s v="USV PRIVATE LIMITED"/>
    <n v="50082022"/>
    <s v="B-5ML RSP WHITE (L)-GS"/>
    <n v="25000"/>
    <n v="2.74"/>
    <n v="68500"/>
    <x v="0"/>
    <m/>
    <m/>
    <n v="25501637"/>
    <n v="4500045399"/>
    <d v="2025-12-22T00:00:00"/>
    <n v="1"/>
    <d v="2026-01-17T00:00:00"/>
  </r>
  <r>
    <x v="2"/>
    <s v="PARTH"/>
    <s v="Immacule Lifesciences Pvt. Ltd"/>
    <s v="Immacule Lifesciences Pvt. Ltd"/>
    <n v="50114358"/>
    <s v="B-5ML RSP WHITE R2 48C(L)-GS"/>
    <n v="40000"/>
    <n v="2.2000000000000002"/>
    <n v="88000"/>
    <x v="0"/>
    <m/>
    <s v="SHIPPED"/>
    <n v="25501640"/>
    <s v="ILPO-CAP/25-26/01031"/>
    <d v="2025-12-23T00:00:00"/>
    <n v="1"/>
    <d v="2025-12-31T00:00:00"/>
  </r>
  <r>
    <x v="2"/>
    <s v="PRIYANK"/>
    <s v="INDOCO REMEDIES LTD"/>
    <s v="INDOCO REMEDIES LTD"/>
    <n v="50093242"/>
    <s v="B-5ML RSP R2 NAT. 1810E NEW-ET"/>
    <n v="180000"/>
    <n v="3.52"/>
    <n v="633600"/>
    <x v="4"/>
    <m/>
    <m/>
    <n v="25501641"/>
    <n v="4500087876"/>
    <d v="2025-12-23T00:00:00"/>
    <n v="1"/>
    <d v="2026-05-01T00:00:00"/>
  </r>
  <r>
    <x v="2"/>
    <s v="PRIYANK"/>
    <s v="INDOCO REMEDIES LTD"/>
    <s v="INDOCO REMEDIES LTD"/>
    <n v="50106297"/>
    <s v="C-TS RSP R2 2.0 WHT 1905(H)-ET"/>
    <n v="180000"/>
    <n v="1.86"/>
    <n v="334800"/>
    <x v="4"/>
    <m/>
    <m/>
    <n v="25501641"/>
    <n v="4500087876"/>
    <d v="2025-12-23T00:00:00"/>
    <n v="2"/>
    <d v="2026-05-01T00:00:00"/>
  </r>
  <r>
    <x v="2"/>
    <s v="PRIYANK"/>
    <s v="INDOCO REMEDIES LTD"/>
    <s v="INDOCO REMEDIES LTD"/>
    <n v="50081841"/>
    <s v="N-OPEN RSP NATURAL(L)-ET"/>
    <n v="180000"/>
    <n v="1.39"/>
    <n v="250199.99999999997"/>
    <x v="4"/>
    <m/>
    <m/>
    <n v="25501641"/>
    <n v="4500087876"/>
    <d v="2025-12-23T00:00:00"/>
    <n v="3"/>
    <d v="2026-05-01T00:00:00"/>
  </r>
  <r>
    <x v="3"/>
    <s v="MIHIR"/>
    <s v="STERICON PHARMA PVT LTD"/>
    <s v="STERICON PHARMA PVT LTD"/>
    <n v="50082096"/>
    <s v="N-OPEN RG NATURAL 64C(L)-GS"/>
    <n v="300000"/>
    <n v="0.25"/>
    <n v="75000"/>
    <x v="0"/>
    <m/>
    <s v="IN STERILIZATION"/>
    <n v="25501643"/>
    <n v="4521003629"/>
    <d v="2025-12-23T00:00:00"/>
    <n v="1"/>
    <d v="2026-01-31T00:00:00"/>
  </r>
  <r>
    <x v="3"/>
    <s v="MIHIR"/>
    <s v="STERICON PHARMA PVT LTD"/>
    <s v="STERICON PHARMA PVT LTD"/>
    <n v="50081903"/>
    <s v="C-TAMPSAFE SS(R) WHITE(H)-GS"/>
    <n v="300000"/>
    <n v="0.72"/>
    <n v="216000"/>
    <x v="0"/>
    <m/>
    <s v="IN STERILIZATION"/>
    <n v="25501409"/>
    <n v="4521003374"/>
    <d v="2025-11-25T00:00:00"/>
    <n v="1.2"/>
    <d v="2025-12-10T00:00:00"/>
  </r>
  <r>
    <x v="3"/>
    <s v="MIHIR"/>
    <s v="STERICON PHARMA PVT LTD"/>
    <s v="STERICON PHARMA PVT LTD"/>
    <n v="50113256"/>
    <s v="B-15ML EX.RG WHITE (L) 16C-GS"/>
    <n v="300000"/>
    <n v="2.21"/>
    <n v="663000"/>
    <x v="2"/>
    <m/>
    <s v="IN STERILIZATION"/>
    <n v="25500198"/>
    <n v="4521003371"/>
    <d v="2025-11-25T00:00:00"/>
    <n v="1.5"/>
    <d v="2026-01-31T00:00:00"/>
  </r>
  <r>
    <x v="3"/>
    <s v="MIHIR"/>
    <s v="STERICON PHARMA PVT LTD"/>
    <s v="STERICON PHARMA PVT LTD"/>
    <n v="50082096"/>
    <s v="N-OPEN RG NATURAL 64C(L)-GS"/>
    <n v="100000"/>
    <n v="0.25"/>
    <n v="25000"/>
    <x v="0"/>
    <m/>
    <m/>
    <n v="25501643"/>
    <n v="4521003629"/>
    <d v="2025-12-23T00:00:00"/>
    <n v="1"/>
    <d v="2026-01-31T00:00:00"/>
  </r>
  <r>
    <x v="3"/>
    <s v="MIHIR"/>
    <s v="STERICON PHARMA PVT LTD"/>
    <s v="STERICON PHARMA PVT LTD"/>
    <n v="50081903"/>
    <s v="C-TAMPSAFE SS(R) WHITE(H)-GS"/>
    <n v="100000"/>
    <n v="0.72"/>
    <n v="72000"/>
    <x v="0"/>
    <m/>
    <m/>
    <n v="25501409"/>
    <n v="4521003374"/>
    <d v="2025-11-25T00:00:00"/>
    <n v="1.2"/>
    <d v="2025-12-10T00:00:00"/>
  </r>
  <r>
    <x v="3"/>
    <s v="MIHIR"/>
    <s v="STERICON PHARMA PVT LTD"/>
    <s v="STERICON PHARMA PVT LTD"/>
    <n v="50113256"/>
    <s v="B-15ML EX.RG WHITE (L) 16C-GS"/>
    <n v="100000"/>
    <n v="2.21"/>
    <n v="221000"/>
    <x v="2"/>
    <m/>
    <m/>
    <n v="25500198"/>
    <n v="4521003371"/>
    <d v="2025-11-25T00:00:00"/>
    <n v="1.5"/>
    <d v="2026-01-31T00:00:00"/>
  </r>
  <r>
    <x v="3"/>
    <s v="MIHIR"/>
    <s v="STERICON PHARMA PVT LTD"/>
    <s v="STERICON PHARMA PVT LTD"/>
    <n v="50082096"/>
    <s v="N-OPEN RG NATURAL 64C(L)-GS"/>
    <n v="200000"/>
    <n v="0.25"/>
    <n v="50000"/>
    <x v="0"/>
    <m/>
    <m/>
    <n v="25501643"/>
    <n v="4521003629"/>
    <d v="2025-12-23T00:00:00"/>
    <n v="1"/>
    <d v="2026-01-31T00:00:00"/>
  </r>
  <r>
    <x v="3"/>
    <s v="MIHIR"/>
    <s v="STERICON PHARMA PVT LTD"/>
    <s v="STERICON PHARMA PVT LTD"/>
    <n v="50081903"/>
    <s v="C-TAMPSAFE SS(R) WHITE(H)-GS"/>
    <n v="200000"/>
    <n v="0.72"/>
    <n v="144000"/>
    <x v="0"/>
    <m/>
    <m/>
    <n v="25501409"/>
    <n v="4521003374"/>
    <d v="2025-11-25T00:00:00"/>
    <n v="1.2"/>
    <d v="2025-12-10T00:00:00"/>
  </r>
  <r>
    <x v="3"/>
    <s v="MIHIR"/>
    <s v="STERICON PHARMA PVT LTD"/>
    <s v="STERICON PHARMA PVT LTD"/>
    <n v="50113256"/>
    <s v="B-15ML EX.RG WHITE (L) 16C-GS"/>
    <n v="200000"/>
    <n v="2.21"/>
    <n v="442000"/>
    <x v="2"/>
    <m/>
    <m/>
    <n v="25500198"/>
    <n v="4521003371"/>
    <d v="2025-11-25T00:00:00"/>
    <n v="1.5"/>
    <d v="2026-01-31T00:00:00"/>
  </r>
  <r>
    <x v="3"/>
    <s v="MIHIR"/>
    <s v="STERICON PHARMA PVT LTD"/>
    <s v="STERICON PHARMA PVT LTD"/>
    <n v="50082096"/>
    <s v="N-OPEN RG NATURAL 64C(L)-GS"/>
    <n v="200000"/>
    <n v="0.25"/>
    <n v="50000"/>
    <x v="0"/>
    <m/>
    <m/>
    <n v="25501643"/>
    <n v="4521003629"/>
    <d v="2025-12-23T00:00:00"/>
    <n v="1"/>
    <d v="2026-01-31T00:00:00"/>
  </r>
  <r>
    <x v="3"/>
    <s v="MIHIR"/>
    <s v="STERICON PHARMA PVT LTD"/>
    <s v="STERICON PHARMA PVT LTD"/>
    <n v="50081903"/>
    <s v="C-TAMPSAFE SS(R) WHITE(H)-GS"/>
    <n v="200000"/>
    <n v="0.72"/>
    <n v="144000"/>
    <x v="0"/>
    <m/>
    <m/>
    <n v="25501409"/>
    <n v="4521003374"/>
    <d v="2025-11-25T00:00:00"/>
    <n v="1.2"/>
    <d v="2025-12-10T00:00:00"/>
  </r>
  <r>
    <x v="3"/>
    <s v="MIHIR"/>
    <s v="STERICON PHARMA PVT LTD"/>
    <s v="STERICON PHARMA PVT LTD"/>
    <n v="50113256"/>
    <s v="B-15ML EX.RG WHITE (L) 16C-GS"/>
    <n v="200000"/>
    <n v="2.21"/>
    <n v="442000"/>
    <x v="2"/>
    <m/>
    <m/>
    <n v="25500198"/>
    <n v="4521003371"/>
    <d v="2025-11-25T00:00:00"/>
    <n v="1.5"/>
    <d v="2026-01-31T00:00:00"/>
  </r>
  <r>
    <x v="3"/>
    <s v="MIHIR"/>
    <s v="STERICON PHARMA PVT LTD"/>
    <s v="STERICON PHARMA PVT LTD"/>
    <n v="50082096"/>
    <s v="N-OPEN RG NATURAL 64C(L)-GS"/>
    <n v="200000"/>
    <n v="0.25"/>
    <n v="50000"/>
    <x v="0"/>
    <m/>
    <m/>
    <n v="25501643"/>
    <n v="4521003629"/>
    <d v="2025-12-23T00:00:00"/>
    <n v="1"/>
    <d v="2026-01-31T00:00:00"/>
  </r>
  <r>
    <x v="3"/>
    <s v="MIHIR"/>
    <s v="STERICON PHARMA PVT LTD"/>
    <s v="STERICON PHARMA PVT LTD"/>
    <n v="50081903"/>
    <s v="C-TAMPSAFE SS(R) WHITE(H)-GS"/>
    <n v="200000"/>
    <n v="0.72"/>
    <n v="144000"/>
    <x v="0"/>
    <m/>
    <m/>
    <n v="25501409"/>
    <n v="4521003374"/>
    <d v="2025-11-25T00:00:00"/>
    <n v="1.2"/>
    <d v="2025-12-10T00:00:00"/>
  </r>
  <r>
    <x v="3"/>
    <s v="MIHIR"/>
    <s v="STERICON PHARMA PVT LTD"/>
    <s v="STERICON PHARMA PVT LTD"/>
    <n v="50113256"/>
    <s v="B-15ML EX.RG WHITE (L) 16C-GS"/>
    <n v="200000"/>
    <n v="2.21"/>
    <n v="442000"/>
    <x v="2"/>
    <m/>
    <m/>
    <n v="25500198"/>
    <n v="4521003371"/>
    <d v="2025-11-25T00:00:00"/>
    <n v="1.5"/>
    <d v="2026-01-31T00:00:00"/>
  </r>
  <r>
    <x v="3"/>
    <s v="MIHIR"/>
    <s v="STERICON PHARMA PVT LTD"/>
    <s v="STERICON PHARMA PVT LTD"/>
    <n v="50082096"/>
    <s v="N-OPEN RG NATURAL 64C(L)-GS"/>
    <n v="200000"/>
    <n v="0.25"/>
    <n v="50000"/>
    <x v="0"/>
    <m/>
    <m/>
    <n v="25501643"/>
    <n v="4521003629"/>
    <d v="2025-12-23T00:00:00"/>
    <n v="1"/>
    <d v="2026-01-31T00:00:00"/>
  </r>
  <r>
    <x v="3"/>
    <s v="PRIYANK"/>
    <s v="AJANTA PHARMA LIMITED-GUWAHATI"/>
    <s v="AJANTA PHARMA LIMITED-GUWAHATI"/>
    <n v="50114370"/>
    <s v="B-5ML &quot;O&quot; WHITE 48C(L)-GS"/>
    <n v="400000"/>
    <n v="1.62"/>
    <n v="648000"/>
    <x v="0"/>
    <m/>
    <m/>
    <n v="25501647"/>
    <n v="4100315241"/>
    <d v="2025-12-23T00:00:00"/>
    <n v="1"/>
    <d v="2026-02-01T00:00:00"/>
  </r>
  <r>
    <x v="3"/>
    <s v="PRIYANK"/>
    <s v="AJANTA PHARMA LIMITED-GUWAHATI"/>
    <s v="AJANTA PHARMA LIMITED-GUWAHATI"/>
    <n v="50081805"/>
    <s v="C-TAMPSAFE &quot;O&quot; WHITE (H)-GS"/>
    <n v="400000"/>
    <n v="0.62"/>
    <n v="248000"/>
    <x v="0"/>
    <m/>
    <m/>
    <n v="25501647"/>
    <n v="4100315241"/>
    <d v="2025-12-23T00:00:00"/>
    <n v="2"/>
    <d v="2026-02-01T00:00:00"/>
  </r>
  <r>
    <x v="3"/>
    <s v="PRIYANK"/>
    <s v="AJANTA PHARMA LIMITED-GUWAHATI"/>
    <s v="AJANTA PHARMA LIMITED-GUWAHATI"/>
    <n v="50081947"/>
    <s v="N-OPEN &quot;O&quot;NATURAL (L)-GS"/>
    <n v="400000"/>
    <n v="0.27"/>
    <n v="108000"/>
    <x v="0"/>
    <m/>
    <m/>
    <n v="25501647"/>
    <n v="4100315241"/>
    <d v="2025-12-23T00:00:00"/>
    <n v="3"/>
    <d v="2026-02-01T00:00:00"/>
  </r>
  <r>
    <x v="3"/>
    <s v="PRIYANK"/>
    <s v="CADILA PHARMACEUTICALS LIMITED"/>
    <s v="CADILA PHARMACEUTICALS LIMITED"/>
    <n v="50082156"/>
    <s v="C-TAMPLOCK WHITE (H)-GS"/>
    <n v="10000"/>
    <n v="0.39"/>
    <n v="3900"/>
    <x v="0"/>
    <m/>
    <m/>
    <n v="25501648"/>
    <n v="2500245602"/>
    <d v="2025-12-23T00:00:00"/>
    <n v="1"/>
    <d v="2026-02-04T00:00:00"/>
  </r>
  <r>
    <x v="0"/>
    <s v="SAGAR"/>
    <s v="Medreich Limited-Unit 1"/>
    <s v="Medreich Limited-Unit 1"/>
    <n v="50114184"/>
    <s v="CR-28 WHT MEDI DSB1500 WHT (H)"/>
    <n v="250000"/>
    <n v="2.91"/>
    <n v="727500"/>
    <x v="2"/>
    <m/>
    <m/>
    <n v="25500222"/>
    <n v="4510203405"/>
    <d v="2025-12-11T00:00:00"/>
    <n v="1"/>
    <d v="2026-02-12T00:00:00"/>
  </r>
  <r>
    <x v="7"/>
    <s v="MIHIR"/>
    <s v="Pfizer (Hospira INC)"/>
    <s v="Hospira INC."/>
    <n v="50096987"/>
    <s v="30mL Plastic Bottle 20mmFinish"/>
    <n v="432000"/>
    <n v="5.74"/>
    <n v="2479680"/>
    <x v="1"/>
    <m/>
    <m/>
    <n v="25880016"/>
    <s v="4505364455/5205"/>
    <d v="2025-06-16T00:00:00"/>
    <n v="4.0999999999999996"/>
    <d v="2025-12-31T00:00:00"/>
  </r>
  <r>
    <x v="7"/>
    <s v="MIHIR"/>
    <s v="Pfizer Healthcare India Pvt. L"/>
    <s v="Pfizer Healthcare India Pvt. L"/>
    <n v="50096987"/>
    <s v="30mL Plastic Bottle 20mmFinish"/>
    <n v="575000"/>
    <n v="3.4338000000000002"/>
    <n v="1974435"/>
    <x v="0"/>
    <m/>
    <s v="SHIPPED"/>
    <n v="25880016"/>
    <s v="4505364455/5205"/>
    <d v="2025-06-16T00:00:00"/>
    <n v="4.0999999999999996"/>
    <d v="2025-12-31T00:00:00"/>
  </r>
  <r>
    <x v="7"/>
    <s v="MIHIR"/>
    <s v="Pfizer Healthcare India Pvt. L"/>
    <s v="Pfizer Healthcare India Pvt. L"/>
    <n v="50096987"/>
    <s v="30mL Plastic Bottle 20mmFinish"/>
    <n v="575000"/>
    <n v="3.4338000000000002"/>
    <n v="1974435"/>
    <x v="0"/>
    <m/>
    <s v="SHIPPED"/>
    <n v="25880016"/>
    <s v="4505364455/5205"/>
    <d v="2025-06-16T00:00:00"/>
    <n v="4.0999999999999996"/>
    <d v="2025-12-31T00:00:00"/>
  </r>
  <r>
    <x v="7"/>
    <s v="MIHIR"/>
    <s v="Pfizer Healthcare India Pvt. L"/>
    <s v="Pfizer Healthcare India Pvt. L"/>
    <n v="50096987"/>
    <s v="30mL Plastic Bottle 20mmFinish"/>
    <n v="575000"/>
    <n v="3.4338000000000002"/>
    <n v="1974435"/>
    <x v="0"/>
    <m/>
    <m/>
    <n v="25880016"/>
    <s v="4505364455/5205"/>
    <d v="2025-06-16T00:00:00"/>
    <n v="4.0999999999999996"/>
    <d v="2025-12-31T00:00:00"/>
  </r>
  <r>
    <x v="8"/>
    <s v="SAGAR"/>
    <s v="RECKITT BENCKISER HEALTHCARE ("/>
    <s v="RECKITT BENCKISER HEALTHCARE ("/>
    <n v="50082406"/>
    <s v="CRC - SPEEDY BLUE"/>
    <n v="184000"/>
    <n v="6.8364000000000003"/>
    <n v="1257897.6000000001"/>
    <x v="0"/>
    <m/>
    <s v="SHIPPED"/>
    <n v="25880028"/>
    <n v="4503611930"/>
    <d v="2025-07-18T00:00:00"/>
    <n v="1"/>
    <d v="2026-01-14T00:00:00"/>
  </r>
  <r>
    <x v="2"/>
    <s v="PRIYANK"/>
    <s v="R K PHARMA INC"/>
    <s v="RK Pharma Inc."/>
    <n v="50091672"/>
    <s v="B-10ML RSP WHITE R2 (L)-GS"/>
    <n v="107000"/>
    <n v="3.3668999999999998"/>
    <n v="360258.3"/>
    <x v="0"/>
    <m/>
    <m/>
    <n v="25880031"/>
    <s v="U125FF0081-V0"/>
    <d v="2025-07-22T00:00:00"/>
    <n v="1"/>
    <d v="2025-12-31T00:00:00"/>
  </r>
  <r>
    <x v="2"/>
    <s v="PRIYANK"/>
    <s v="R K PHARMA INC"/>
    <s v="RK Pharma Inc."/>
    <n v="50114341"/>
    <s v="N-OPEN RSP WHITE 64C(L)-GS"/>
    <n v="75000"/>
    <n v="2.3329"/>
    <n v="174967.5"/>
    <x v="0"/>
    <m/>
    <m/>
    <n v="25880031"/>
    <s v="U125FF0081-V0"/>
    <d v="2025-07-22T00:00:00"/>
    <n v="2"/>
    <d v="2025-12-31T00:00:00"/>
  </r>
  <r>
    <x v="7"/>
    <s v="MIHIR"/>
    <s v="Pfizer Healthcare India Pvt. L"/>
    <s v="Pfizer Healthcare India Pvt. L"/>
    <n v="50096987"/>
    <s v="30mL Plastic Bottle 20mmFinish"/>
    <n v="575000"/>
    <n v="3.4338000000000002"/>
    <n v="1974435"/>
    <x v="0"/>
    <m/>
    <m/>
    <n v="25880045"/>
    <s v="4505408919/5210"/>
    <d v="2025-09-26T00:00:00"/>
    <n v="1"/>
    <d v="2026-02-12T00:00:00"/>
  </r>
  <r>
    <x v="2"/>
    <s v="PRIYANK"/>
    <s v="KLEVA PHARMACEUTICALS SA"/>
    <s v="KLEVA PHARMACEUTICALS SA"/>
    <n v="50113738"/>
    <s v="C-TS RSP R2 2.0 WHT 64C (H)-GS"/>
    <n v="150000"/>
    <n v="3.5834000000000001"/>
    <n v="537510"/>
    <x v="0"/>
    <m/>
    <m/>
    <n v="25880048"/>
    <n v="186"/>
    <d v="2025-10-07T00:00:00"/>
    <n v="2"/>
    <d v="2025-12-19T00:00:00"/>
  </r>
  <r>
    <x v="7"/>
    <s v="MIHIR"/>
    <s v="Pfizer Healthcare India Pvt. L"/>
    <s v="Pfizer Healthcare India Pvt. L"/>
    <n v="50096987"/>
    <s v="30mL Plastic Bottle 20mmFinish"/>
    <n v="575000"/>
    <n v="3.4338000000000002"/>
    <n v="1974435"/>
    <x v="0"/>
    <m/>
    <m/>
    <n v="25880045"/>
    <s v="4505408919/5210"/>
    <d v="2025-09-26T00:00:00"/>
    <n v="1"/>
    <d v="2026-02-12T00:00:00"/>
  </r>
  <r>
    <x v="7"/>
    <s v="MIHIR"/>
    <s v="Pfizer Healthcare India Pvt. L"/>
    <s v="Pfizer Healthcare India Pvt. L"/>
    <n v="50096985"/>
    <s v="10mL Plastic Bottle 20mmFinish"/>
    <n v="1151000"/>
    <n v="2.5367999999999999"/>
    <n v="2919856.8"/>
    <x v="0"/>
    <m/>
    <s v="SHIPPED"/>
    <n v="25880054"/>
    <s v="4505406268/5205"/>
    <d v="2025-10-28T00:00:00"/>
    <n v="4.3"/>
    <d v="2026-05-26T00:00:00"/>
  </r>
  <r>
    <x v="7"/>
    <s v="MIHIR"/>
    <s v="Pfizer Healthcare India Pvt. L"/>
    <s v="Pfizer Healthcare India Pvt. L"/>
    <n v="50096985"/>
    <s v="10mL Plastic Bottle 20mmFinish"/>
    <n v="1151000"/>
    <n v="2.5367999999999999"/>
    <n v="2919856.8"/>
    <x v="0"/>
    <m/>
    <s v="SHIPPED"/>
    <n v="25880054"/>
    <s v="4505406268/5205"/>
    <d v="2025-10-28T00:00:00"/>
    <n v="4.3"/>
    <d v="2026-05-26T00:00:00"/>
  </r>
  <r>
    <x v="7"/>
    <s v="MIHIR"/>
    <s v="Pfizer Healthcare India Pvt. L"/>
    <s v="Pfizer Healthcare India Pvt. L"/>
    <n v="50096985"/>
    <s v="10mL Plastic Bottle 20mmFinish"/>
    <n v="1151000"/>
    <n v="2.5367999999999999"/>
    <n v="2919856.8"/>
    <x v="0"/>
    <m/>
    <m/>
    <n v="25880054"/>
    <s v="4505406268/5205"/>
    <d v="2025-10-28T00:00:00"/>
    <n v="4.3"/>
    <d v="2026-05-26T00:00:00"/>
  </r>
  <r>
    <x v="7"/>
    <s v="MIHIR"/>
    <s v="Pfizer Healthcare India Pvt. L"/>
    <s v="Pfizer Healthcare India Pvt. L"/>
    <n v="50096985"/>
    <s v="10mL Plastic Bottle 20mmFinish"/>
    <n v="900000"/>
    <n v="2.5367999999999999"/>
    <n v="2283120"/>
    <x v="0"/>
    <m/>
    <m/>
    <n v="25880054"/>
    <s v="4505406268/5205"/>
    <d v="2025-10-28T00:00:00"/>
    <n v="4.3"/>
    <d v="2026-05-26T00:00:00"/>
  </r>
  <r>
    <x v="2"/>
    <s v="PRIYANK"/>
    <s v="KLEVA PHARMACEUTICALS SA"/>
    <s v="KLEVA PHARMACEUTICALS SA"/>
    <n v="50105703"/>
    <s v="N-OPEN RSP-30mcl WHT NEW(L)-GS"/>
    <n v="15000"/>
    <n v="3.5539999999999998"/>
    <n v="53310"/>
    <x v="0"/>
    <m/>
    <m/>
    <n v="25880057"/>
    <n v="219"/>
    <d v="2025-11-17T00:00:00"/>
    <n v="1"/>
    <d v="2026-02-05T00:00:00"/>
  </r>
  <r>
    <x v="7"/>
    <s v="MIHIR"/>
    <s v="Pfizer Healthcare India Pvt. L"/>
    <s v="Pfizer Healthcare India Pvt. L"/>
    <n v="50096986"/>
    <s v="20mL Plastic Bottle 20mmFinish"/>
    <n v="576000"/>
    <n v="4.95"/>
    <n v="2851200"/>
    <x v="1"/>
    <m/>
    <m/>
    <n v="25880060"/>
    <s v="4505368103/5205"/>
    <d v="2025-11-28T00:00:00"/>
    <n v="1.1000000000000001"/>
    <d v="2026-03-20T00:00:00"/>
  </r>
  <r>
    <x v="7"/>
    <s v="MIHIR"/>
    <s v="Pfizer Healthcare India Pvt. L"/>
    <s v="Pfizer Healthcare India Pvt. L"/>
    <n v="50096986"/>
    <s v="20mL Plastic Bottle 20mmFinish"/>
    <n v="767000"/>
    <n v="3.2172000000000001"/>
    <n v="2467592.4"/>
    <x v="0"/>
    <m/>
    <s v="SHIPPED"/>
    <n v="25880060"/>
    <s v="4505368103/5205"/>
    <d v="2025-11-28T00:00:00"/>
    <n v="1.1000000000000001"/>
    <d v="2026-03-20T00:00:00"/>
  </r>
  <r>
    <x v="7"/>
    <s v="MIHIR"/>
    <s v="Pfizer Healthcare India Pvt. L"/>
    <s v="Pfizer Healthcare India Pvt. L"/>
    <n v="50096986"/>
    <s v="20mL Plastic Bottle 20mmFinish"/>
    <n v="767000"/>
    <n v="3.2172000000000001"/>
    <n v="2467592.4"/>
    <x v="0"/>
    <m/>
    <s v="SHIPPED"/>
    <n v="25880060"/>
    <s v="4505368103/5205"/>
    <d v="2025-11-28T00:00:00"/>
    <n v="1.1000000000000001"/>
    <d v="2026-03-20T00:00:00"/>
  </r>
  <r>
    <x v="7"/>
    <s v="MIHIR"/>
    <s v="Pfizer Healthcare India Pvt. L"/>
    <s v="Pfizer Healthcare India Pvt. L"/>
    <n v="50096986"/>
    <s v="20mL Plastic Bottle 20mmFinish"/>
    <n v="767000"/>
    <n v="3.2172000000000001"/>
    <n v="2467592.4"/>
    <x v="0"/>
    <m/>
    <m/>
    <n v="25880060"/>
    <s v="4505368103/5205"/>
    <d v="2025-11-28T00:00:00"/>
    <n v="1.1000000000000001"/>
    <d v="2026-03-20T00:00:00"/>
  </r>
  <r>
    <x v="7"/>
    <s v="MIHIR"/>
    <s v="Pfizer Healthcare India Pvt. L"/>
    <s v="Pfizer Healthcare India Pvt. L"/>
    <n v="50096986"/>
    <s v="20mL Plastic Bottle 20mmFinish"/>
    <n v="500000"/>
    <n v="3.2172000000000001"/>
    <n v="1608600"/>
    <x v="0"/>
    <m/>
    <m/>
    <n v="25880060"/>
    <s v="4505368103/5205"/>
    <d v="2025-11-28T00:00:00"/>
    <n v="1.1000000000000001"/>
    <d v="2026-03-20T00:00:00"/>
  </r>
  <r>
    <x v="2"/>
    <s v="PRIYANK"/>
    <s v="KLEVA PHARMACEUTICALS SA"/>
    <s v="KLEVA PHARMACEUTICALS SA"/>
    <n v="50113649"/>
    <s v="N-OPEN RSP NATURAL-64C(L)-GS"/>
    <n v="144000"/>
    <n v="2.9159000000000002"/>
    <n v="419889.60000000003"/>
    <x v="0"/>
    <m/>
    <m/>
    <n v="25880061"/>
    <n v="201"/>
    <d v="2025-11-29T00:00:00"/>
    <n v="1"/>
    <d v="2025-12-15T00:00:00"/>
  </r>
  <r>
    <x v="2"/>
    <s v="PRIYANK"/>
    <s v="KLEVA PHARMACEUTICALS SA"/>
    <s v="KLEVA PHARMACEUTICALS SA"/>
    <n v="50106301"/>
    <s v="B-5ML RSP WHITE R2(270G)(P)-GS"/>
    <n v="144000"/>
    <n v="4.5644"/>
    <n v="657273.59999999998"/>
    <x v="0"/>
    <m/>
    <m/>
    <n v="25880061"/>
    <n v="201"/>
    <d v="2025-11-29T00:00:00"/>
    <n v="2"/>
    <d v="2025-12-15T00:00:00"/>
  </r>
  <r>
    <x v="0"/>
    <s v="PRIYANK"/>
    <s v="RUBICON RESEARCH LTD"/>
    <s v="RUBICON  RESEARCH LIMITED"/>
    <n v="50113461"/>
    <s v="CR-28-WHT1-HS123/.020(WHT)"/>
    <n v="108400"/>
    <n v="2.15"/>
    <n v="233060"/>
    <x v="0"/>
    <m/>
    <s v="SHIPPED"/>
    <n v="25500966"/>
    <n v="4500025793"/>
    <d v="2025-09-12T00:00:00"/>
    <n v="2"/>
    <d v="2025-12-31T00:00:00"/>
  </r>
  <r>
    <x v="1"/>
    <s v="PARTH"/>
    <s v="HEALTHCARE PHARMACEUTICALS LTD"/>
    <s v="HEALTHCARE PHARMACEUTICALS LTD"/>
    <n v="50114367"/>
    <s v="B-5ML RSP WHITE 48C(L)-GS"/>
    <n v="500000"/>
    <n v="2.7791000000000001"/>
    <n v="1389550"/>
    <x v="0"/>
    <m/>
    <s v="SHIPPED"/>
    <n v="25880064"/>
    <s v="BPREX-176/2025-26"/>
    <d v="2025-12-09T00:00:00"/>
    <n v="1"/>
    <d v="2025-12-31T00:00:00"/>
  </r>
  <r>
    <x v="1"/>
    <s v="PARTH"/>
    <s v="HEALTHCARE PHARMACEUTICALS LTD"/>
    <s v="HEALTHCARE PHARMACEUTICALS LTD"/>
    <n v="50081723"/>
    <s v="C-TAMPSAFE RSP WHITE (H)-GS"/>
    <n v="500000"/>
    <n v="1.9749000000000001"/>
    <n v="987450"/>
    <x v="0"/>
    <m/>
    <s v="SHIPPED"/>
    <n v="25880064"/>
    <s v="BPREX-176/2025-26"/>
    <d v="2025-12-09T00:00:00"/>
    <n v="2"/>
    <d v="2025-12-31T00:00:00"/>
  </r>
  <r>
    <x v="1"/>
    <s v="PARTH"/>
    <s v="HEALTHCARE PHARMACEUTICALS LTD"/>
    <s v="HEALTHCARE PHARMACEUTICALS LTD"/>
    <n v="50113649"/>
    <s v="N-OPEN RSP NATURAL-64C(L)-GS"/>
    <n v="500000"/>
    <n v="0.92930000000000001"/>
    <n v="464650"/>
    <x v="0"/>
    <m/>
    <s v="SHIPPED"/>
    <n v="25880064"/>
    <s v="BPREX-176/2025-26"/>
    <d v="2025-12-09T00:00:00"/>
    <n v="3"/>
    <d v="2025-12-31T00:00:00"/>
  </r>
  <r>
    <x v="2"/>
    <s v="PRIYANK"/>
    <s v="R K PHARMA INC"/>
    <s v="R K PHARMA INC"/>
    <n v="50113739"/>
    <s v="C-TS RSP R2 2.0 WHT 64C (H)-ET"/>
    <n v="160000"/>
    <n v="2.4127000000000001"/>
    <n v="386032"/>
    <x v="0"/>
    <m/>
    <m/>
    <n v="25880068"/>
    <s v="U125FF0154-V0"/>
    <d v="2025-12-20T00:00:00"/>
    <n v="1"/>
    <d v="2025-12-31T00:00:00"/>
  </r>
  <r>
    <x v="2"/>
    <s v="PRIYANK"/>
    <s v="R K PHARMA INC"/>
    <s v="R K PHARMA INC"/>
    <n v="50114342"/>
    <s v="N-OPEN RSP WHITE 64C(L)-ET"/>
    <n v="280000"/>
    <n v="2.3233999999999999"/>
    <n v="650552"/>
    <x v="0"/>
    <m/>
    <m/>
    <n v="25880068"/>
    <s v="U125FF0154-V0"/>
    <d v="2025-12-20T00:00:00"/>
    <n v="2"/>
    <d v="2025-12-31T00:00:00"/>
  </r>
  <r>
    <x v="2"/>
    <s v="PRIYANK"/>
    <s v="R K PHARMA INC"/>
    <s v="R K PHARMA INC"/>
    <n v="50114359"/>
    <s v="B-5ML RSP WHITE R2 48C(L)-ET"/>
    <n v="160000"/>
    <n v="2.8595000000000002"/>
    <n v="457520"/>
    <x v="0"/>
    <m/>
    <m/>
    <n v="25880068"/>
    <s v="U125FF0154-V0"/>
    <d v="2025-12-20T00:00:00"/>
    <n v="3"/>
    <d v="2025-12-31T00:00:00"/>
  </r>
  <r>
    <x v="2"/>
    <s v="PRIYANK"/>
    <s v="R K PHARMA INC"/>
    <s v="R K PHARMA INC"/>
    <n v="50091673"/>
    <s v="B-10ML RSP WHITE R2 (L)-ET"/>
    <n v="130000"/>
    <n v="3.3957000000000002"/>
    <n v="441441"/>
    <x v="0"/>
    <m/>
    <m/>
    <n v="25880068"/>
    <s v="U125FF0154-V0"/>
    <d v="2025-12-20T00:00:00"/>
    <n v="4"/>
    <d v="2025-12-31T00:00:00"/>
  </r>
  <r>
    <x v="9"/>
    <s v="RAHUL"/>
    <s v="Reliance"/>
    <s v="Reliance"/>
    <n v="50115692"/>
    <s v="C-28MM BEV ORGANGE (GM) 72C(H)"/>
    <n v="1000000"/>
    <n v="0.36699999999999999"/>
    <n v="367000"/>
    <x v="7"/>
    <m/>
    <m/>
    <m/>
    <m/>
    <m/>
    <m/>
    <m/>
  </r>
  <r>
    <x v="6"/>
    <s v="RAHUL"/>
    <s v="JNTL CONSUMER HEALTH (INDIA) P"/>
    <s v="JNTL CONSUMER HEALTH (INDIA) P"/>
    <n v="50115558"/>
    <s v="C-C&amp;C FLIP TOP (P)(NL)-20mm"/>
    <n v="1000000"/>
    <n v="0.61"/>
    <n v="610000"/>
    <x v="2"/>
    <m/>
    <m/>
    <n v="25500009"/>
    <n v="6200092032"/>
    <d v="2025-04-08T00:00:00"/>
    <n v="1.8"/>
    <d v="2025-10-31T00:00:00"/>
  </r>
  <r>
    <x v="3"/>
    <s v="PRIYANK"/>
    <s v="INDIANA OPHTHALMICS LLP"/>
    <s v="INDIANA OPHTHALMICS LLP"/>
    <n v="50083266"/>
    <s v="B-5ML RG WHITE -12C (L)-GS"/>
    <n v="499820"/>
    <n v="1.74"/>
    <n v="869686.8"/>
    <x v="2"/>
    <m/>
    <m/>
    <n v="25500095"/>
    <s v="IPOP250751"/>
    <d v="2025-07-29T00:00:00"/>
    <n v="1.2"/>
    <d v="2025-10-31T00:00:00"/>
  </r>
  <r>
    <x v="10"/>
    <s v="PRIYANK"/>
    <s v="CADILA PHARMACEUTICALS LIMITED"/>
    <s v="CADILA PHARMACEUTICALS LIMITED"/>
    <n v="50102431"/>
    <s v="B-30ML OVAL WHITE (L-J)-NS"/>
    <n v="13288"/>
    <n v="2.37"/>
    <n v="31492.560000000001"/>
    <x v="2"/>
    <m/>
    <m/>
    <n v="25500101"/>
    <n v="2500235387"/>
    <d v="2025-07-31T00:00:00"/>
    <n v="1"/>
    <d v="2025-10-31T00:00:00"/>
  </r>
  <r>
    <x v="10"/>
    <s v="PRIYANK"/>
    <s v="CADILA PHARMACEUTICALS LIMITED"/>
    <s v="CADILA PHARMACEUTICALS LIMITED"/>
    <n v="50102428"/>
    <s v="N-NASAL SPRAY OPEN NAT (L-J)"/>
    <n v="13288"/>
    <n v="0.19"/>
    <n v="2524.7200000000003"/>
    <x v="2"/>
    <m/>
    <m/>
    <n v="25500101"/>
    <n v="2500235387"/>
    <d v="2025-07-31T00:00:00"/>
    <n v="2"/>
    <d v="2025-10-31T00:00:00"/>
  </r>
  <r>
    <x v="10"/>
    <s v="PRIYANK"/>
    <s v="CADILA PHARMACEUTICALS LIMITED"/>
    <s v="CADILA PHARMACEUTICALS LIMITED"/>
    <n v="50081680"/>
    <s v="C-TAMPSAFE NS WHITE (H)-NS"/>
    <n v="13288"/>
    <n v="0.32"/>
    <n v="4252.16"/>
    <x v="2"/>
    <m/>
    <m/>
    <n v="25500101"/>
    <n v="2500235387"/>
    <d v="2025-07-31T00:00:00"/>
    <n v="3"/>
    <d v="2025-10-31T00:00:00"/>
  </r>
  <r>
    <x v="3"/>
    <s v="PRIYANK"/>
    <s v="FDC LIMITED, Sinnar, Formulati"/>
    <s v="FDC LIMITED, Sinnar, Formulati"/>
    <n v="50083265"/>
    <s v="B-5ML RG WHITE -12C (L)-NS"/>
    <n v="134637"/>
    <n v="1.7"/>
    <n v="228882.9"/>
    <x v="2"/>
    <m/>
    <m/>
    <n v="25500111"/>
    <n v="4100126959"/>
    <d v="2025-08-08T00:00:00"/>
    <n v="2.1"/>
    <d v="2025-10-31T00:00:00"/>
  </r>
  <r>
    <x v="3"/>
    <s v="PRIYANK"/>
    <s v="CADILA PHARMACEUTICALS LIMITED"/>
    <s v="CADILA PHARMACEUTICALS LIMITED"/>
    <n v="50081902"/>
    <s v="C-TAMPSAFE SS(R) WHITE(H)-NS"/>
    <n v="10000"/>
    <n v="0.32"/>
    <n v="3200"/>
    <x v="2"/>
    <m/>
    <m/>
    <n v="25500120"/>
    <n v="2500236720"/>
    <d v="2025-08-18T00:00:00"/>
    <n v="1"/>
    <d v="2025-10-07T00:00:00"/>
  </r>
  <r>
    <x v="3"/>
    <s v="PRIYANK"/>
    <s v="Ciron Drugs &amp; Pharmaceuticals"/>
    <s v="Ciron Drugs &amp; Pharmaceuticals"/>
    <n v="50082167"/>
    <s v="B-15ML RG WHITE (L)-ET"/>
    <n v="81800"/>
    <n v="2.0299999999999998"/>
    <n v="166053.99999999997"/>
    <x v="2"/>
    <m/>
    <m/>
    <n v="25500187"/>
    <s v="C1/PM/E/44244"/>
    <d v="2025-11-19T00:00:00"/>
    <n v="1"/>
    <d v="2025-12-18T00:00:00"/>
  </r>
  <r>
    <x v="3"/>
    <s v="PRIYANK"/>
    <s v="Ciron Drugs &amp; Pharmaceuticals"/>
    <s v="Ciron Drugs &amp; Pharmaceuticals"/>
    <n v="50099122"/>
    <s v="N-OPEN RG WHITE 64C (L)-ET"/>
    <n v="81800"/>
    <n v="0.28000000000000003"/>
    <n v="22904.000000000004"/>
    <x v="0"/>
    <m/>
    <m/>
    <n v="25500187"/>
    <s v="C1/PM/E/44244"/>
    <d v="2025-11-19T00:00:00"/>
    <n v="3"/>
    <d v="2025-12-18T00:00:00"/>
  </r>
  <r>
    <x v="3"/>
    <s v="PRIYANK"/>
    <s v="Ciron Drugs &amp; Pharmaceuticals"/>
    <s v="Ciron Drugs &amp; Pharmaceuticals"/>
    <n v="50115681"/>
    <s v="C-TAMPSAFE SS(R)BLUE 408856-ET"/>
    <n v="81800"/>
    <n v="0.59"/>
    <n v="48262"/>
    <x v="0"/>
    <m/>
    <m/>
    <n v="25500187"/>
    <s v="C1/PM/E/44244"/>
    <d v="2025-11-19T00:00:00"/>
    <n v="4"/>
    <d v="2025-12-18T00:00:00"/>
  </r>
  <r>
    <x v="3"/>
    <s v="PRIYANK"/>
    <s v="CADILA PHARMACEUTICALS LIMITED"/>
    <s v="CADILA PHARMACEUTICALS LIMITED"/>
    <n v="50082175"/>
    <s v="B-5ML RG WHITE (L)-GS"/>
    <n v="76228"/>
    <n v="1.6"/>
    <n v="121964.8"/>
    <x v="2"/>
    <m/>
    <m/>
    <n v="25500188"/>
    <n v="2500241640"/>
    <d v="2025-11-20T00:00:00"/>
    <n v="1"/>
    <d v="2025-12-10T00:00:00"/>
  </r>
  <r>
    <x v="3"/>
    <s v="PRIYANK"/>
    <s v="CADILA PHARMACEUTICALS LIMITED"/>
    <s v="CADILA PHARMACEUTICALS LIMITED"/>
    <n v="50082175"/>
    <s v="B-5ML RG WHITE (L)-GS"/>
    <n v="11301"/>
    <n v="1.6"/>
    <n v="18081.600000000002"/>
    <x v="2"/>
    <m/>
    <m/>
    <n v="25500188"/>
    <n v="2500241640"/>
    <d v="2025-11-20T00:00:00"/>
    <n v="2"/>
    <d v="2025-12-10T00:00:00"/>
  </r>
  <r>
    <x v="3"/>
    <s v="PRIYANK"/>
    <s v="CADILA PHARMACEUTICALS LIMITED"/>
    <s v="CADILA PHARMACEUTICALS LIMITED"/>
    <n v="50082162"/>
    <s v="B-30ML RG WHITE (L)-NS"/>
    <n v="7137"/>
    <n v="2.0099999999999998"/>
    <n v="14345.369999999999"/>
    <x v="2"/>
    <m/>
    <m/>
    <n v="25500189"/>
    <n v="2500236554"/>
    <d v="2025-11-20T00:00:00"/>
    <n v="1"/>
    <d v="2025-12-20T00:00:00"/>
  </r>
  <r>
    <x v="3"/>
    <s v="PRIYANK"/>
    <s v="CADILA PHARMACEUTICALS LIMITED"/>
    <s v="CADILA PHARMACEUTICALS LIMITED"/>
    <n v="50082095"/>
    <s v="N-OPEN RG NATURAL 64C(L)-NS"/>
    <n v="7137"/>
    <n v="0.16"/>
    <n v="1141.92"/>
    <x v="2"/>
    <m/>
    <m/>
    <n v="25500189"/>
    <n v="2500236554"/>
    <d v="2025-11-20T00:00:00"/>
    <n v="2"/>
    <d v="2025-12-20T00:00:00"/>
  </r>
  <r>
    <x v="3"/>
    <s v="PRIYANK"/>
    <s v="CADILA PHARMACEUTICALS LIMITED"/>
    <s v="CADILA PHARMACEUTICALS LIMITED"/>
    <n v="50082175"/>
    <s v="B-5ML RG WHITE (L)-GS"/>
    <n v="100752"/>
    <n v="1.6"/>
    <n v="161203.20000000001"/>
    <x v="2"/>
    <m/>
    <m/>
    <n v="25500190"/>
    <n v="2500240128"/>
    <d v="2025-11-20T00:00:00"/>
    <n v="1"/>
    <d v="2025-12-20T00:00:00"/>
  </r>
  <r>
    <x v="3"/>
    <s v="PRIYANK"/>
    <s v="CADILA PHARMACEUTICALS LIMITED"/>
    <s v="CADILA PHARMACEUTICALS LIMITED"/>
    <n v="50082162"/>
    <s v="B-30ML RG WHITE (L)-NS"/>
    <n v="5000"/>
    <n v="2.0099999999999998"/>
    <n v="10049.999999999998"/>
    <x v="2"/>
    <m/>
    <m/>
    <n v="25500191"/>
    <n v="2500235168"/>
    <d v="2025-11-20T00:00:00"/>
    <n v="1"/>
    <d v="2025-12-20T00:00:00"/>
  </r>
  <r>
    <x v="3"/>
    <s v="PRIYANK"/>
    <s v="CADILA PHARMACEUTICALS LIMITED"/>
    <s v="CADILA PHARMACEUTICALS LIMITED"/>
    <n v="50082095"/>
    <s v="N-OPEN RG NATURAL 64C(L)-NS"/>
    <n v="5000"/>
    <n v="0.16"/>
    <n v="800"/>
    <x v="2"/>
    <m/>
    <m/>
    <n v="25500191"/>
    <n v="2500235168"/>
    <d v="2025-11-20T00:00:00"/>
    <n v="2"/>
    <d v="2025-12-20T00:00:00"/>
  </r>
  <r>
    <x v="3"/>
    <s v="PRIYANK"/>
    <s v="CADILA PHARMACEUTICALS LIMITED"/>
    <s v="CADILA PHARMACEUTICALS LIMITED"/>
    <n v="50082162"/>
    <s v="B-30ML RG WHITE (L)-NS"/>
    <n v="5000"/>
    <n v="2.0099999999999998"/>
    <n v="10049.999999999998"/>
    <x v="2"/>
    <m/>
    <m/>
    <n v="25500192"/>
    <n v="2500233472"/>
    <d v="2025-11-20T00:00:00"/>
    <n v="1"/>
    <d v="2025-12-20T00:00:00"/>
  </r>
  <r>
    <x v="3"/>
    <s v="PRIYANK"/>
    <s v="CADILA PHARMACEUTICALS LIMITED"/>
    <s v="CADILA PHARMACEUTICALS LIMITED"/>
    <n v="50082095"/>
    <s v="N-OPEN RG NATURAL 64C(L)-NS"/>
    <n v="5000"/>
    <n v="0.16"/>
    <n v="800"/>
    <x v="2"/>
    <m/>
    <m/>
    <n v="25500192"/>
    <n v="2500233472"/>
    <d v="2025-11-20T00:00:00"/>
    <n v="2"/>
    <d v="2025-12-20T00:00:00"/>
  </r>
  <r>
    <x v="3"/>
    <s v="PRIYANK"/>
    <s v="CADILA PHARMACEUTICALS LIMITED"/>
    <s v="CADILA PHARMACEUTICALS LIMITED"/>
    <n v="50081902"/>
    <s v="C-TAMPSAFE SS(R) WHITE(H)-NS"/>
    <n v="10000"/>
    <n v="0.32"/>
    <n v="3200"/>
    <x v="2"/>
    <m/>
    <m/>
    <n v="25500193"/>
    <n v="2500233482"/>
    <d v="2025-11-20T00:00:00"/>
    <n v="1"/>
    <d v="2025-12-20T00:00:00"/>
  </r>
  <r>
    <x v="3"/>
    <s v="MIHIR"/>
    <s v="STERICON PHARMA PVT LTD"/>
    <s v="STERICON PHARMA PVT LTD"/>
    <n v="50081903"/>
    <s v="C-TAMPSAFE SS(R) WHITE(H)-GS"/>
    <n v="200000"/>
    <n v="0.72"/>
    <n v="144000"/>
    <x v="0"/>
    <m/>
    <m/>
    <n v="25501409"/>
    <n v="4521003374"/>
    <d v="2025-11-25T00:00:00"/>
    <n v="1.2"/>
    <d v="2025-12-10T00:00:00"/>
  </r>
  <r>
    <x v="3"/>
    <s v="MIHIR"/>
    <s v="STERICON PHARMA PVT LTD"/>
    <s v="STERICON PHARMA PVT LTD"/>
    <n v="50113256"/>
    <s v="B-15ML EX.RG WHITE (L) 16C-GS"/>
    <n v="200000"/>
    <n v="2.21"/>
    <n v="442000"/>
    <x v="2"/>
    <m/>
    <m/>
    <n v="25500198"/>
    <n v="4521003371"/>
    <d v="2025-11-25T00:00:00"/>
    <n v="1.5"/>
    <d v="2026-01-31T00:00:00"/>
  </r>
  <r>
    <x v="3"/>
    <s v="PRIYANK"/>
    <s v="CADILA PHARMACEUTICALS LIMITED"/>
    <s v="CADILA PHARMACEUTICALS LIMITED"/>
    <n v="50082175"/>
    <s v="B-5ML RG WHITE (L)-GS"/>
    <n v="40396"/>
    <n v="1.6"/>
    <n v="64633.600000000006"/>
    <x v="2"/>
    <m/>
    <m/>
    <n v="25500199"/>
    <n v="2500243658"/>
    <d v="2025-11-26T00:00:00"/>
    <n v="1"/>
    <d v="2026-01-07T00:00:00"/>
  </r>
  <r>
    <x v="3"/>
    <s v="PRIYANK"/>
    <s v="Ciron Drugs &amp; Pharmaceuticals"/>
    <s v="Ciron Drugs &amp; Pharmaceuticals"/>
    <n v="50113257"/>
    <s v="B-15ML EX.RG WHITE (L) 16C-ET"/>
    <n v="180100"/>
    <n v="2.13"/>
    <n v="383613"/>
    <x v="2"/>
    <m/>
    <m/>
    <n v="25500213"/>
    <s v="C1/PM/E/44438"/>
    <d v="2025-12-06T00:00:00"/>
    <n v="1"/>
    <d v="2026-01-06T00:00:00"/>
  </r>
  <r>
    <x v="3"/>
    <s v="PRIYANK"/>
    <s v="Ciron Drugs &amp; Pharmaceuticals"/>
    <s v="Ciron Drugs &amp; Pharmaceuticals"/>
    <n v="50082012"/>
    <s v="C-DOUBLESAFE WHITE NX (H)-ET"/>
    <n v="180100"/>
    <n v="0.6"/>
    <n v="108060"/>
    <x v="0"/>
    <m/>
    <m/>
    <n v="25500213"/>
    <s v="C1/PM/E/44438"/>
    <d v="2025-12-06T00:00:00"/>
    <n v="2"/>
    <d v="2026-01-06T00:00:00"/>
  </r>
  <r>
    <x v="3"/>
    <s v="PRIYANK"/>
    <s v="Ciron Drugs &amp; Pharmaceuticals"/>
    <s v="Ciron Drugs &amp; Pharmaceuticals"/>
    <n v="50105011"/>
    <s v="N-BLOCK RG WHITE-3R (L)-ET"/>
    <n v="180100"/>
    <n v="0.27"/>
    <n v="48627"/>
    <x v="0"/>
    <m/>
    <m/>
    <n v="25500213"/>
    <s v="C1/PM/E/44438"/>
    <d v="2025-12-06T00:00:00"/>
    <n v="3"/>
    <d v="2026-01-06T00:00:00"/>
  </r>
  <r>
    <x v="6"/>
    <s v="RAHUL"/>
    <s v="Dabur India Ltd-Amla Ext/Honey"/>
    <s v="Dabur India Ltd-Amla Ext/Honey"/>
    <n v="50107784"/>
    <s v="DABUR SSFT (P)-19mm ASSEMBLY"/>
    <n v="300000"/>
    <n v="4.17"/>
    <n v="1251000"/>
    <x v="8"/>
    <m/>
    <m/>
    <m/>
    <m/>
    <m/>
    <m/>
    <m/>
  </r>
  <r>
    <x v="6"/>
    <s v="RAHUL"/>
    <s v="Dabur India Ltd-Amla Ext/Honey"/>
    <s v="Dabur India Ltd-Amla Ext/Honey"/>
    <n v="50108239"/>
    <s v="DABUR SSFT (P)-25mm ASSEMBLY"/>
    <n v="300000"/>
    <n v="4.0990000000000002"/>
    <n v="1229700"/>
    <x v="8"/>
    <m/>
    <m/>
    <m/>
    <m/>
    <m/>
    <m/>
    <m/>
  </r>
  <r>
    <x v="6"/>
    <s v="RAHUL"/>
    <s v="Dabur India Ltd-Amla Ext/Honey"/>
    <s v="Dabur India Ltd-Amla Ext/Honey"/>
    <n v="50108238"/>
    <s v="DABUR SSFT (P)-22mm ASSEMBLY"/>
    <n v="300000"/>
    <n v="3.9529999999999998"/>
    <n v="1185900"/>
    <x v="2"/>
    <m/>
    <m/>
    <m/>
    <m/>
    <m/>
    <m/>
    <m/>
  </r>
  <r>
    <x v="0"/>
    <s v="PRIYANK"/>
    <s v="RUBICON RESEARCH LTD"/>
    <s v="RUBICON RESEARCH LIMITED"/>
    <n v="50110011"/>
    <s v="CR-38MM HS123/020-(P-WHT)-1"/>
    <n v="300000"/>
    <n v="2.4500000000000002"/>
    <n v="735000"/>
    <x v="5"/>
    <n v="300000"/>
    <m/>
    <m/>
    <m/>
    <m/>
    <m/>
    <m/>
  </r>
  <r>
    <x v="0"/>
    <s v="PRIYANK"/>
    <s v="RUBICON RESEARCH LTD"/>
    <s v="RUBICON  RESEARCH LIMITED"/>
    <n v="50113461"/>
    <s v="CR-28-WHT1-HS123/.020(WHT)"/>
    <n v="183400"/>
    <n v="2.15"/>
    <n v="394310"/>
    <x v="0"/>
    <m/>
    <s v="SHIPPED"/>
    <n v="25500966"/>
    <n v="4500025793"/>
    <d v="2025-09-12T00:00:00"/>
    <n v="3"/>
    <d v="2025-12-31T00:00:00"/>
  </r>
  <r>
    <x v="0"/>
    <s v="MIHIR"/>
    <s v="STRIDES PHARMA SCIENCE  LTD- B"/>
    <s v="STRIDES PHARMA SCIENCE  LTD- B"/>
    <n v="50101133"/>
    <s v="CR-33MM HS123/0.020 (WHT)"/>
    <n v="340000"/>
    <n v="3.26"/>
    <n v="1108400"/>
    <x v="0"/>
    <n v="240000"/>
    <s v="SHIPPED"/>
    <n v="24500867"/>
    <n v="4110069982"/>
    <d v="2024-09-11T00:00:00"/>
    <n v="1.2"/>
    <d v="2025-12-31T00:00:00"/>
  </r>
  <r>
    <x v="0"/>
    <s v="MIHIR"/>
    <s v="STRIDES PHARMA SCIENCE  LTD- B"/>
    <s v="STRIDES PHARMA SCIENCE  LTD- B"/>
    <n v="50108462"/>
    <s v="CR-33MM HS035/35 WLP (RED)"/>
    <n v="240000"/>
    <n v="3.26"/>
    <n v="782400"/>
    <x v="0"/>
    <n v="240000"/>
    <s v="SHIPPED"/>
    <n v="25501221"/>
    <n v="4110073459"/>
    <d v="2025-10-25T00:00:00"/>
    <n v="1.1000000000000001"/>
    <d v="2025-12-31T00:00:00"/>
  </r>
  <r>
    <x v="3"/>
    <s v="PRIYANK"/>
    <s v="CADILA PHARMACEUTICALS LIMITED"/>
    <s v="CADILA PHARMACEUTICALS LIMITED"/>
    <n v="50082162"/>
    <s v="B-30ML RG WHITE (L)-NS"/>
    <n v="8709"/>
    <n v="2.0099999999999998"/>
    <n v="17505.089999999997"/>
    <x v="2"/>
    <m/>
    <m/>
    <n v="25500229"/>
    <n v="2500244796"/>
    <d v="2025-12-16T00:00:00"/>
    <n v="2"/>
    <d v="2026-01-18T00:00:00"/>
  </r>
  <r>
    <x v="3"/>
    <s v="PRIYANK"/>
    <s v="CADILA PHARMACEUTICALS LIMITED"/>
    <s v="CADILA PHARMACEUTICALS LIMITED"/>
    <n v="50082095"/>
    <s v="N-OPEN RG NATURAL 64C(L)-NS"/>
    <n v="8709"/>
    <n v="0.16"/>
    <n v="1393.44"/>
    <x v="2"/>
    <m/>
    <m/>
    <n v="25500229"/>
    <n v="2500244796"/>
    <d v="2025-12-16T00:00:00"/>
    <n v="3"/>
    <d v="2026-01-18T00:00:00"/>
  </r>
  <r>
    <x v="3"/>
    <s v="PRIYANK"/>
    <s v="CADILA PHARMACEUTICALS LIMITED"/>
    <s v="CADILA PHARMACEUTICALS LIMITED"/>
    <n v="50082162"/>
    <s v="B-30ML RG WHITE (L)-NS"/>
    <n v="8000"/>
    <n v="2.0099999999999998"/>
    <n v="16079.999999999998"/>
    <x v="2"/>
    <m/>
    <m/>
    <n v="25500229"/>
    <n v="2500244796"/>
    <d v="2025-12-16T00:00:00"/>
    <n v="4"/>
    <d v="2026-01-18T00:00:00"/>
  </r>
  <r>
    <x v="3"/>
    <s v="PRIYANK"/>
    <s v="CADILA PHARMACEUTICALS LIMITED"/>
    <s v="CADILA PHARMACEUTICALS LIMITED"/>
    <n v="50082095"/>
    <s v="N-OPEN RG NATURAL 64C(L)-NS"/>
    <n v="8000"/>
    <n v="0.16"/>
    <n v="1280"/>
    <x v="2"/>
    <m/>
    <m/>
    <n v="25500229"/>
    <n v="2500244796"/>
    <d v="2025-12-16T00:00:00"/>
    <n v="5"/>
    <d v="2026-01-18T00:00:00"/>
  </r>
  <r>
    <x v="3"/>
    <s v="PRIYANK"/>
    <s v="CADILA PHARMACEUTICALS LIMITED"/>
    <s v="CADILA PHARMACEUTICALS LIMITED"/>
    <n v="50081902"/>
    <s v="C-TAMPSAFE SS(R) WHITE(H)-NS"/>
    <n v="10000"/>
    <n v="0.32"/>
    <n v="3200"/>
    <x v="2"/>
    <m/>
    <m/>
    <n v="25500229"/>
    <n v="2500244796"/>
    <d v="2025-12-16T00:00:00"/>
    <n v="6"/>
    <d v="2026-01-18T00:00:00"/>
  </r>
  <r>
    <x v="6"/>
    <s v="RAHUL"/>
    <s v="Hella India Automotive Private"/>
    <s v="Hella India Automotive Private"/>
    <n v="50115752"/>
    <s v="RPAS- SENSOR COVER"/>
    <n v="15000"/>
    <n v="9.66"/>
    <n v="144900"/>
    <x v="2"/>
    <m/>
    <m/>
    <n v="25500230"/>
    <n v="5500012891"/>
    <d v="2025-12-17T00:00:00"/>
    <n v="2"/>
    <d v="2026-01-09T00:00:00"/>
  </r>
  <r>
    <x v="6"/>
    <s v="RAHUL"/>
    <s v="Hella India Automotive Private"/>
    <s v="Hella India Automotive Private"/>
    <n v="50115752"/>
    <s v="RPAS- SENSOR COVER"/>
    <n v="15000"/>
    <n v="9.66"/>
    <n v="144900"/>
    <x v="2"/>
    <m/>
    <m/>
    <n v="25500230"/>
    <n v="5500012891"/>
    <d v="2025-12-17T00:00:00"/>
    <n v="3"/>
    <d v="2026-01-16T00:00:00"/>
  </r>
  <r>
    <x v="6"/>
    <s v="RAHUL"/>
    <s v="Hella India Automotive Private"/>
    <s v="Hella India Automotive Private"/>
    <n v="50115753"/>
    <s v="RPAS- ECU COVER"/>
    <n v="6000"/>
    <n v="35.07"/>
    <n v="210420"/>
    <x v="2"/>
    <m/>
    <m/>
    <n v="25500231"/>
    <n v="5500012892"/>
    <d v="2025-12-17T00:00:00"/>
    <n v="2"/>
    <d v="2026-01-09T00:00:00"/>
  </r>
  <r>
    <x v="6"/>
    <s v="RAHUL"/>
    <s v="Hella India Automotive Private"/>
    <s v="Hella India Automotive Private"/>
    <n v="50115753"/>
    <s v="RPAS- ECU COVER"/>
    <n v="6000"/>
    <n v="35.07"/>
    <n v="210420"/>
    <x v="2"/>
    <m/>
    <m/>
    <n v="25500231"/>
    <n v="5500012892"/>
    <d v="2025-12-17T00:00:00"/>
    <n v="3"/>
    <d v="2026-01-16T00:00:00"/>
  </r>
  <r>
    <x v="0"/>
    <s v="MIHIR"/>
    <s v="STRIDES PHARMA SCIENCE  LTD- B"/>
    <s v="STRIDES PHARMA SCIENCE  LTD- B"/>
    <n v="50101134"/>
    <s v="CR-38MM HS123/0.020 (WHT)"/>
    <n v="170000"/>
    <n v="3.43"/>
    <n v="583100"/>
    <x v="0"/>
    <n v="170000"/>
    <s v="SHIPPED"/>
    <n v="25501515"/>
    <n v="4110074022"/>
    <d v="2025-12-10T00:00:00"/>
    <n v="3"/>
    <d v="2025-12-28T00:00:00"/>
  </r>
  <r>
    <x v="10"/>
    <s v="PARTH"/>
    <s v="EAST INDIA PHARMACEUTICAL WORK"/>
    <s v="Vivimed Labs Limited"/>
    <n v="50102431"/>
    <s v="B-30ML OVAL WHITE (L-J)-NS"/>
    <n v="200000"/>
    <n v="2.4500000000000002"/>
    <n v="490000.00000000006"/>
    <x v="2"/>
    <m/>
    <s v="SHIPPED"/>
    <n v="25500235"/>
    <s v="VL/PM/0017/K"/>
    <d v="2025-12-23T00:00:00"/>
    <n v="1"/>
    <d v="2026-01-23T00:00:00"/>
  </r>
  <r>
    <x v="10"/>
    <s v="PARTH"/>
    <s v="EAST INDIA PHARMACEUTICAL WORK"/>
    <s v="Vivimed Labs Limited"/>
    <n v="50081680"/>
    <s v="C-TAMPSAFE NS WHITE (H)-NS"/>
    <n v="200000"/>
    <n v="0.53"/>
    <n v="106000"/>
    <x v="2"/>
    <m/>
    <s v="SHIPPED"/>
    <n v="25500235"/>
    <s v="VL/PM/0017/K"/>
    <d v="2025-12-23T00:00:00"/>
    <n v="2"/>
    <d v="2026-01-23T00:00:00"/>
  </r>
  <r>
    <x v="10"/>
    <s v="PARTH"/>
    <s v="EAST INDIA PHARMACEUTICAL WORK"/>
    <s v="Vivimed Labs Limited"/>
    <n v="50102429"/>
    <s v="N-NS ASSY-OPEN WHITE (L-J)-NS"/>
    <n v="200000"/>
    <n v="0.74"/>
    <n v="148000"/>
    <x v="2"/>
    <m/>
    <s v="SHIPPED"/>
    <n v="25500235"/>
    <s v="VL/PM/0017/K"/>
    <d v="2025-12-23T00:00:00"/>
    <n v="3"/>
    <d v="2026-01-23T00:00:00"/>
  </r>
  <r>
    <x v="11"/>
    <s v="RAHUL"/>
    <s v="Tata Consumer Product Limited"/>
    <s v="Tata Consumer Product Limited"/>
    <n v="50115569"/>
    <s v="180ML TGP CUP PRT LEMONY S&amp;W"/>
    <n v="1980000"/>
    <n v="0.98499999999999999"/>
    <n v="1950300"/>
    <x v="2"/>
    <m/>
    <s v="SHIPPED"/>
    <m/>
    <m/>
    <m/>
    <m/>
    <m/>
  </r>
  <r>
    <x v="11"/>
    <s v="RAHUL"/>
    <s v="Tata Consumer Product Limited"/>
    <s v="Tata Consumer Product Limited"/>
    <n v="50115569"/>
    <s v="180ML TGP CUP PRT LEMONY S&amp;W"/>
    <n v="14850000"/>
    <n v="0.98499999999999999"/>
    <n v="14627250"/>
    <x v="2"/>
    <m/>
    <s v="SHIPPED"/>
    <m/>
    <m/>
    <m/>
    <m/>
    <m/>
  </r>
  <r>
    <x v="11"/>
    <s v="RAHUL"/>
    <s v="Tata Consumer Product Limited"/>
    <s v="Tata Consumer Product Limited"/>
    <n v="50115568"/>
    <s v="180ML TGP CUP PRT ORANGEY S&amp;W"/>
    <n v="4950000"/>
    <n v="0.98499999999999999"/>
    <n v="4875750"/>
    <x v="8"/>
    <m/>
    <m/>
    <m/>
    <m/>
    <m/>
    <m/>
    <m/>
  </r>
  <r>
    <x v="5"/>
    <s v="PARTH"/>
    <s v="Rite Labs"/>
    <s v="Rite Labs"/>
    <n v="50105834"/>
    <s v="INSPIRA ASSEMBLY"/>
    <n v="10584"/>
    <n v="50"/>
    <n v="529200"/>
    <x v="0"/>
    <m/>
    <m/>
    <m/>
    <m/>
    <m/>
    <m/>
    <m/>
  </r>
  <r>
    <x v="10"/>
    <s v="PARTH"/>
    <s v="VIVIMED LABS LIMITED-HYD"/>
    <s v="VIVIMED LABS LIMITED-HYD"/>
    <n v="50102431"/>
    <s v="B-30ML OVAL WHITE (L-J)-NS"/>
    <n v="200000"/>
    <n v="2.4500000000000002"/>
    <n v="490000.00000000006"/>
    <x v="8"/>
    <m/>
    <m/>
    <m/>
    <m/>
    <m/>
    <m/>
    <m/>
  </r>
  <r>
    <x v="10"/>
    <s v="PARTH"/>
    <s v="VIVIMED LABS LIMITED-HYD"/>
    <s v="VIVIMED LABS LIMITED-HYD"/>
    <n v="50081680"/>
    <s v="C-TAMPSAFE NS WHITE (H)-NS"/>
    <n v="200000"/>
    <n v="0.53"/>
    <n v="106000"/>
    <x v="8"/>
    <m/>
    <m/>
    <m/>
    <m/>
    <m/>
    <m/>
    <m/>
  </r>
  <r>
    <x v="10"/>
    <s v="PARTH"/>
    <s v="VIVIMED LABS LIMITED-HYD"/>
    <s v="VIVIMED LABS LIMITED-HYD"/>
    <n v="50102429"/>
    <s v="N-NS ASSY-OPEN WHITE (L-J)-NS"/>
    <n v="200000"/>
    <n v="0.74"/>
    <n v="148000"/>
    <x v="8"/>
    <m/>
    <m/>
    <m/>
    <m/>
    <m/>
    <m/>
    <m/>
  </r>
  <r>
    <x v="3"/>
    <s v="PARTH"/>
    <s v="Devbhoomi Pharma"/>
    <s v="Devbhoomi Pharma"/>
    <n v="50081866"/>
    <s v="B-5ML EX. RG WHITE (L)-GS"/>
    <n v="300000"/>
    <n v="1.51"/>
    <n v="453000"/>
    <x v="4"/>
    <m/>
    <m/>
    <m/>
    <m/>
    <m/>
    <m/>
    <m/>
  </r>
  <r>
    <x v="3"/>
    <s v="PARTH"/>
    <s v="Devbhoomi Pharma"/>
    <s v="Devbhoomi Pharma"/>
    <n v="50082011"/>
    <s v="C-DOUBLESAFE WHITE NX (H)-GS"/>
    <n v="300000"/>
    <n v="0.55000000000000004"/>
    <n v="165000"/>
    <x v="4"/>
    <m/>
    <m/>
    <m/>
    <m/>
    <m/>
    <m/>
    <m/>
  </r>
  <r>
    <x v="3"/>
    <s v="PARTH"/>
    <s v="Devbhoomi Pharma"/>
    <s v="Devbhoomi Pharma"/>
    <n v="50082133"/>
    <s v="N-BLOCK RG WHITE (L)-GS"/>
    <n v="300000"/>
    <n v="0.42"/>
    <n v="126000"/>
    <x v="4"/>
    <m/>
    <m/>
    <m/>
    <m/>
    <m/>
    <m/>
    <m/>
  </r>
  <r>
    <x v="3"/>
    <s v="PARTH"/>
    <s v="APPASAMY OCULAR DEVICES (P) LTD"/>
    <s v="APPASAMY OCULAR DEVICES (P) LTD"/>
    <n v="50111525"/>
    <s v="B-10ML &quot;I&quot;O.GRN91151-16C(L)-GS"/>
    <n v="200000"/>
    <n v="1.5"/>
    <n v="300000"/>
    <x v="0"/>
    <m/>
    <s v="SHIPPED"/>
    <s v="TBB"/>
    <m/>
    <m/>
    <m/>
    <m/>
  </r>
  <r>
    <x v="3"/>
    <s v="PARTH"/>
    <s v="APPASAMY OCULAR DEVICES (P) LTD"/>
    <s v="APPASAMY OCULAR DEVICES (P) LTD"/>
    <n v="50082373"/>
    <s v="C-TAMP SAFE&quot;I&quot; O.GREEN-GS"/>
    <n v="200000"/>
    <n v="0.5"/>
    <n v="100000"/>
    <x v="0"/>
    <m/>
    <s v="SHIPPED"/>
    <s v="TBB"/>
    <m/>
    <m/>
    <m/>
    <m/>
  </r>
  <r>
    <x v="3"/>
    <s v="PARTH"/>
    <s v="APPASAMY OCULAR DEVICES (P) LTD"/>
    <s v="APPASAMY OCULAR DEVICES (P) LTD"/>
    <n v="50111939"/>
    <s v="N-OPEN &quot;I&quot; NAT NEW 48C (L)-GS"/>
    <n v="200000"/>
    <n v="0.4"/>
    <n v="80000"/>
    <x v="0"/>
    <m/>
    <s v="SHIPPED"/>
    <s v="TBB"/>
    <m/>
    <m/>
    <m/>
    <m/>
  </r>
  <r>
    <x v="3"/>
    <s v="PARTH"/>
    <s v="APPASAMY OCULAR DEVICES (P) LTD"/>
    <s v="APPASAMY OCULAR DEVICES (P) LTD"/>
    <n v="50110683"/>
    <s v="B-10ML RG O.GREEN 16C (L)-GS"/>
    <n v="300000"/>
    <n v="1.53"/>
    <n v="459000"/>
    <x v="0"/>
    <m/>
    <s v="SHIPPED"/>
    <s v="TBB"/>
    <m/>
    <m/>
    <m/>
    <m/>
  </r>
  <r>
    <x v="3"/>
    <s v="PARTH"/>
    <s v="APPASAMY OCULAR DEVICES (P) LTD"/>
    <s v="APPASAMY OCULAR DEVICES (P) LTD"/>
    <n v="50081930"/>
    <s v="C-DOUBLESAFE NX O.GREEN (H)-GS"/>
    <n v="300000"/>
    <n v="0.5"/>
    <n v="150000"/>
    <x v="0"/>
    <m/>
    <s v="SHIPPED"/>
    <s v="TBB"/>
    <m/>
    <m/>
    <m/>
    <m/>
  </r>
  <r>
    <x v="3"/>
    <s v="PARTH"/>
    <s v="APPASAMY OCULAR DEVICES (P) LTD"/>
    <s v="APPASAMY OCULAR DEVICES (P) LTD"/>
    <n v="50082077"/>
    <s v="N-BLOCK RG NATURAL (L)-GS"/>
    <n v="300000"/>
    <n v="0.4"/>
    <n v="120000"/>
    <x v="0"/>
    <m/>
    <s v="SHIPPED"/>
    <s v="TBB"/>
    <m/>
    <m/>
    <m/>
    <m/>
  </r>
  <r>
    <x v="3"/>
    <s v="PARTH"/>
    <s v="APPASAMY OCULAR DEVICES (P) LTD"/>
    <s v="APPASAMY OCULAR DEVICES (P) LTD"/>
    <n v="50111527"/>
    <s v="B-10ML &quot;I&quot; WHITE-16C (L)-NS"/>
    <n v="100000"/>
    <n v="1.5"/>
    <n v="150000"/>
    <x v="0"/>
    <m/>
    <s v="SHIPPED"/>
    <s v="TBB"/>
    <m/>
    <m/>
    <m/>
    <m/>
  </r>
  <r>
    <x v="3"/>
    <s v="PARTH"/>
    <s v="APPASAMY OCULAR DEVICES (P) LTD"/>
    <s v="APPASAMY OCULAR DEVICES (P) LTD"/>
    <n v="50081808"/>
    <s v="C-TAMPSAFE &quot;I&quot; WHITE (H)-GS"/>
    <n v="100000"/>
    <n v="0.5"/>
    <n v="50000"/>
    <x v="0"/>
    <m/>
    <s v="SHIPPED"/>
    <s v="TBB"/>
    <m/>
    <m/>
    <m/>
    <m/>
  </r>
  <r>
    <x v="3"/>
    <s v="PARTH"/>
    <s v="APPASAMY OCULAR DEVICES (P) LTD"/>
    <s v="APPASAMY OCULAR DEVICES (P) LTD"/>
    <n v="50111939"/>
    <s v="N-OPEN &quot;I&quot; NAT NEW 48C (L)-GS"/>
    <n v="100000"/>
    <n v="0.4"/>
    <n v="40000"/>
    <x v="0"/>
    <m/>
    <s v="SHIPPED"/>
    <s v="TBB"/>
    <m/>
    <m/>
    <m/>
    <m/>
  </r>
  <r>
    <x v="3"/>
    <s v="PARTH"/>
    <s v="APPASAMY OCULAR DEVICES (P) LTD"/>
    <s v="APPASAMY OCULAR DEVICES (P) LTD"/>
    <n v="50109735"/>
    <s v="B-5ML &quot;I&quot; WHITE 12C-HW (L)-NS"/>
    <n v="200000"/>
    <n v="1.5"/>
    <n v="300000"/>
    <x v="0"/>
    <m/>
    <s v="SHIPPED"/>
    <s v="TBB"/>
    <m/>
    <m/>
    <m/>
    <m/>
  </r>
  <r>
    <x v="3"/>
    <s v="PARTH"/>
    <s v="APPASAMY OCULAR DEVICES (P) LTD"/>
    <s v="APPASAMY OCULAR DEVICES (P) LTD"/>
    <n v="50081808"/>
    <s v="C-TAMPSAFE &quot;I&quot; WHITE (H)-GS"/>
    <n v="200000"/>
    <n v="0.5"/>
    <n v="100000"/>
    <x v="0"/>
    <m/>
    <s v="SHIPPED"/>
    <s v="TBB"/>
    <m/>
    <m/>
    <m/>
    <m/>
  </r>
  <r>
    <x v="3"/>
    <s v="PARTH"/>
    <s v="APPASAMY OCULAR DEVICES (P) LTD"/>
    <s v="APPASAMY OCULAR DEVICES (P) LTD"/>
    <n v="50101632"/>
    <s v="N-OPEN &quot;I&quot; NATURAL NEW(L-J)-GS"/>
    <n v="200000"/>
    <n v="0.38"/>
    <n v="76000"/>
    <x v="0"/>
    <m/>
    <s v="SHIPPED"/>
    <s v="TBB"/>
    <m/>
    <m/>
    <m/>
    <m/>
  </r>
  <r>
    <x v="3"/>
    <s v="PARTH"/>
    <s v="APPASAMY OCULAR DEVICES (P) LTD"/>
    <s v="APPASAMY OCULAR DEVICES (P) LTD"/>
    <n v="50109735"/>
    <s v="B-5ML &quot;I&quot; WHITE 12C-HW (L)-NS"/>
    <n v="300000"/>
    <n v="1.5"/>
    <n v="450000"/>
    <x v="0"/>
    <m/>
    <s v="SHIPPED"/>
    <s v="TBB"/>
    <m/>
    <m/>
    <m/>
    <m/>
  </r>
  <r>
    <x v="3"/>
    <s v="PARTH"/>
    <s v="APPASAMY OCULAR DEVICES (P) LTD"/>
    <s v="APPASAMY OCULAR DEVICES (P) LTD"/>
    <n v="50081808"/>
    <s v="C-TAMPSAFE &quot;I&quot; WHITE (H)-GS"/>
    <n v="300000"/>
    <n v="0.5"/>
    <n v="150000"/>
    <x v="0"/>
    <m/>
    <s v="SHIPPED"/>
    <s v="TBB"/>
    <m/>
    <m/>
    <m/>
    <m/>
  </r>
  <r>
    <x v="3"/>
    <s v="PARTH"/>
    <s v="APPASAMY OCULAR DEVICES (P) LTD"/>
    <s v="APPASAMY OCULAR DEVICES (P) LTD"/>
    <n v="50111939"/>
    <s v="N-OPEN &quot;I&quot; NAT NEW 48C (L)-GS"/>
    <n v="300000"/>
    <n v="0.38"/>
    <n v="114000"/>
    <x v="0"/>
    <m/>
    <s v="SHIPPED"/>
    <s v="TBB"/>
    <m/>
    <m/>
    <m/>
    <m/>
  </r>
  <r>
    <x v="3"/>
    <s v="PARTH"/>
    <s v="Maya Biotech pvt Ltd"/>
    <s v="Maya Biotech pvt Ltd"/>
    <n v="50102865"/>
    <s v="B-5ML &quot;I&quot; NATURAL 12C-HW(L)-GS"/>
    <n v="100000"/>
    <n v="1.45"/>
    <n v="145000"/>
    <x v="0"/>
    <m/>
    <m/>
    <m/>
    <m/>
    <m/>
    <m/>
    <m/>
  </r>
  <r>
    <x v="3"/>
    <s v="PARTH"/>
    <s v="Maya Biotech pvt Ltd"/>
    <s v="Maya Biotech pvt Ltd"/>
    <n v="50081808"/>
    <s v="C-TAMPSAFE &quot;I&quot; WHITE (H)-GS"/>
    <n v="100000"/>
    <n v="0.5"/>
    <n v="50000"/>
    <x v="0"/>
    <m/>
    <m/>
    <m/>
    <m/>
    <m/>
    <m/>
    <m/>
  </r>
  <r>
    <x v="3"/>
    <s v="PARTH"/>
    <s v="Maya Biotech pvt Ltd"/>
    <s v="Maya Biotech pvt Ltd"/>
    <n v="50101632"/>
    <s v="N-OPEN &quot;I&quot; NAT NEW 48C (L)-GS"/>
    <n v="100000"/>
    <n v="0.41"/>
    <n v="41000"/>
    <x v="0"/>
    <m/>
    <m/>
    <m/>
    <m/>
    <m/>
    <m/>
    <m/>
  </r>
  <r>
    <x v="3"/>
    <s v="PARTH"/>
    <s v="Maya Biotech pvt Ltd"/>
    <s v="Maya Biotech pvt Ltd"/>
    <n v="50102394"/>
    <s v="B-10ML &quot;I&quot; WHITE (L-J)-GS"/>
    <n v="100000"/>
    <n v="1.55"/>
    <n v="155000"/>
    <x v="7"/>
    <m/>
    <m/>
    <m/>
    <m/>
    <m/>
    <m/>
    <m/>
  </r>
  <r>
    <x v="3"/>
    <s v="PARTH"/>
    <s v="Maya Biotech pvt Ltd"/>
    <s v="Maya Biotech pvt Ltd"/>
    <n v="50081808"/>
    <s v="C-TAMPSAFE &quot;I&quot; WHITE (H)-GS"/>
    <n v="100000"/>
    <n v="0.5"/>
    <n v="50000"/>
    <x v="7"/>
    <m/>
    <m/>
    <m/>
    <m/>
    <m/>
    <m/>
    <m/>
  </r>
  <r>
    <x v="3"/>
    <s v="PARTH"/>
    <s v="Maya Biotech pvt Ltd"/>
    <s v="Maya Biotech pvt Ltd"/>
    <n v="50101632"/>
    <s v="N-OPEN &quot;I&quot; NATURAL NEW(L-J)-GS"/>
    <n v="100000"/>
    <n v="0.4"/>
    <n v="40000"/>
    <x v="7"/>
    <m/>
    <m/>
    <m/>
    <m/>
    <m/>
    <m/>
    <m/>
  </r>
  <r>
    <x v="5"/>
    <s v="PARTH"/>
    <s v="Archegos Ventures"/>
    <s v="Archegos Ventures"/>
    <n v="50115629"/>
    <s v="DPI-CB Assy Brethaler(MB 654C)"/>
    <n v="5292"/>
    <n v="57"/>
    <n v="301644"/>
    <x v="0"/>
    <m/>
    <m/>
    <m/>
    <m/>
    <m/>
    <m/>
    <m/>
  </r>
  <r>
    <x v="2"/>
    <s v="SAGAR"/>
    <s v="SamChunDang Pharm. Co., Ltd."/>
    <s v="SamChunDang Pharm. Co., Ltd."/>
    <n v="50091632"/>
    <s v="B-10ML RSP NATURAL R2 (L)-ET"/>
    <n v="40500"/>
    <n v="0"/>
    <n v="0"/>
    <x v="7"/>
    <m/>
    <m/>
    <m/>
    <m/>
    <m/>
    <m/>
    <m/>
  </r>
  <r>
    <x v="1"/>
    <s v="SAGAR"/>
    <s v="AKUMS DRUGS &amp; PHARMACEUTICALS"/>
    <s v="AKUMS DRUGS &amp; PHARMACEUTICALS"/>
    <n v="50081507"/>
    <s v="C-TAMPSAFE RSP TANBR (H)-GS"/>
    <n v="50000"/>
    <n v="1.5608"/>
    <n v="78040"/>
    <x v="4"/>
    <m/>
    <m/>
    <m/>
    <m/>
    <m/>
    <m/>
    <m/>
  </r>
  <r>
    <x v="1"/>
    <s v="SAGAR"/>
    <s v="AKUMS DRUGS &amp; PHARMACEUTICALS"/>
    <s v="AKUMS DRUGS &amp; PHARMACEUTICALS"/>
    <n v="50081723"/>
    <s v="C-TAMPSAFE RSP WHITE (H)-GS"/>
    <n v="100000"/>
    <n v="1.3678845942287547"/>
    <n v="136788.45942287549"/>
    <x v="0"/>
    <m/>
    <s v="SHIPPED"/>
    <m/>
    <m/>
    <m/>
    <m/>
    <m/>
  </r>
  <r>
    <x v="1"/>
    <s v="SAGAR"/>
    <s v="AKUMS DRUGS &amp; PHARMACEUTICALS"/>
    <s v="AKUMS DRUGS &amp; PHARMACEUTICALS"/>
    <n v="50081723"/>
    <s v="C-TAMPSAFE RSP WHITE (H)-GS"/>
    <n v="318000"/>
    <n v="1.3678845942287547"/>
    <n v="434987.300964744"/>
    <x v="4"/>
    <m/>
    <m/>
    <m/>
    <m/>
    <m/>
    <m/>
    <m/>
  </r>
  <r>
    <x v="1"/>
    <s v="SAGAR"/>
    <s v="AKUMS DRUGS &amp; PHARMACEUTICALS"/>
    <s v="AKUMS DRUGS &amp; PHARMACEUTICALS"/>
    <n v="50081734"/>
    <s v="B-5ML RSP NATURAL (S)(L)-GS"/>
    <n v="75029"/>
    <n v="1.4621546335416973"/>
    <n v="109704"/>
    <x v="4"/>
    <m/>
    <m/>
    <m/>
    <m/>
    <m/>
    <m/>
    <m/>
  </r>
  <r>
    <x v="1"/>
    <s v="SAGAR"/>
    <s v="AKUMS DRUGS &amp; PHARMACEUTICALS"/>
    <s v="AKUMS DRUGS &amp; PHARMACEUTICALS"/>
    <n v="50081768"/>
    <s v="C-TAMPSAFE RSP GREY (H)-GS"/>
    <n v="62350"/>
    <n v="2.5627425821972736"/>
    <n v="159787"/>
    <x v="4"/>
    <m/>
    <m/>
    <m/>
    <m/>
    <m/>
    <m/>
    <m/>
  </r>
  <r>
    <x v="1"/>
    <s v="SAGAR"/>
    <s v="AKUMS DRUGS &amp; PHARMACEUTICALS"/>
    <s v="AKUMS DRUGS &amp; PHARMACEUTICALS"/>
    <n v="50081840"/>
    <s v="N-OPEN RSP NATURAL(L)-GS"/>
    <n v="100000"/>
    <n v="1.1758138395863598"/>
    <n v="117581.38395863598"/>
    <x v="0"/>
    <m/>
    <s v="SHIPPED"/>
    <m/>
    <m/>
    <m/>
    <m/>
    <m/>
  </r>
  <r>
    <x v="1"/>
    <s v="SAGAR"/>
    <s v="AKUMS DRUGS &amp; PHARMACEUTICALS"/>
    <s v="AKUMS DRUGS &amp; PHARMACEUTICALS"/>
    <n v="50081840"/>
    <s v="N-OPEN RSP NATURAL(L)-GS"/>
    <n v="259346"/>
    <n v="1.1758138395863598"/>
    <n v="304942.61604136403"/>
    <x v="4"/>
    <m/>
    <m/>
    <m/>
    <m/>
    <m/>
    <m/>
    <m/>
  </r>
  <r>
    <x v="1"/>
    <s v="SAGAR"/>
    <s v="AKUMS DRUGS &amp; PHARMACEUTICALS"/>
    <s v="AKUMS DRUGS &amp; PHARMACEUTICALS"/>
    <n v="50081938"/>
    <s v="N-OPEN RSP WHITE (L)-GS"/>
    <n v="76575"/>
    <n v="1.1652758733268038"/>
    <n v="89231"/>
    <x v="4"/>
    <m/>
    <m/>
    <m/>
    <m/>
    <m/>
    <m/>
    <m/>
  </r>
  <r>
    <x v="1"/>
    <s v="SAGAR"/>
    <s v="AKUMS DRUGS &amp; PHARMACEUTICALS"/>
    <s v="AKUMS DRUGS &amp; PHARMACEUTICALS"/>
    <n v="50114367"/>
    <s v="B-5ML RSP WHITE 48C(L)-GS"/>
    <n v="100000"/>
    <n v="1.9592030242161866"/>
    <n v="195920.30242161866"/>
    <x v="0"/>
    <m/>
    <s v="SHIPPED"/>
    <m/>
    <m/>
    <m/>
    <m/>
    <m/>
  </r>
  <r>
    <x v="1"/>
    <s v="SAGAR"/>
    <s v="AKUMS DRUGS &amp; PHARMACEUTICALS"/>
    <s v="AKUMS DRUGS &amp; PHARMACEUTICALS"/>
    <n v="50114367"/>
    <s v="B-5ML RSP WHITE 48C(L)-GS"/>
    <n v="220000"/>
    <n v="1.9592030242161866"/>
    <n v="431024.66532756109"/>
    <x v="4"/>
    <m/>
    <m/>
    <m/>
    <m/>
    <m/>
    <m/>
    <m/>
  </r>
  <r>
    <x v="3"/>
    <s v="SAGAR"/>
    <s v="AKUMS DRUGS &amp; PHARMACEUTICALS"/>
    <s v="AKUMS DRUGS &amp; PHARMACEUTICALS"/>
    <n v="50081679"/>
    <s v="C-TAMPSAFE &quot;O&quot; O.GREEN (H)-GS"/>
    <n v="393212"/>
    <n v="0.9115667883991333"/>
    <n v="358439"/>
    <x v="4"/>
    <m/>
    <m/>
    <m/>
    <m/>
    <m/>
    <m/>
    <m/>
  </r>
  <r>
    <x v="3"/>
    <s v="SAGAR"/>
    <s v="AKUMS DRUGS &amp; PHARMACEUTICALS"/>
    <s v="AKUMS DRUGS &amp; PHARMACEUTICALS"/>
    <n v="50081805"/>
    <s v="C-TAMPSAFE &quot;O&quot; WHITE (H)-GS"/>
    <n v="596808"/>
    <n v="0.70544630769024541"/>
    <n v="421016"/>
    <x v="4"/>
    <m/>
    <m/>
    <m/>
    <m/>
    <m/>
    <m/>
    <m/>
  </r>
  <r>
    <x v="1"/>
    <s v="SAGAR"/>
    <s v="AKUMS DRUGS &amp; PHARMACEUTICALS"/>
    <s v="AKUMS DRUGS &amp; PHARMACEUTICALS"/>
    <n v="50114367"/>
    <s v="B-5ML RSP WHITE 48C(L)-GS"/>
    <n v="400000"/>
    <n v="1.57036"/>
    <n v="628144"/>
    <x v="4"/>
    <m/>
    <m/>
    <m/>
    <m/>
    <m/>
    <m/>
    <m/>
  </r>
  <r>
    <x v="3"/>
    <s v="SAGAR"/>
    <s v="AKUMS DRUGS &amp; PHARMACEUTICALS"/>
    <s v="AKUMS DRUGS &amp; PHARMACEUTICALS"/>
    <n v="50081867"/>
    <s v="B-5ML EX. RG WHITE (L)-ET"/>
    <n v="65035"/>
    <n v="1.8766356577227647"/>
    <n v="122047"/>
    <x v="4"/>
    <m/>
    <m/>
    <m/>
    <m/>
    <m/>
    <m/>
    <m/>
  </r>
  <r>
    <x v="3"/>
    <s v="SAGAR"/>
    <s v="AKUMS DRUGS &amp; PHARMACEUTICALS"/>
    <s v="AKUMS DRUGS &amp; PHARMACEUTICALS"/>
    <n v="50081892"/>
    <s v="N-OPEN &quot;O&quot; O. GREEN (L)-GS"/>
    <n v="384330"/>
    <n v="0.33072880077017147"/>
    <n v="127109"/>
    <x v="4"/>
    <m/>
    <m/>
    <m/>
    <m/>
    <m/>
    <m/>
    <m/>
  </r>
  <r>
    <x v="1"/>
    <s v="SAGAR"/>
    <s v="AKUMS DRUGS &amp; PHARMACEUTICALS"/>
    <s v="AKUMS DRUGS &amp; PHARMACEUTICALS"/>
    <n v="50114671"/>
    <s v="B-10ML RSP White -18C(L)-GS"/>
    <n v="100000"/>
    <n v="2.0699999999999998"/>
    <n v="206999.99999999997"/>
    <x v="0"/>
    <m/>
    <m/>
    <m/>
    <m/>
    <m/>
    <m/>
    <m/>
  </r>
  <r>
    <x v="1"/>
    <s v="SAGAR"/>
    <s v="AKUMS DRUGS &amp; PHARMACEUTICALS"/>
    <s v="AKUMS DRUGS &amp; PHARMACEUTICALS"/>
    <n v="50114671"/>
    <s v="B-10ML RSP White -18C(L)-GS"/>
    <n v="50000"/>
    <n v="2.0699999999999998"/>
    <n v="103499.99999999999"/>
    <x v="4"/>
    <m/>
    <m/>
    <m/>
    <m/>
    <m/>
    <m/>
    <m/>
  </r>
  <r>
    <x v="3"/>
    <s v="SAGAR"/>
    <s v="AKUMS DRUGS &amp; PHARMACEUTICALS"/>
    <s v="AKUMS DRUGS &amp; PHARMACEUTICALS"/>
    <n v="50081931"/>
    <s v="C-DOUBLESAFE NX O.GREEN (H)-ET"/>
    <n v="100000"/>
    <n v="0.80629851688229726"/>
    <n v="80629.851688229726"/>
    <x v="0"/>
    <m/>
    <m/>
    <m/>
    <m/>
    <m/>
    <m/>
    <m/>
  </r>
  <r>
    <x v="3"/>
    <s v="SAGAR"/>
    <s v="AKUMS DRUGS &amp; PHARMACEUTICALS"/>
    <s v="AKUMS DRUGS &amp; PHARMACEUTICALS"/>
    <n v="50081947"/>
    <s v="N-OPEN &quot;O&quot;NATURAL (L)-GS"/>
    <n v="576716"/>
    <n v="0.26303587901150655"/>
    <n v="151697"/>
    <x v="4"/>
    <m/>
    <m/>
    <m/>
    <m/>
    <m/>
    <m/>
    <m/>
  </r>
  <r>
    <x v="3"/>
    <s v="SAGAR"/>
    <s v="AKUMS DRUGS &amp; PHARMACEUTICALS"/>
    <s v="AKUMS DRUGS &amp; PHARMACEUTICALS"/>
    <n v="50082012"/>
    <s v="C-DOUBLESAFE WHITE NX (H)-ET"/>
    <n v="73493"/>
    <n v="0.78400664008817167"/>
    <n v="57619"/>
    <x v="4"/>
    <m/>
    <m/>
    <m/>
    <m/>
    <m/>
    <m/>
    <m/>
  </r>
  <r>
    <x v="3"/>
    <s v="SAGAR"/>
    <s v="AKUMS DRUGS &amp; PHARMACEUTICALS"/>
    <s v="AKUMS DRUGS &amp; PHARMACEUTICALS"/>
    <n v="50082078"/>
    <s v="N-BLOCK RG NATURAL (L)-ET"/>
    <n v="92529"/>
    <n v="0.30604459142539098"/>
    <n v="28318"/>
    <x v="4"/>
    <m/>
    <m/>
    <m/>
    <m/>
    <m/>
    <m/>
    <m/>
  </r>
  <r>
    <x v="3"/>
    <s v="SAGAR"/>
    <s v="AKUMS DRUGS &amp; PHARMACEUTICALS"/>
    <s v="AKUMS DRUGS &amp; PHARMACEUTICALS"/>
    <n v="50083287"/>
    <s v="B-5ML &quot;O&quot; O. GREEN (L)-GS"/>
    <n v="145041"/>
    <n v="1.4797126329796402"/>
    <n v="214619"/>
    <x v="4"/>
    <m/>
    <m/>
    <m/>
    <m/>
    <m/>
    <m/>
    <m/>
  </r>
  <r>
    <x v="1"/>
    <s v="SAGAR"/>
    <s v="AKUMS DRUGS &amp; PHARMACEUTICALS"/>
    <s v="AKUMS DRUGS &amp; PHARMACEUTICALS"/>
    <n v="50081734"/>
    <s v="B-5ML RSP NATURAL (S)(L)-GS"/>
    <n v="75029"/>
    <n v="1.4621546335416973"/>
    <n v="109704"/>
    <x v="4"/>
    <m/>
    <m/>
    <m/>
    <m/>
    <m/>
    <m/>
    <m/>
  </r>
  <r>
    <x v="1"/>
    <s v="SAGAR"/>
    <s v="AKUMS DRUGS &amp; PHARMACEUTICALS"/>
    <s v="AKUMS DRUGS &amp; PHARMACEUTICALS"/>
    <n v="50081768"/>
    <s v="C-TAMPSAFE RSP GREY (H)-GS"/>
    <n v="50350"/>
    <n v="2.5627408142999006"/>
    <n v="129034"/>
    <x v="4"/>
    <m/>
    <m/>
    <m/>
    <m/>
    <m/>
    <m/>
    <m/>
  </r>
  <r>
    <x v="1"/>
    <s v="SAGAR"/>
    <s v="AKUMS DRUGS &amp; PHARMACEUTICALS"/>
    <s v="AKUMS DRUGS &amp; PHARMACEUTICALS"/>
    <n v="50081840"/>
    <s v="N-OPEN RSP NATURAL(L)-GS"/>
    <n v="359346"/>
    <n v="1.1758138395863598"/>
    <n v="422524.00000000006"/>
    <x v="4"/>
    <m/>
    <m/>
    <m/>
    <m/>
    <m/>
    <m/>
    <m/>
  </r>
  <r>
    <x v="3"/>
    <s v="SAGAR"/>
    <s v="AKUMS DRUGS &amp; PHARMACEUTICALS"/>
    <s v="AKUMS DRUGS &amp; PHARMACEUTICALS"/>
    <n v="50099313"/>
    <s v="B-10ML EX.RG O.GREEN 16C(L)-ET"/>
    <n v="100000"/>
    <n v="1.5658799999999999"/>
    <n v="156588"/>
    <x v="0"/>
    <m/>
    <m/>
    <m/>
    <m/>
    <m/>
    <m/>
    <m/>
  </r>
  <r>
    <x v="3"/>
    <s v="SAGAR"/>
    <s v="AKUMS DRUGS &amp; PHARMACEUTICALS"/>
    <s v="AKUMS DRUGS &amp; PHARMACEUTICALS"/>
    <n v="50114370"/>
    <s v="B-5ML &quot;O&quot; WHITE 48C(L)-GS"/>
    <n v="596659"/>
    <n v="1.8672374002570982"/>
    <n v="1114104"/>
    <x v="4"/>
    <m/>
    <m/>
    <m/>
    <m/>
    <m/>
    <m/>
    <m/>
  </r>
  <r>
    <x v="3"/>
    <s v="SAGAR"/>
    <s v="AKUMS DRUGS &amp; PHARMACEUTICALS"/>
    <s v="AKUMS DRUGS &amp; PHARMACEUTICALS"/>
    <n v="50114401"/>
    <s v="B-10ML O DESIGN O.GRN18C(L)-GS"/>
    <n v="247581"/>
    <n v="2.1376236464025915"/>
    <n v="529235"/>
    <x v="4"/>
    <m/>
    <m/>
    <m/>
    <m/>
    <m/>
    <m/>
    <m/>
  </r>
  <r>
    <x v="2"/>
    <s v="SAGAR"/>
    <s v="MANKIND PHARMA LTD"/>
    <s v="MANKIND PHARMA LTD"/>
    <n v="50081547"/>
    <s v="30mcl white RSP LDPE nozzle - GS,"/>
    <n v="250000"/>
    <n v="0.79"/>
    <n v="197500"/>
    <x v="0"/>
    <m/>
    <s v="SHIPPED"/>
    <m/>
    <m/>
    <m/>
    <m/>
    <m/>
  </r>
  <r>
    <x v="2"/>
    <s v="SAGAR"/>
    <s v="MANKIND PHARMA LTD"/>
    <s v="MANKIND PHARMA LTD"/>
    <n v="50096939"/>
    <s v="10ml RSP R2 bottle white HDPE - GS"/>
    <n v="200000"/>
    <n v="5.47"/>
    <n v="1094000"/>
    <x v="0"/>
    <m/>
    <s v="SHIPPED"/>
    <m/>
    <m/>
    <m/>
    <m/>
    <m/>
  </r>
  <r>
    <x v="2"/>
    <s v="SAGAR"/>
    <s v="MANKIND PHARMA LTD"/>
    <s v="MANKIND PHARMA LTD"/>
    <n v="50091674"/>
    <s v="Tampsafe RPS R2 - 30 TARQ HDPE cap - GS "/>
    <n v="200000"/>
    <n v="1.6"/>
    <n v="320000"/>
    <x v="0"/>
    <m/>
    <s v="SHIPPED"/>
    <m/>
    <m/>
    <m/>
    <m/>
    <m/>
  </r>
  <r>
    <x v="2"/>
    <s v="SAGAR"/>
    <s v="MANKIND PHARMA LTD"/>
    <s v="MANKIND PHARMA LTD"/>
    <n v="50081547"/>
    <s v="30mcl white RSP LDPE nozzle - GS,"/>
    <n v="200000"/>
    <n v="0.79"/>
    <n v="158000"/>
    <x v="0"/>
    <m/>
    <s v="SHIPPED"/>
    <m/>
    <m/>
    <m/>
    <m/>
    <m/>
  </r>
  <r>
    <x v="2"/>
    <s v="SAGAR"/>
    <s v="MANKIND PHARMA LTD"/>
    <s v="MANKIND PHARMA LTD"/>
    <n v="50096939"/>
    <s v="10ml RSP R2 bottle white HDPE - GS"/>
    <n v="300000"/>
    <n v="5.47"/>
    <n v="1641000"/>
    <x v="0"/>
    <m/>
    <s v="SHIPPED"/>
    <m/>
    <m/>
    <m/>
    <m/>
    <m/>
  </r>
  <r>
    <x v="2"/>
    <s v="SAGAR"/>
    <s v="MANKIND PHARMA LTD"/>
    <s v="MANKIND PHARMA LTD"/>
    <n v="50091674"/>
    <s v="Tampsafe RPS R2 - 30 TARQ HDPE cap - GS "/>
    <n v="300000"/>
    <n v="1.6"/>
    <n v="480000"/>
    <x v="0"/>
    <m/>
    <s v="SHIPPED"/>
    <m/>
    <m/>
    <m/>
    <m/>
    <m/>
  </r>
  <r>
    <x v="2"/>
    <s v="SAGAR"/>
    <s v="MANKIND PHARMA LTD"/>
    <s v="MANKIND PHARMA LTD"/>
    <n v="50081547"/>
    <s v="30mcl white RSP LDPE nozzle - GS,"/>
    <n v="300000"/>
    <n v="0.79"/>
    <n v="237000"/>
    <x v="0"/>
    <m/>
    <s v="SHIPPED"/>
    <m/>
    <m/>
    <m/>
    <m/>
    <m/>
  </r>
  <r>
    <x v="2"/>
    <s v="SAGAR"/>
    <s v="MANKIND PHARMA LTD"/>
    <s v="MANKIND PHARMA LTD"/>
    <n v="50096939"/>
    <s v="10ml RSP R2 bottle white HDPE - GS"/>
    <n v="250000"/>
    <n v="5.47"/>
    <n v="1367500"/>
    <x v="0"/>
    <m/>
    <s v="SHIPPED"/>
    <m/>
    <m/>
    <m/>
    <m/>
    <m/>
  </r>
  <r>
    <x v="2"/>
    <s v="SAGAR"/>
    <s v="MANKIND PHARMA LTD"/>
    <s v="MANKIND PHARMA LTD"/>
    <n v="50091674"/>
    <s v="Tampsafe RPS R2 - 30 TARQ HDPE cap - GS "/>
    <n v="250000"/>
    <n v="1.6"/>
    <n v="400000"/>
    <x v="0"/>
    <m/>
    <s v="SHIPPED"/>
    <m/>
    <m/>
    <m/>
    <m/>
    <m/>
  </r>
  <r>
    <x v="2"/>
    <s v="SAGAR"/>
    <s v="MANKIND PHARMA LTD"/>
    <s v="MANKIND PHARMA LTD"/>
    <n v="50081547"/>
    <s v="30mcl white RSP LDPE nozzle - GS,"/>
    <n v="300000"/>
    <n v="0.79"/>
    <n v="237000"/>
    <x v="0"/>
    <m/>
    <m/>
    <m/>
    <m/>
    <m/>
    <m/>
    <m/>
  </r>
  <r>
    <x v="2"/>
    <s v="SAGAR"/>
    <s v="MANKIND PHARMA LTD"/>
    <s v="MANKIND PHARMA LTD"/>
    <n v="50096939"/>
    <s v="10ml RSP R2 bottle white HDPE - GS"/>
    <n v="300000"/>
    <n v="5.47"/>
    <n v="1641000"/>
    <x v="0"/>
    <m/>
    <m/>
    <m/>
    <m/>
    <m/>
    <m/>
    <m/>
  </r>
  <r>
    <x v="2"/>
    <s v="SAGAR"/>
    <s v="MANKIND PHARMA LTD"/>
    <s v="MANKIND PHARMA LTD"/>
    <n v="50091674"/>
    <s v="Tampsafe RPS R2 - 30 TARQ HDPE cap - GS "/>
    <n v="300000"/>
    <n v="1.6"/>
    <n v="480000"/>
    <x v="0"/>
    <m/>
    <m/>
    <m/>
    <m/>
    <m/>
    <m/>
    <m/>
  </r>
  <r>
    <x v="3"/>
    <s v="PRIYANK"/>
    <s v="LINCOLN PHARMACEUTICALS LTD"/>
    <s v="LINCOLN PHARMACEUTICALS LTD"/>
    <n v="50111528"/>
    <s v="B-10ML &quot;I&quot; WHITE-16C (L)-GS"/>
    <n v="300000"/>
    <n v="1.69"/>
    <n v="507000"/>
    <x v="0"/>
    <m/>
    <m/>
    <m/>
    <m/>
    <m/>
    <m/>
    <m/>
  </r>
  <r>
    <x v="3"/>
    <s v="PRIYANK"/>
    <s v="LINCOLN PHARMACEUTICALS LTD"/>
    <s v="LINCOLN PHARMACEUTICALS LTD"/>
    <n v="50081808"/>
    <s v="C-TAMPSAFE &quot;I&quot; WHITE (H)-GS"/>
    <n v="300000"/>
    <n v="0.54"/>
    <n v="162000"/>
    <x v="0"/>
    <m/>
    <m/>
    <m/>
    <m/>
    <m/>
    <m/>
    <m/>
  </r>
  <r>
    <x v="3"/>
    <s v="PRIYANK"/>
    <s v="LINCOLN PHARMACEUTICALS LTD"/>
    <s v="LINCOLN PHARMACEUTICALS LTD"/>
    <n v="50111939"/>
    <s v="N-OPEN &quot;I&quot; NAT NEW 48C (L)-GS"/>
    <n v="300000"/>
    <n v="0.24"/>
    <n v="72000"/>
    <x v="0"/>
    <m/>
    <m/>
    <m/>
    <m/>
    <m/>
    <m/>
    <m/>
  </r>
  <r>
    <x v="0"/>
    <s v="MIHIR"/>
    <s v="STRIDES PHARMA SCIENCE  LTD- B"/>
    <s v="STRIDES PHARMA SCIENCE  LTD- B"/>
    <n v="50101139"/>
    <s v="CR-33MM 035 FS 5-4 (RED)"/>
    <n v="170000"/>
    <n v="3.26"/>
    <n v="554200"/>
    <x v="0"/>
    <n v="170000"/>
    <s v="SHIPPED"/>
    <n v="25501615"/>
    <n v="4110074139"/>
    <d v="2025-12-19T00:00:00"/>
    <n v="1"/>
    <d v="2026-02-28T00:00:00"/>
  </r>
  <r>
    <x v="0"/>
    <s v="PRIYANK"/>
    <s v="RUBICON RESEARCH LTD"/>
    <s v="RUBICON RESEARCH LIMITED"/>
    <n v="50110012"/>
    <s v="CR-33MM HS123/020-(P-WHT)-1"/>
    <n v="530000"/>
    <n v="2.2200000000000002"/>
    <n v="1176600"/>
    <x v="5"/>
    <m/>
    <m/>
    <m/>
    <m/>
    <m/>
    <m/>
    <m/>
  </r>
  <r>
    <x v="3"/>
    <s v="PRIYANK"/>
    <s v="Sion Healthcare (SHL) Limited"/>
    <s v="Sion Healthcare (SHL) Limited"/>
    <n v="50112214"/>
    <s v="B-5ML RG WHITE 18C (L-F)-GS"/>
    <n v="400000"/>
    <n v="1.61"/>
    <n v="644000"/>
    <x v="7"/>
    <m/>
    <m/>
    <m/>
    <m/>
    <m/>
    <m/>
    <m/>
  </r>
  <r>
    <x v="3"/>
    <s v="PRIYANK"/>
    <s v="Sion Healthcare (SHL) Limited"/>
    <s v="Sion Healthcare (SHL) Limited"/>
    <n v="50082011"/>
    <s v="C-DOUBLESAFE WHITE NX (H)-GS"/>
    <n v="400000"/>
    <n v="0.46"/>
    <n v="184000"/>
    <x v="7"/>
    <m/>
    <m/>
    <m/>
    <m/>
    <m/>
    <m/>
    <m/>
  </r>
  <r>
    <x v="3"/>
    <s v="PRIYANK"/>
    <s v="Sion Healthcare (SHL) Limited"/>
    <s v="Sion Healthcare (SHL) Limited"/>
    <n v="50104925"/>
    <s v="N-BLOCK RG NATURAL-3R (L)-GS"/>
    <n v="400000"/>
    <n v="0.21"/>
    <n v="84000"/>
    <x v="7"/>
    <m/>
    <m/>
    <m/>
    <m/>
    <m/>
    <m/>
    <m/>
  </r>
  <r>
    <x v="3"/>
    <s v="PRIYANK"/>
    <s v="RENOVA LIFESCINECES  PVT LTD"/>
    <s v="RENOVA LIFESCINECES  PVT LTD"/>
    <n v="50083266"/>
    <s v="B-5ML RG WHITE -12C (L)-GS"/>
    <n v="100000"/>
    <n v="1.8"/>
    <n v="180000"/>
    <x v="4"/>
    <m/>
    <m/>
    <m/>
    <m/>
    <m/>
    <m/>
    <m/>
  </r>
  <r>
    <x v="3"/>
    <s v="PRIYANK"/>
    <s v="RENOVA LIFESCINECES  PVT LTD"/>
    <s v="RENOVA LIFESCINECES  PVT LTD"/>
    <n v="50099121"/>
    <s v="N-OPEN RG WHITE 64C (L)-GS"/>
    <n v="100000"/>
    <n v="0.31"/>
    <n v="31000"/>
    <x v="4"/>
    <m/>
    <m/>
    <m/>
    <m/>
    <m/>
    <m/>
    <m/>
  </r>
  <r>
    <x v="3"/>
    <s v="PRIYANK"/>
    <s v="RENOVA LIFESCINECES  PVT LTD"/>
    <s v="RENOVA LIFESCINECES  PVT LTD"/>
    <n v="50081903"/>
    <s v="C-TAMPSAFE SS(R) WHITE(H)-GS"/>
    <n v="100000"/>
    <n v="0.51"/>
    <n v="51000"/>
    <x v="4"/>
    <m/>
    <m/>
    <m/>
    <m/>
    <m/>
    <m/>
    <m/>
  </r>
  <r>
    <x v="2"/>
    <s v="PRIYANK"/>
    <s v="RENOVA LIFESCINECES  PVT LTD"/>
    <s v="RENOVA LIFESCINECES  PVT LTD"/>
    <n v="50114358"/>
    <s v="B-5ML RSP WHITE R2 48C(L)-GS"/>
    <n v="150000"/>
    <n v="3.89"/>
    <n v="583500"/>
    <x v="0"/>
    <m/>
    <m/>
    <m/>
    <m/>
    <m/>
    <m/>
    <m/>
  </r>
  <r>
    <x v="2"/>
    <s v="PRIYANK"/>
    <s v="RENOVA LIFESCINECES  PVT LTD"/>
    <s v="RENOVA LIFESCINECES  PVT LTD"/>
    <n v="50105703"/>
    <s v="N-OPEN RSP-30mcl WHT NEW(L)-GS"/>
    <n v="150000"/>
    <n v="1.1000000000000001"/>
    <n v="165000"/>
    <x v="0"/>
    <m/>
    <m/>
    <m/>
    <m/>
    <m/>
    <m/>
    <m/>
  </r>
  <r>
    <x v="2"/>
    <s v="PRIYANK"/>
    <s v="RENOVA LIFESCINECES  PVT LTD"/>
    <s v="RENOVA LIFESCINECES  PVT LTD"/>
    <n v="50113738"/>
    <s v="C-TS RSP R2 2.0 WHT 64C (H)-GS"/>
    <n v="150000"/>
    <n v="1.65"/>
    <n v="247500"/>
    <x v="0"/>
    <m/>
    <s v="IN STERILIZATION"/>
    <m/>
    <m/>
    <m/>
    <m/>
    <m/>
  </r>
  <r>
    <x v="2"/>
    <s v="PRIYANK"/>
    <s v="RENOVA LIFESCINECES  PVT LTD"/>
    <s v="RENOVA LIFESCINECES  PVT LTD"/>
    <n v="50098148"/>
    <s v="B-10ML RSP R2 GRNPE6M415143-GS"/>
    <n v="150000"/>
    <n v="4.92"/>
    <n v="738000"/>
    <x v="0"/>
    <m/>
    <m/>
    <m/>
    <m/>
    <m/>
    <m/>
    <m/>
  </r>
  <r>
    <x v="2"/>
    <s v="PRIYANK"/>
    <s v="RENOVA LIFESCINECES  PVT LTD"/>
    <s v="RENOVA LIFESCINECES  PVT LTD"/>
    <n v="50113746"/>
    <s v="C-TSRSPR2 2.0 GRN415143 64C-GS"/>
    <n v="150000"/>
    <n v="1.74"/>
    <n v="261000"/>
    <x v="0"/>
    <m/>
    <m/>
    <m/>
    <m/>
    <m/>
    <m/>
    <m/>
  </r>
  <r>
    <x v="2"/>
    <s v="PRIYANK"/>
    <s v="RENOVA LIFESCINECES  PVT LTD"/>
    <s v="RENOVA LIFESCINECES  PVT LTD"/>
    <n v="50110391"/>
    <s v="N-OPEN RSP-30mcl GRN NEW(L)-GS"/>
    <n v="150000"/>
    <n v="1.17"/>
    <n v="175500"/>
    <x v="0"/>
    <m/>
    <m/>
    <m/>
    <m/>
    <m/>
    <m/>
    <m/>
  </r>
  <r>
    <x v="3"/>
    <s v="PRIYANK"/>
    <s v="RENOVA LIFESCINECES  PVT LTD"/>
    <s v="RENOVA LIFESCINECES  PVT LTD"/>
    <n v="50114680"/>
    <s v="B-5ML RG O. GREEN-12C (L) -GS"/>
    <n v="200000"/>
    <n v="1.82"/>
    <n v="364000"/>
    <x v="4"/>
    <m/>
    <m/>
    <m/>
    <m/>
    <m/>
    <m/>
    <m/>
  </r>
  <r>
    <x v="3"/>
    <s v="PRIYANK"/>
    <s v="RENOVA LIFESCINECES  PVT LTD"/>
    <s v="RENOVA LIFESCINECES  PVT LTD"/>
    <n v="50082039"/>
    <s v="N-OPEN RG O. GREEN 64C(L)-GS"/>
    <n v="200000"/>
    <n v="0.36"/>
    <n v="72000"/>
    <x v="4"/>
    <m/>
    <m/>
    <m/>
    <m/>
    <m/>
    <m/>
    <m/>
  </r>
  <r>
    <x v="3"/>
    <s v="PRIYANK"/>
    <s v="RENOVA LIFESCINECES  PVT LTD"/>
    <s v="RENOVA LIFESCINECES  PVT LTD"/>
    <n v="50081803"/>
    <s v="C-TAMPSAFE SS(R)O.GREEN (H)-GS"/>
    <n v="200000"/>
    <n v="0.6"/>
    <n v="120000"/>
    <x v="4"/>
    <m/>
    <m/>
    <m/>
    <m/>
    <m/>
    <m/>
    <m/>
  </r>
  <r>
    <x v="3"/>
    <s v="PRIYANK"/>
    <s v="ENTOD PHARMACEUTICALS LTD"/>
    <s v="ENTOD PHARMACEUTICALS LTD"/>
    <n v="50081786"/>
    <s v="B-5ML EX.RG O.GREEN (L)-GS"/>
    <n v="50000"/>
    <n v="1.92"/>
    <n v="96000"/>
    <x v="0"/>
    <m/>
    <m/>
    <m/>
    <m/>
    <m/>
    <m/>
    <m/>
  </r>
  <r>
    <x v="3"/>
    <s v="PRIYANK"/>
    <s v="ENTOD PHARMACEUTICALS LTD"/>
    <s v="ENTOD PHARMACEUTICALS LTD"/>
    <n v="50081930"/>
    <s v="C-DOUBLESAFE NX O.GREEN (H)-GS"/>
    <n v="50000"/>
    <n v="0.79"/>
    <n v="39500"/>
    <x v="0"/>
    <m/>
    <m/>
    <m/>
    <m/>
    <m/>
    <m/>
    <m/>
  </r>
  <r>
    <x v="3"/>
    <s v="PRIYANK"/>
    <s v="ENTOD PHARMACEUTICALS LTD"/>
    <s v="ENTOD PHARMACEUTICALS LTD"/>
    <n v="50115921"/>
    <s v="N-BLOCK RG O.GREEN-3R (L)-GS"/>
    <n v="50000"/>
    <n v="0.39"/>
    <n v="19500"/>
    <x v="0"/>
    <m/>
    <m/>
    <m/>
    <m/>
    <m/>
    <m/>
    <m/>
  </r>
  <r>
    <x v="3"/>
    <s v="PRIYANK"/>
    <s v="ENTOD PHARMACEUTICALS LTD"/>
    <s v="ENTOD PHARMACEUTICALS LTD"/>
    <n v="50081866"/>
    <s v="B-5ML EX. RG WHITE (L)-GS"/>
    <n v="50000"/>
    <n v="1.86"/>
    <n v="93000"/>
    <x v="0"/>
    <m/>
    <m/>
    <m/>
    <m/>
    <m/>
    <m/>
    <m/>
  </r>
  <r>
    <x v="3"/>
    <s v="PRIYANK"/>
    <s v="ENTOD PHARMACEUTICALS LTD"/>
    <s v="ENTOD PHARMACEUTICALS LTD"/>
    <n v="50082011"/>
    <s v="C-DOUBLESAFE WHITE NX (H)-GS"/>
    <n v="50000"/>
    <n v="0.74"/>
    <n v="37000"/>
    <x v="0"/>
    <m/>
    <m/>
    <m/>
    <m/>
    <m/>
    <m/>
    <m/>
  </r>
  <r>
    <x v="3"/>
    <s v="PRIYANK"/>
    <s v="ENTOD PHARMACEUTICALS LTD"/>
    <s v="ENTOD PHARMACEUTICALS LTD"/>
    <n v="50105010"/>
    <s v="N-BLOCK RG WHITE-3R (L)-GS"/>
    <n v="50000"/>
    <n v="0.33"/>
    <n v="16500"/>
    <x v="0"/>
    <m/>
    <m/>
    <m/>
    <m/>
    <m/>
    <m/>
    <m/>
  </r>
  <r>
    <x v="3"/>
    <s v="PRIYANK"/>
    <s v="KILITCH HEALTHCARE LIMITED"/>
    <s v="KILITCH HEALTHCARE LIMITED"/>
    <n v="50110683"/>
    <s v="B-10ML RG O.GREEN 16C (L)-GS"/>
    <n v="120000"/>
    <n v="2.58"/>
    <n v="309600"/>
    <x v="4"/>
    <m/>
    <m/>
    <m/>
    <m/>
    <m/>
    <m/>
    <m/>
  </r>
  <r>
    <x v="3"/>
    <s v="PRIYANK"/>
    <s v="KILITCH HEALTHCARE LIMITED"/>
    <s v="KILITCH HEALTHCARE LIMITED"/>
    <n v="50081803"/>
    <s v="C-TAMPSAFE SS(R)O.GREEN (H)-GS"/>
    <n v="120000"/>
    <n v="0.57999999999999996"/>
    <n v="69600"/>
    <x v="4"/>
    <m/>
    <m/>
    <m/>
    <m/>
    <m/>
    <m/>
    <m/>
  </r>
  <r>
    <x v="3"/>
    <s v="PRIYANK"/>
    <s v="KILITCH HEALTHCARE LIMITED"/>
    <s v="KILITCH HEALTHCARE LIMITED"/>
    <n v="50082039"/>
    <s v="N-OPEN RG O. GREEN 64C(L)-GS"/>
    <n v="120000"/>
    <n v="0.34"/>
    <n v="40800"/>
    <x v="4"/>
    <m/>
    <m/>
    <m/>
    <m/>
    <m/>
    <m/>
    <m/>
  </r>
  <r>
    <x v="4"/>
    <s v="MIHIR"/>
    <s v="DR.REDDY'S LABORATORIES LTD"/>
    <s v="DR.REDDY'S LABORATORIES LTD"/>
    <n v="50101362"/>
    <s v="CR-33MM CR III 035/35 WLP(RED)"/>
    <n v="84000"/>
    <n v="2.25"/>
    <n v="189000"/>
    <x v="0"/>
    <n v="500000"/>
    <s v="SHIPPED"/>
    <m/>
    <m/>
    <m/>
    <m/>
    <m/>
  </r>
  <r>
    <x v="4"/>
    <s v="MIHIR"/>
    <s v="DR.REDDY'S LABORATORIES LTD"/>
    <s v="DR.REDDY'S LABORATORIES LTD"/>
    <n v="50101362"/>
    <s v="CR-33MM CR III 035/35 WLP(RED)"/>
    <n v="416000"/>
    <n v="2.25"/>
    <n v="936000"/>
    <x v="0"/>
    <n v="500000"/>
    <m/>
    <m/>
    <m/>
    <m/>
    <m/>
    <m/>
  </r>
  <r>
    <x v="2"/>
    <s v="MIHIR"/>
    <s v="DR.REDDY'S LABORATORIES LTD"/>
    <s v="DR.REDDY'S LABORATORIES LTD"/>
    <n v="50105264"/>
    <s v="B-5ML RSP WHT R2 EZI-FLOW-GS"/>
    <n v="6000"/>
    <n v="10.02"/>
    <n v="60120"/>
    <x v="4"/>
    <m/>
    <m/>
    <s v="TBB"/>
    <m/>
    <m/>
    <m/>
    <m/>
  </r>
  <r>
    <x v="2"/>
    <s v="MIHIR"/>
    <s v="DR.REDDY'S LABORATORIES LTD"/>
    <s v="DR.REDDY'S LABORATORIES LTD"/>
    <n v="50114140"/>
    <s v="C-TS RSP R2 2.0 PINK64C EZI-GS"/>
    <n v="5800"/>
    <n v="9.1199999999999992"/>
    <n v="52895.999999999993"/>
    <x v="4"/>
    <m/>
    <m/>
    <s v="TBB"/>
    <m/>
    <m/>
    <m/>
    <m/>
  </r>
  <r>
    <x v="0"/>
    <s v="MIHIR"/>
    <s v="STRIDES PHARMA SCIENCE  LTD- B"/>
    <s v="STRIDES PHARMA SCIENCE  LTD- B"/>
    <n v="50101133"/>
    <s v="CR-33MM HS123/0.020 (WHT)"/>
    <n v="200000"/>
    <n v="3.26"/>
    <n v="652000"/>
    <x v="0"/>
    <n v="200000"/>
    <m/>
    <n v="25501615"/>
    <n v="4110074139"/>
    <d v="2025-12-19T00:00:00"/>
    <n v="5"/>
    <d v="2026-02-28T00:00:00"/>
  </r>
  <r>
    <x v="0"/>
    <s v="PRIYANK"/>
    <s v="STALLION LABORATORIES PRIVATE"/>
    <s v="STALLION LABORATORIES PRIVATE"/>
    <n v="50113461"/>
    <s v="CR-28-WHT1-HS123/.020(WHT)"/>
    <n v="60000"/>
    <n v="2.15"/>
    <n v="129000"/>
    <x v="0"/>
    <m/>
    <m/>
    <n v="25501588"/>
    <s v="SGAPOPM25260089"/>
    <d v="2025-12-17T00:00:00"/>
    <n v="1"/>
    <d v="2026-01-25T00:00:00"/>
  </r>
  <r>
    <x v="0"/>
    <s v="MIHIR"/>
    <s v="STRIDES PHARMA SCIENCE LTD- PU"/>
    <s v="STRIDES PHARMA SCIENCE LTD- PU"/>
    <n v="50101134"/>
    <s v="CR-38MM HS123/0.020 (WHT)"/>
    <n v="150000"/>
    <n v="3.43"/>
    <n v="514500"/>
    <x v="0"/>
    <n v="80000"/>
    <m/>
    <n v="25501261"/>
    <n v="4110073358"/>
    <d v="2025-10-31T00:00:00"/>
    <n v="1.1000000000000001"/>
    <d v="2025-12-28T00:00:00"/>
  </r>
  <r>
    <x v="0"/>
    <s v="MIHIR"/>
    <s v="STRIDES PHARMA SCIENCE LTD- PU"/>
    <s v="STRIDES PHARMA SCIENCE LTD- PU"/>
    <n v="50101133"/>
    <s v="CR-33MM HS123/0.020 (WHT)"/>
    <n v="170000"/>
    <n v="3.26"/>
    <n v="554200"/>
    <x v="0"/>
    <n v="170000"/>
    <m/>
    <n v="25501322"/>
    <n v="4110073357"/>
    <d v="2025-11-11T00:00:00"/>
    <n v="1.2"/>
    <d v="2025-12-28T00:00:00"/>
  </r>
  <r>
    <x v="2"/>
    <s v="MIHIR"/>
    <s v="SOMERSET THERAPEUTICS PRIVATE LIMITED"/>
    <s v="SOMERSET THERAPEUTICS PRIVATE LIMITED"/>
    <n v="50081840"/>
    <s v="N-OPEN RSP NATURAL(L)-GS"/>
    <n v="500000"/>
    <n v="1.55"/>
    <n v="775000"/>
    <x v="0"/>
    <m/>
    <m/>
    <m/>
    <m/>
    <m/>
    <m/>
    <m/>
  </r>
  <r>
    <x v="2"/>
    <s v="MIHIR"/>
    <s v="SOMERSET THERAPEUTICS PRIVATE LIMITED"/>
    <s v="SOMERSET THERAPEUTICS PRIVATE LIMITED"/>
    <n v="50081938"/>
    <s v="N-OPEN RSP WHITE (L)-GS"/>
    <n v="200000"/>
    <n v="1.55"/>
    <n v="310000"/>
    <x v="0"/>
    <m/>
    <s v="SHIPPED"/>
    <m/>
    <m/>
    <m/>
    <m/>
    <m/>
  </r>
  <r>
    <x v="2"/>
    <s v="MIHIR"/>
    <s v="SOMERSET THERAPEUTICS PRIVATE LIMITED"/>
    <s v="SOMERSET THERAPEUTICS PRIVATE LIMITED"/>
    <n v="50081938"/>
    <s v="N-OPEN RSP WHITE (L)-GS"/>
    <n v="200000"/>
    <n v="1.55"/>
    <n v="310000"/>
    <x v="0"/>
    <m/>
    <s v="IN STERILIZATION"/>
    <m/>
    <m/>
    <m/>
    <m/>
    <m/>
  </r>
  <r>
    <x v="2"/>
    <s v="MIHIR"/>
    <s v="SOMERSET THERAPEUTICS PRIVATE LIMITED"/>
    <s v="SOMERSET THERAPEUTICS PRIVATE LIMITED"/>
    <n v="50091672"/>
    <s v="B-10ML RSP NATURAL R2 (L)-GS"/>
    <n v="200000"/>
    <n v="3.02"/>
    <n v="604000"/>
    <x v="0"/>
    <m/>
    <m/>
    <m/>
    <m/>
    <m/>
    <m/>
    <m/>
  </r>
  <r>
    <x v="2"/>
    <s v="MIHIR"/>
    <s v="SOMERSET THERAPEUTICS PRIVATE LIMITED"/>
    <s v="SOMERSET THERAPEUTICS PRIVATE LIMITED"/>
    <n v="50092422"/>
    <s v="B-15ML RSP NATURAL R2(L)-GS"/>
    <n v="150000"/>
    <n v="3.37"/>
    <n v="505500"/>
    <x v="0"/>
    <m/>
    <m/>
    <m/>
    <m/>
    <m/>
    <m/>
    <m/>
  </r>
  <r>
    <x v="2"/>
    <s v="MIHIR"/>
    <s v="SOMERSET THERAPEUTICS PRIVATE LIMITED"/>
    <s v="SOMERSET THERAPEUTICS PRIVATE LIMITED"/>
    <n v="50092422"/>
    <s v="B-15ML RSP WHITE R2(L)-GS"/>
    <n v="180000"/>
    <n v="3.37"/>
    <n v="606600"/>
    <x v="0"/>
    <m/>
    <s v="SHIPPED"/>
    <m/>
    <m/>
    <m/>
    <m/>
    <m/>
  </r>
  <r>
    <x v="2"/>
    <s v="MIHIR"/>
    <s v="SOMERSET THERAPEUTICS PRIVATE LIMITED"/>
    <s v="SOMERSET THERAPEUTICS PRIVATE LIMITED"/>
    <n v="50092422"/>
    <s v="B-15ML RSP WHITE R2(L)-GS"/>
    <n v="120000"/>
    <n v="3.37"/>
    <n v="404400"/>
    <x v="0"/>
    <m/>
    <m/>
    <m/>
    <m/>
    <m/>
    <m/>
    <m/>
  </r>
  <r>
    <x v="2"/>
    <s v="MIHIR"/>
    <s v="SOMERSET THERAPEUTICS PRIVATE LIMITED"/>
    <s v="SOMERSET THERAPEUTICS PRIVATE LIMITED"/>
    <n v="50113738"/>
    <s v="C-TS RSP R2 2.0 WHT 64C (H)-GS"/>
    <n v="250000"/>
    <n v="1.59"/>
    <n v="397500"/>
    <x v="0"/>
    <m/>
    <s v="SHIPPED"/>
    <m/>
    <m/>
    <m/>
    <m/>
    <m/>
  </r>
  <r>
    <x v="2"/>
    <s v="MIHIR"/>
    <s v="SOMERSET THERAPEUTICS PRIVATE LIMITED"/>
    <s v="SOMERSET THERAPEUTICS PRIVATE LIMITED"/>
    <n v="50113738"/>
    <s v="C-TS RSP R2 2.0 WHT 64C (H)-GS"/>
    <n v="250000"/>
    <n v="1.59"/>
    <n v="397500"/>
    <x v="0"/>
    <m/>
    <m/>
    <m/>
    <m/>
    <m/>
    <m/>
    <m/>
  </r>
  <r>
    <x v="2"/>
    <s v="MIHIR"/>
    <s v="SOMERSET THERAPEUTICS PRIVATE LIMITED"/>
    <s v="SOMERSET THERAPEUTICS PRIVATE LIMITED"/>
    <n v="50114041"/>
    <s v="C-TS RSP BLUE R2 2.0 64C-GS"/>
    <n v="200000"/>
    <n v="1.59"/>
    <n v="318000"/>
    <x v="0"/>
    <m/>
    <m/>
    <m/>
    <m/>
    <m/>
    <m/>
    <m/>
  </r>
  <r>
    <x v="4"/>
    <s v="PRIYANK"/>
    <s v="Lupin Limited"/>
    <s v="Lupin Limited"/>
    <n v="50101361"/>
    <s v="CR-33MM CRIII HS 123/035 (BLK)"/>
    <n v="600000"/>
    <n v="2.6"/>
    <n v="1560000"/>
    <x v="0"/>
    <n v="600000"/>
    <s v="SHIPPED"/>
    <m/>
    <m/>
    <m/>
    <m/>
    <m/>
  </r>
  <r>
    <x v="0"/>
    <s v="MIHIR"/>
    <s v="STRIDES PHARMA SCIENCE  LTD- B"/>
    <s v="STRIDES PHARMA SCIENCE  LTD- B"/>
    <n v="50101144"/>
    <s v="CR-38MM -035 WLPM FSM -1 (BLK)"/>
    <n v="30000"/>
    <n v="3.43"/>
    <n v="102900"/>
    <x v="0"/>
    <m/>
    <s v="SHIPPED"/>
    <n v="25501615"/>
    <n v="4110074139"/>
    <d v="2025-12-19T00:00:00"/>
    <n v="2"/>
    <d v="2026-02-28T00:00:00"/>
  </r>
  <r>
    <x v="0"/>
    <s v="MIHIR"/>
    <s v="STRIDES PHARMA SCIENCE LIMITED"/>
    <s v="STRIDES PHARMA SCIENCE LIMITED"/>
    <n v="50106939"/>
    <s v="CR-38MM HS123/.020 (BLK)"/>
    <n v="20000"/>
    <n v="3.43"/>
    <n v="68600"/>
    <x v="0"/>
    <m/>
    <s v="SHIPPED"/>
    <n v="25501517"/>
    <n v="4090034959"/>
    <d v="2025-12-10T00:00:00"/>
    <n v="1"/>
    <d v="2025-12-25T00:00:00"/>
  </r>
  <r>
    <x v="0"/>
    <s v="PRIYANK"/>
    <s v="Zydus Lifesciences"/>
    <s v="Zydus Lifesciences"/>
    <n v="50110013"/>
    <s v="CR-33MM HS123/035-(P-WHT)-1"/>
    <n v="600000"/>
    <n v="2.2000000000000002"/>
    <n v="1320000"/>
    <x v="0"/>
    <n v="1200000"/>
    <s v="SHIPPED"/>
    <m/>
    <m/>
    <m/>
    <m/>
    <m/>
  </r>
  <r>
    <x v="0"/>
    <s v="PRIYANK"/>
    <s v="Zydus Lifesciences"/>
    <s v="Zydus Lifesciences"/>
    <n v="50110013"/>
    <s v="CR-33MM HS123/035-(P-WHT)-1"/>
    <n v="600000"/>
    <n v="2.2000000000000002"/>
    <n v="1320000"/>
    <x v="0"/>
    <n v="600000"/>
    <m/>
    <m/>
    <m/>
    <m/>
    <m/>
    <m/>
  </r>
  <r>
    <x v="0"/>
    <s v="PRIYANK"/>
    <s v="Zydus Lifesciences"/>
    <s v="Zydus Lifesciences"/>
    <n v="50110015"/>
    <s v="CR-38MM HS123/035-(P-WHT)-1"/>
    <n v="300000"/>
    <n v="2.87"/>
    <n v="861000"/>
    <x v="0"/>
    <n v="300000"/>
    <m/>
    <m/>
    <m/>
    <m/>
    <m/>
    <m/>
  </r>
  <r>
    <x v="0"/>
    <s v="PRIYANK"/>
    <s v="TORRENT PHARMACEUTICALS LIMITE"/>
    <s v="TORRENT PHARMACEUTICALS LIMITE"/>
    <n v="50110012"/>
    <s v="CR-33MM HS123/020-(P-WHT)-1"/>
    <n v="700000"/>
    <n v="1.75"/>
    <n v="1225000"/>
    <x v="0"/>
    <n v="500000"/>
    <s v="SHIPPED"/>
    <n v="25501622"/>
    <n v="4500348989"/>
    <d v="2025-12-19T00:00:00"/>
    <n v="1"/>
    <d v="2025-12-31T00:00:00"/>
  </r>
  <r>
    <x v="0"/>
    <s v="PRIYANK"/>
    <s v="TORRENT PHARMACEUTICALS LIMITE"/>
    <s v="TORRENT PHARMACEUTICALS LTD."/>
    <n v="50110012"/>
    <s v="CR-33MM HS123/020-(P-WHT)-1"/>
    <n v="300000"/>
    <n v="1.75"/>
    <n v="525000"/>
    <x v="0"/>
    <m/>
    <s v="SHIPPED"/>
    <n v="25501661"/>
    <n v="4500349029"/>
    <d v="2025-12-24T00:00:00"/>
    <m/>
    <d v="2026-01-10T00:00:00"/>
  </r>
  <r>
    <x v="2"/>
    <s v="PRIYANK"/>
    <s v="AMNEAL PHARMACEUTICALS PVT LTD"/>
    <s v="AMNEAL PHARMACEUTICALS PVT LTD"/>
    <n v="50113650"/>
    <s v="N-OPEN RSP NATURAL-64C(L)-ET"/>
    <n v="144000"/>
    <n v="2.0099999999999998"/>
    <n v="289439.99999999994"/>
    <x v="4"/>
    <m/>
    <m/>
    <m/>
    <m/>
    <m/>
    <m/>
    <m/>
  </r>
  <r>
    <x v="2"/>
    <s v="PRIYANK"/>
    <s v="AMNEAL PHARMACEUTICALS PVT LTD"/>
    <s v="AMNEAL PHARMACEUTICALS PVT LTD"/>
    <n v="50114341"/>
    <s v="N-OPEN RSP WHITE 64C(L)-GS"/>
    <n v="100000"/>
    <n v="2.2799999999999998"/>
    <n v="227999.99999999997"/>
    <x v="4"/>
    <m/>
    <m/>
    <m/>
    <m/>
    <m/>
    <m/>
    <m/>
  </r>
  <r>
    <x v="2"/>
    <s v="PRIYANK"/>
    <s v="AMNEAL PHARMACEUTICALS PVT LTD"/>
    <s v="AMNEAL PHARMACEUTICALS PVT LTD"/>
    <n v="50091672"/>
    <s v="B-10ML RSP WHITE R2 (L)-GS"/>
    <n v="100000"/>
    <n v="3.29"/>
    <n v="329000"/>
    <x v="4"/>
    <m/>
    <m/>
    <m/>
    <m/>
    <m/>
    <m/>
    <m/>
  </r>
  <r>
    <x v="2"/>
    <s v="PRIYANK"/>
    <s v="Lupin Limited"/>
    <s v="Lupin Limited"/>
    <n v="50113743"/>
    <s v="C-TS RSP R2 2.0 TANBR 64C-GS"/>
    <n v="168000"/>
    <n v="1.9"/>
    <n v="319200"/>
    <x v="0"/>
    <m/>
    <m/>
    <m/>
    <m/>
    <m/>
    <m/>
    <m/>
  </r>
  <r>
    <x v="2"/>
    <s v="PRIYANK"/>
    <s v="Lupin Limited"/>
    <s v="Lupin Limited"/>
    <n v="50083289"/>
    <s v="B-5ML RSP NATURAL R2 NEW(L)-GS"/>
    <n v="63000"/>
    <n v="2.74"/>
    <n v="172620"/>
    <x v="0"/>
    <m/>
    <m/>
    <m/>
    <m/>
    <m/>
    <m/>
    <m/>
  </r>
  <r>
    <x v="2"/>
    <s v="PRIYANK"/>
    <s v="Lupin Limited"/>
    <s v="Lupin Limited"/>
    <n v="50081840"/>
    <s v="N-OPEN RSP NATURAL(L)-GS"/>
    <n v="168000"/>
    <n v="1.33"/>
    <n v="223440"/>
    <x v="0"/>
    <m/>
    <m/>
    <m/>
    <m/>
    <m/>
    <m/>
    <m/>
  </r>
  <r>
    <x v="2"/>
    <s v="MIHIR"/>
    <s v="EUGIA PHARMA SPECIALITIES LTD-"/>
    <s v="EUGIA PHARMA SPECIALITIES LTD-"/>
    <n v="50091673"/>
    <s v="B-10ML RSP WHITE R2 (L)-ET"/>
    <n v="250000"/>
    <n v="3.63"/>
    <n v="907500"/>
    <x v="0"/>
    <m/>
    <m/>
    <n v="25501660"/>
    <n v="4142511117"/>
    <d v="2025-12-24T00:00:00"/>
    <m/>
    <d v="2026-01-21T00:00:00"/>
  </r>
  <r>
    <x v="2"/>
    <s v="MIHIR"/>
    <s v="EUGIA PHARMA SPECIALITIES LTD-"/>
    <s v="EUGIA PHARMA SPECIALITIES LTD-"/>
    <n v="50081939"/>
    <s v="N-OPEN RSP WHITE (L)-ET"/>
    <n v="450000"/>
    <n v="1.29"/>
    <n v="580500"/>
    <x v="0"/>
    <m/>
    <m/>
    <n v="25501660"/>
    <n v="4142511117"/>
    <d v="2025-12-24T00:00:00"/>
    <m/>
    <d v="2026-01-21T00:00:00"/>
  </r>
  <r>
    <x v="0"/>
    <s v="PRIYANK"/>
    <s v="ZYDUS LIFESCIENCES LIMITED(Sik"/>
    <s v="ZYDUS LIFESCIENCES LIMITED(Sik"/>
    <n v="50110013"/>
    <s v="CR-33MM HS123/035-(P-WHT)-1"/>
    <n v="70000"/>
    <n v="2.2000000000000002"/>
    <n v="154000"/>
    <x v="0"/>
    <m/>
    <m/>
    <n v="25501593"/>
    <n v="4100014720"/>
    <d v="2025-12-18T00:00:00"/>
    <n v="1"/>
    <d v="2026-02-23T00:00:00"/>
  </r>
  <r>
    <x v="2"/>
    <s v="SAGAR"/>
    <s v="MANKIND PHARMA LTD"/>
    <s v="MANKIND RESEARCH CENTRE"/>
    <n v="50112640"/>
    <s v="N-RISDROP 45 mcL NAT ASSY-ET"/>
    <n v="24000"/>
    <n v="2.2000000000000002"/>
    <n v="52800.000000000007"/>
    <x v="0"/>
    <m/>
    <m/>
    <n v="25501662"/>
    <n v="4114015793"/>
    <d v="2025-12-24T00:00:00"/>
    <m/>
    <d v="2025-12-29T00:00:00"/>
  </r>
  <r>
    <x v="3"/>
    <s v="PRIYANK"/>
    <s v="AMANTA HEALTHCARE LIMITED"/>
    <s v="AMANTA HEALTHCARE LIMITED"/>
    <n v="50110676"/>
    <s v="B-10ML RG NATURAL 16C (L)-GS"/>
    <n v="220000"/>
    <n v="2.74"/>
    <n v="602800"/>
    <x v="0"/>
    <m/>
    <m/>
    <n v="25501663"/>
    <s v="AMSPM2526000405"/>
    <d v="2025-12-24T00:00:00"/>
    <m/>
    <d v="2026-01-01T00:00:00"/>
  </r>
  <r>
    <x v="3"/>
    <s v="PRIYANK"/>
    <s v="AMANTA HEALTHCARE LIMITED"/>
    <s v="AMANTA HEALTHCARE LIMITED"/>
    <n v="50081903"/>
    <s v="C-TAMPSAFE SS(R) WHITE(H)-GS"/>
    <n v="220000"/>
    <n v="0.63"/>
    <n v="138600"/>
    <x v="0"/>
    <m/>
    <m/>
    <n v="25501663"/>
    <s v="AMSPM2526000405"/>
    <d v="2025-12-24T00:00:00"/>
    <m/>
    <d v="2026-01-01T00:00:00"/>
  </r>
  <r>
    <x v="3"/>
    <s v="PRIYANK"/>
    <s v="AMANTA HEALTHCARE LIMITED"/>
    <s v="AMANTA HEALTHCARE LIMITED"/>
    <n v="50082096"/>
    <s v="N-OPEN RG NATURAL 64C(L)-GS"/>
    <n v="220000"/>
    <n v="0.28000000000000003"/>
    <n v="61600.000000000007"/>
    <x v="0"/>
    <m/>
    <m/>
    <n v="25501663"/>
    <s v="AMSPM2526000405"/>
    <d v="2025-12-24T00:00:00"/>
    <m/>
    <d v="2026-01-01T00:00:00"/>
  </r>
  <r>
    <x v="3"/>
    <s v="PRIYANK"/>
    <s v="AMANTA HEALTHCARE LIMITED"/>
    <s v="AMANTA HEALTHCARE LIMITED"/>
    <n v="50110683"/>
    <s v="B-10ML RG O.GREEN 16C (L)-GS"/>
    <n v="55000"/>
    <n v="3.33"/>
    <n v="183150"/>
    <x v="0"/>
    <m/>
    <s v="SHIPPED"/>
    <n v="25501663"/>
    <s v="AMSPM2526000405"/>
    <d v="2025-12-24T00:00:00"/>
    <m/>
    <d v="2026-01-01T00:00:00"/>
  </r>
  <r>
    <x v="3"/>
    <s v="PRIYANK"/>
    <s v="AMANTA HEALTHCARE LIMITED"/>
    <s v="AMANTA HEALTHCARE LIMITED"/>
    <n v="50081803"/>
    <s v="C-TAMPSAFE SS(R)O.GREEN (H)-GS"/>
    <n v="60000"/>
    <n v="0.91"/>
    <n v="54600"/>
    <x v="0"/>
    <m/>
    <s v="SHIPPED"/>
    <n v="25501663"/>
    <s v="AMSPM2526000405"/>
    <d v="2025-12-24T00:00:00"/>
    <m/>
    <d v="2026-01-01T00:00:00"/>
  </r>
  <r>
    <x v="3"/>
    <s v="PRIYANK"/>
    <s v="AMANTA HEALTHCARE LIMITED"/>
    <s v="AMANTA HEALTHCARE LIMITED"/>
    <n v="50082039"/>
    <s v="N-OPEN RG O. GREEN 64C(L)-GS"/>
    <n v="60000"/>
    <n v="0.53"/>
    <n v="31800"/>
    <x v="0"/>
    <m/>
    <s v="SHIPPED"/>
    <n v="25501663"/>
    <s v="AMSPM2526000405"/>
    <d v="2025-12-24T00:00:00"/>
    <m/>
    <d v="2026-01-01T00:00:00"/>
  </r>
  <r>
    <x v="2"/>
    <s v="PARTH"/>
    <s v="APPASAMY OCULAR DEVICES (P) LT"/>
    <s v="APPASAMY OCULAR DEVICES (P) LT"/>
    <n v="50104784"/>
    <s v="B-5ML RSP WHITE R2(270G)(P)-ET"/>
    <n v="25000"/>
    <n v="3.94"/>
    <n v="98500"/>
    <x v="0"/>
    <m/>
    <m/>
    <n v="25501664"/>
    <s v="ED/BD-25-03689"/>
    <d v="2025-12-24T00:00:00"/>
    <m/>
    <d v="2025-12-31T00:00:00"/>
  </r>
  <r>
    <x v="2"/>
    <s v="PARTH"/>
    <s v="APPASAMY OCULAR DEVICES (P) LT"/>
    <s v="APPASAMY OCULAR DEVICES (P) LT"/>
    <n v="50113739"/>
    <s v="C-TS RSP R2 2.0 WHT 64C (H)-ET"/>
    <n v="25000"/>
    <n v="0.69"/>
    <n v="17250"/>
    <x v="0"/>
    <m/>
    <m/>
    <n v="25501664"/>
    <s v="ED/BD-25-03689"/>
    <d v="2025-12-24T00:00:00"/>
    <m/>
    <d v="2025-12-31T00:00:00"/>
  </r>
  <r>
    <x v="2"/>
    <s v="PARTH"/>
    <s v="APPASAMY OCULAR DEVICES (P) LT"/>
    <s v="APPASAMY OCULAR DEVICES (P) LT"/>
    <n v="50113650"/>
    <s v="N-OPEN RSP NATURAL-64C(L)-ET"/>
    <n v="25000"/>
    <n v="1.54"/>
    <n v="38500"/>
    <x v="0"/>
    <m/>
    <m/>
    <n v="25501664"/>
    <s v="ED/BD-25-03689"/>
    <d v="2025-12-24T00:00:00"/>
    <m/>
    <d v="2025-12-31T00:00:00"/>
  </r>
  <r>
    <x v="3"/>
    <s v="PRIYANK"/>
    <s v="BELL PHARMA PVT. LTD."/>
    <s v="BELL PHARMA PVT LTD"/>
    <n v="50099316"/>
    <s v="B-10ML EX.RG NATURAL 16C(L)-GS"/>
    <n v="50000"/>
    <n v="1.82"/>
    <n v="91000"/>
    <x v="0"/>
    <m/>
    <m/>
    <n v="25501665"/>
    <s v="818/24/12/2025"/>
    <d v="2025-12-24T00:00:00"/>
    <m/>
    <d v="2026-01-24T00:00:00"/>
  </r>
  <r>
    <x v="3"/>
    <s v="PRIYANK"/>
    <s v="BELL PHARMA PVT. LTD."/>
    <s v="BELL PHARMA PVT LTD"/>
    <n v="50100128"/>
    <s v="C-DOUBLESAFE NX RED  (H)-GS"/>
    <n v="50000"/>
    <n v="0.57999999999999996"/>
    <n v="28999.999999999996"/>
    <x v="0"/>
    <m/>
    <m/>
    <n v="25501665"/>
    <s v="818/24/12/2025"/>
    <d v="2025-12-24T00:00:00"/>
    <m/>
    <d v="2026-01-24T00:00:00"/>
  </r>
  <r>
    <x v="3"/>
    <s v="PRIYANK"/>
    <s v="BELL PHARMA PVT. LTD."/>
    <s v="BELL PHARMA PVT LTD"/>
    <n v="50082077"/>
    <s v="N-BLOCK RG NATURAL (L)-GS"/>
    <n v="50000"/>
    <n v="0.14000000000000001"/>
    <n v="7000.0000000000009"/>
    <x v="0"/>
    <m/>
    <m/>
    <n v="25501665"/>
    <s v="818/24/12/2025"/>
    <d v="2025-12-24T00:00:00"/>
    <m/>
    <d v="2026-01-24T00:00:00"/>
  </r>
  <r>
    <x v="1"/>
    <s v="RAM"/>
    <s v="Medical and Cosmetic products"/>
    <s v="Medical and Cosmetic products"/>
    <n v="50114671"/>
    <s v="B-15ML RSP White (L)-GS"/>
    <n v="576000"/>
    <n v="2.6145"/>
    <n v="1505952"/>
    <x v="1"/>
    <m/>
    <m/>
    <n v="24880091"/>
    <n v="5425000000129"/>
    <d v="2025-02-24T00:00:00"/>
    <n v="1.2"/>
    <d v="2025-12-31T00:00:00"/>
  </r>
  <r>
    <x v="1"/>
    <s v="RAM"/>
    <s v="Medical and Cosmetic products"/>
    <s v="Medical and Cosmetic products"/>
    <n v="50081670"/>
    <s v="C-TAMPSAFE RSP WHITE(H)NEW-GS"/>
    <n v="576000"/>
    <n v="1.5583"/>
    <n v="897580.8"/>
    <x v="1"/>
    <m/>
    <m/>
    <n v="24880091"/>
    <n v="5425000000129"/>
    <d v="2025-02-24T00:00:00"/>
    <n v="2.2000000000000002"/>
    <d v="2025-12-31T00:00:00"/>
  </r>
  <r>
    <x v="1"/>
    <s v="RAM"/>
    <s v="Medical and Cosmetic products"/>
    <s v="Medical and Cosmetic products"/>
    <n v="50081938"/>
    <s v="N-OPEN RSP WHITE (L)-GS"/>
    <n v="576000"/>
    <n v="0.75319999999999998"/>
    <n v="433843.20000000001"/>
    <x v="1"/>
    <m/>
    <m/>
    <n v="24880091"/>
    <n v="5425000000129"/>
    <d v="2025-02-24T00:00:00"/>
    <n v="3.2"/>
    <d v="2025-12-31T00:00:00"/>
  </r>
  <r>
    <x v="3"/>
    <s v="MIHIR"/>
    <s v="STERICON PHARMA PVT LTD"/>
    <s v="STERICON PHARMA PVT LTD"/>
    <n v="50082096"/>
    <s v="N-OPEN RG NATURAL 64C(L)-GS"/>
    <n v="200000"/>
    <n v="0.25"/>
    <n v="50000"/>
    <x v="0"/>
    <m/>
    <m/>
    <n v="25501643"/>
    <n v="4521003629"/>
    <d v="2025-12-23T00:00:00"/>
    <n v="1"/>
    <d v="2026-01-31T00:00:00"/>
  </r>
  <r>
    <x v="3"/>
    <s v="MIHIR"/>
    <s v="STERICON PHARMA PVT LTD"/>
    <s v="STERICON PHARMA PVT LTD"/>
    <n v="50081903"/>
    <s v="C-TAMPSAFE SS(R) WHITE(H)-GS"/>
    <n v="200000"/>
    <n v="0.72"/>
    <n v="144000"/>
    <x v="0"/>
    <m/>
    <m/>
    <n v="25501409"/>
    <n v="4521003374"/>
    <d v="2025-11-25T00:00:00"/>
    <n v="1.2"/>
    <d v="2025-12-10T00:00:00"/>
  </r>
  <r>
    <x v="3"/>
    <s v="MIHIR"/>
    <s v="STERICON PHARMA PVT LTD"/>
    <s v="STERICON PHARMA PVT LTD"/>
    <n v="50113256"/>
    <s v="B-15ML EX.RG WHITE (L) 16C-GS"/>
    <n v="200000"/>
    <n v="2.21"/>
    <n v="442000"/>
    <x v="2"/>
    <m/>
    <m/>
    <n v="25500198"/>
    <n v="4521003371"/>
    <d v="2025-11-25T00:00:00"/>
    <n v="1.5"/>
    <d v="2026-01-31T00:00:00"/>
  </r>
  <r>
    <x v="0"/>
    <s v="PRIYANK"/>
    <s v="ZYDUS LIFESCIENCES LIMITED(Sik"/>
    <s v="ZYDUS LIFESCIENCES LIMITED(Sik"/>
    <n v="50110013"/>
    <s v="CR-33MM HS123/035-(P-WHT)-1"/>
    <n v="82500"/>
    <n v="2.2000000000000002"/>
    <n v="181500.00000000003"/>
    <x v="0"/>
    <m/>
    <s v="SHIPPED"/>
    <n v="25501593"/>
    <n v="4100014720"/>
    <d v="2025-12-18T00:00:00"/>
    <n v="2"/>
    <d v="2026-03-26T00:00:00"/>
  </r>
  <r>
    <x v="0"/>
    <s v="PRIYANK"/>
    <s v="Zydus Lifesciences Ltd- Baddi"/>
    <s v="Zydus Lifesciences Ltd- Baddi"/>
    <n v="50110013"/>
    <s v="CR-33MM HS123/035-(P-WHT)-1"/>
    <n v="600000"/>
    <n v="2.2000000000000002"/>
    <n v="1320000"/>
    <x v="0"/>
    <m/>
    <s v="SHIPPED"/>
    <n v="25501596"/>
    <n v="4100014737"/>
    <d v="2025-12-18T00:00:00"/>
    <n v="1"/>
    <d v="2025-12-26T00:00:00"/>
  </r>
  <r>
    <x v="5"/>
    <s v="SAGAR"/>
    <s v="BIODEAL"/>
    <s v="BIODEAL"/>
    <n v="50105834"/>
    <s v="INSPIRA ASSEMBLY"/>
    <n v="7300"/>
    <n v="62"/>
    <n v="452600"/>
    <x v="0"/>
    <m/>
    <m/>
    <m/>
    <m/>
    <m/>
    <m/>
    <m/>
  </r>
  <r>
    <x v="3"/>
    <s v="PRIYANK"/>
    <s v="AJANTA PHARMA LIMITED."/>
    <s v="ADORE PHARMACEUTICAL PVT LTD-A"/>
    <n v="50081970"/>
    <s v="B-5ML &quot;I&quot; WHITE 6C (L)-GS"/>
    <n v="250000"/>
    <n v="1.43"/>
    <n v="357500"/>
    <x v="0"/>
    <m/>
    <m/>
    <n v="25501708"/>
    <n v="4100312969"/>
    <d v="2025-12-17T00:00:00"/>
    <n v="4"/>
    <d v="2026-01-01T00:00:00"/>
  </r>
  <r>
    <x v="3"/>
    <s v="PRIYANK"/>
    <s v="AJANTA PHARMA LIMITED."/>
    <s v="ADORE PHARMACEUTICAL PVT LTD-A"/>
    <n v="50081808"/>
    <s v="C-TAMPSAFE &quot;I&quot; WHITE (H)-GS"/>
    <n v="250000"/>
    <n v="0.77"/>
    <n v="192500"/>
    <x v="0"/>
    <m/>
    <m/>
    <n v="25501708"/>
    <n v="4100312969"/>
    <d v="2025-12-17T00:00:00"/>
    <n v="5"/>
    <d v="2026-01-01T00:00:00"/>
  </r>
  <r>
    <x v="3"/>
    <s v="PRIYANK"/>
    <s v="AJANTA PHARMA LIMITED."/>
    <s v="ADORE PHARMACEUTICAL PVT LTD-A"/>
    <n v="50111939"/>
    <s v="N-OPEN &quot;I&quot; NAT NEW 48C (L)-GS"/>
    <n v="250000"/>
    <n v="0.25"/>
    <n v="62500"/>
    <x v="0"/>
    <m/>
    <m/>
    <n v="25501708"/>
    <n v="4100312969"/>
    <d v="2025-12-17T00:00:00"/>
    <n v="6"/>
    <d v="2026-01-01T00:00:00"/>
  </r>
  <r>
    <x v="3"/>
    <s v="PRIYANK"/>
    <s v="RENOVA LIFESCINECES  PVT LTD"/>
    <s v="RENOVA LIFESCINECES  PVT LTD"/>
    <n v="50114680"/>
    <s v="B-5ML RG O. GREEN-12C (L) -GS"/>
    <n v="80000"/>
    <n v="1.82"/>
    <n v="145600"/>
    <x v="0"/>
    <m/>
    <s v="SHIPPED"/>
    <m/>
    <m/>
    <m/>
    <m/>
    <m/>
  </r>
  <r>
    <x v="3"/>
    <s v="PRIYANK"/>
    <s v="RENOVA LIFESCINECES  PVT LTD"/>
    <s v="RENOVA LIFESCINECES  PVT LTD"/>
    <n v="50081803"/>
    <s v="C-TAMPSAFE SS(R)O.GREEN (H)-GS"/>
    <n v="80000"/>
    <n v="0.6"/>
    <n v="48000"/>
    <x v="0"/>
    <m/>
    <s v="SHIPPED"/>
    <m/>
    <m/>
    <m/>
    <m/>
    <m/>
  </r>
  <r>
    <x v="3"/>
    <s v="PRIYANK"/>
    <s v="RENOVA LIFESCINECES  PVT LTD"/>
    <s v="RENOVA LIFESCINECES  PVT LTD"/>
    <n v="50082039"/>
    <s v="N-OPEN RG O. GREEN 64C(L)-GS"/>
    <n v="80000"/>
    <n v="0.36"/>
    <n v="28800"/>
    <x v="0"/>
    <m/>
    <s v="SHIPPED"/>
    <m/>
    <m/>
    <m/>
    <m/>
    <m/>
  </r>
  <r>
    <x v="3"/>
    <s v="PRIYANK"/>
    <s v="RENOVA LIFESCINECES  PVT LTD"/>
    <s v="RENOVA LIFESCINECES  PVT LTD"/>
    <n v="50083266"/>
    <s v="B-5ML RG WHITE -12C (L)-GS"/>
    <n v="100000"/>
    <n v="1.8"/>
    <n v="180000"/>
    <x v="0"/>
    <m/>
    <m/>
    <m/>
    <m/>
    <m/>
    <m/>
    <m/>
  </r>
  <r>
    <x v="3"/>
    <s v="PRIYANK"/>
    <s v="RENOVA LIFESCINECES  PVT LTD"/>
    <s v="RENOVA LIFESCINECES  PVT LTD"/>
    <n v="50081903"/>
    <s v="C-TAMPSAFE SS(R) WHITE(H)-GS"/>
    <n v="50000"/>
    <n v="0.51"/>
    <n v="25500"/>
    <x v="0"/>
    <m/>
    <m/>
    <m/>
    <m/>
    <m/>
    <m/>
    <m/>
  </r>
  <r>
    <x v="3"/>
    <s v="PRIYANK"/>
    <s v="RENOVA LIFESCINECES  PVT LTD"/>
    <s v="RENOVA LIFESCINECES  PVT LTD"/>
    <n v="50101944"/>
    <s v="C-TAMPSAFE SS(R)ROSEPINK(H)-GS"/>
    <n v="50000"/>
    <n v="0.56999999999999995"/>
    <n v="28499.999999999996"/>
    <x v="0"/>
    <m/>
    <m/>
    <m/>
    <m/>
    <m/>
    <m/>
    <m/>
  </r>
  <r>
    <x v="3"/>
    <s v="PRIYANK"/>
    <s v="RENOVA LIFESCINECES  PVT LTD"/>
    <s v="RENOVA LIFESCINECES  PVT LTD"/>
    <n v="50099121"/>
    <s v="N-OPEN RG WHITE 64C (L)-GS"/>
    <n v="100000"/>
    <n v="0.31"/>
    <n v="31000"/>
    <x v="0"/>
    <m/>
    <m/>
    <m/>
    <m/>
    <m/>
    <m/>
    <m/>
  </r>
  <r>
    <x v="3"/>
    <s v="PRIYANK"/>
    <s v="AJANTA PHARMA LIMITED."/>
    <s v="ADORE PHARMACEUTICAL PVT LTD-A"/>
    <n v="50081970"/>
    <s v="B-5ML &quot;I&quot; WHITE 6C (L)-GS"/>
    <n v="250000"/>
    <n v="1.43"/>
    <n v="357500"/>
    <x v="0"/>
    <m/>
    <m/>
    <n v="25501708"/>
    <n v="4100312969"/>
    <n v="46008"/>
    <n v="4"/>
    <d v="2026-01-01T00:00:00"/>
  </r>
  <r>
    <x v="3"/>
    <s v="PRIYANK"/>
    <s v="AJANTA PHARMA LIMITED."/>
    <s v="ADORE PHARMACEUTICAL PVT LTD-A"/>
    <n v="50081808"/>
    <s v="C-TAMPSAFE &quot;I&quot; WHITE (H)-GS"/>
    <n v="250000"/>
    <n v="0.77"/>
    <n v="192500"/>
    <x v="0"/>
    <m/>
    <m/>
    <n v="25501708"/>
    <n v="4100312969"/>
    <n v="46008"/>
    <n v="5"/>
    <d v="2026-01-01T00:00:00"/>
  </r>
  <r>
    <x v="3"/>
    <s v="PRIYANK"/>
    <s v="AJANTA PHARMA LIMITED."/>
    <s v="ADORE PHARMACEUTICAL PVT LTD-A"/>
    <n v="50111939"/>
    <s v="N-OPEN &quot;I&quot; NAT NEW 48C (L)-GS"/>
    <n v="250000"/>
    <n v="0.25"/>
    <n v="62500"/>
    <x v="0"/>
    <m/>
    <m/>
    <n v="25501708"/>
    <n v="4100312969"/>
    <n v="46008"/>
    <n v="6"/>
    <d v="2026-01-01T00:00:00"/>
  </r>
  <r>
    <x v="1"/>
    <s v="SAGAR"/>
    <s v="SENTISS PHARMA PVT LTD"/>
    <s v="SENTISS PHARMA PVT LTD"/>
    <n v="50081674"/>
    <s v="C-TAMPSAFE RSP YELLOW(H)-ET"/>
    <n v="100000"/>
    <n v="1.19"/>
    <n v="119000"/>
    <x v="0"/>
    <m/>
    <m/>
    <m/>
    <m/>
    <m/>
    <m/>
    <m/>
  </r>
  <r>
    <x v="1"/>
    <s v="SAGAR"/>
    <s v="SENTISS PHARMA PVT LTD"/>
    <s v="SENTISS PHARMA PVT LTD"/>
    <n v="50111595"/>
    <s v="N-OPEN RSP-60MCL WHT 24C(L)-GS"/>
    <n v="400000"/>
    <n v="1.42"/>
    <n v="568000"/>
    <x v="0"/>
    <m/>
    <m/>
    <m/>
    <m/>
    <m/>
    <m/>
    <m/>
  </r>
  <r>
    <x v="1"/>
    <s v="SAGAR"/>
    <s v="SENTISS PHARMA PVT LTD"/>
    <s v="SENTISS PHARMA PVT LTD"/>
    <n v="50114365"/>
    <s v="B-5ML RSP NATURAL 48C(L)-ET"/>
    <n v="163050"/>
    <n v="2.62"/>
    <n v="427191"/>
    <x v="0"/>
    <m/>
    <s v="SHIPPED"/>
    <m/>
    <m/>
    <m/>
    <m/>
    <m/>
  </r>
  <r>
    <x v="1"/>
    <s v="SAGAR"/>
    <s v="SENTISS PHARMA PVT LTD"/>
    <s v="SENTISS PHARMA PVT LTD"/>
    <n v="50081679"/>
    <s v="C-TAMPSAFE &quot;O&quot; O.GREEN (H)-GS"/>
    <n v="360000"/>
    <n v="1.19"/>
    <n v="428400"/>
    <x v="0"/>
    <m/>
    <s v="SHIPPED"/>
    <m/>
    <m/>
    <m/>
    <m/>
    <m/>
  </r>
  <r>
    <x v="0"/>
    <s v="PRIYANK"/>
    <s v="Zydus Lifesciences Ltd- Baddi"/>
    <s v="Zydus Lifesciences Ltd- Baddi"/>
    <n v="50110015"/>
    <s v="CR-38MM HS123/035-(P-WHT)-1"/>
    <n v="22000"/>
    <n v="2.2000000000000002"/>
    <n v="48400.000000000007"/>
    <x v="0"/>
    <m/>
    <m/>
    <n v="25501596"/>
    <n v="4100014737"/>
    <d v="2025-12-18T00:00:00"/>
    <n v="4"/>
    <d v="2026-01-15T00:00:00"/>
  </r>
  <r>
    <x v="0"/>
    <s v="PRIYANK"/>
    <s v="ZYDUS LIFESCIENCES LTD-SEZ"/>
    <s v="ZYDUS LIFESCIENCES LTD-SEZ"/>
    <n v="50110013"/>
    <s v="CR-33MM HS123/035-(P-WHT)-1"/>
    <n v="600000"/>
    <n v="2.2000000000000002"/>
    <n v="1320000"/>
    <x v="0"/>
    <m/>
    <s v="SHIPPED"/>
    <n v="25501627"/>
    <n v="4140000451"/>
    <d v="2025-12-22T00:00:00"/>
    <n v="1"/>
    <d v="2026-01-26T00:00:00"/>
  </r>
  <r>
    <x v="5"/>
    <s v="PARTH"/>
    <s v="Healthgate "/>
    <s v="Healthgate "/>
    <n v="50105834"/>
    <s v="INSPIRA ASSEMBLY"/>
    <n v="10584"/>
    <n v="50"/>
    <n v="529200"/>
    <x v="0"/>
    <m/>
    <m/>
    <m/>
    <m/>
    <m/>
    <m/>
    <m/>
  </r>
  <r>
    <x v="0"/>
    <s v="MIHIR"/>
    <s v="MYLAN LABORATORIES LTD - NASHIK"/>
    <s v="MYLAN LABORATORIES LTD - NASHIK"/>
    <n v="50102168"/>
    <s v="CR-38MM BLUE0.035 SG100(PLAIN)"/>
    <n v="400000"/>
    <n v="2.98"/>
    <n v="1192000"/>
    <x v="5"/>
    <n v="700000"/>
    <m/>
    <m/>
    <m/>
    <m/>
    <m/>
    <m/>
  </r>
  <r>
    <x v="0"/>
    <s v="PRIYANK"/>
    <s v="ZYDUS LIFESCIENCES LTD-SEZ"/>
    <s v="ZYDUS LIFESCIENCES LTD-SEZ"/>
    <n v="50110013"/>
    <s v="CR-33MM HS123/035-(P-WHT)-1"/>
    <n v="600000"/>
    <n v="2.2000000000000002"/>
    <n v="1320000"/>
    <x v="0"/>
    <m/>
    <s v="SHIPPED"/>
    <n v="25501627"/>
    <n v="4140000451"/>
    <d v="2025-12-22T00:00:00"/>
    <n v="1"/>
    <d v="2026-01-26T00:00:00"/>
  </r>
  <r>
    <x v="0"/>
    <s v="PRIYANK"/>
    <s v="ZYDUS LIFESCIENCES LTD-SEZ"/>
    <s v="ZYDUS LIFESCIENCES LTD-SEZ"/>
    <n v="50110013"/>
    <s v="CR-33MM HS123/035-(P-WHT)-1"/>
    <n v="600000"/>
    <n v="2.2000000000000002"/>
    <n v="1320000"/>
    <x v="0"/>
    <n v="600000"/>
    <m/>
    <n v="25501627"/>
    <n v="4140000451"/>
    <d v="2025-12-22T00:00:00"/>
    <n v="1"/>
    <d v="2026-01-26T00:00:00"/>
  </r>
  <r>
    <x v="1"/>
    <s v="RAM"/>
    <s v="Medical and Cosmetic products"/>
    <s v="Medical and Cosmetic products"/>
    <n v="50114671"/>
    <s v="B-15ML RSP White (L)-GS"/>
    <n v="576000"/>
    <n v="2.6145"/>
    <n v="1505952"/>
    <x v="1"/>
    <m/>
    <m/>
    <n v="24880091"/>
    <n v="5425000000129"/>
    <d v="2025-02-24T00:00:00"/>
    <n v="1.2"/>
    <d v="2025-12-31T00:00:00"/>
  </r>
  <r>
    <x v="1"/>
    <s v="RAM"/>
    <s v="Medical and Cosmetic products"/>
    <s v="Medical and Cosmetic products"/>
    <n v="50081670"/>
    <s v="C-TAMPSAFE RSP WHITE(H)NEW-GS"/>
    <n v="576000"/>
    <n v="1.5583"/>
    <n v="897580.8"/>
    <x v="1"/>
    <m/>
    <m/>
    <n v="24880091"/>
    <n v="5425000000129"/>
    <d v="2025-02-24T00:00:00"/>
    <n v="2.2000000000000002"/>
    <d v="2025-12-31T00:00:00"/>
  </r>
  <r>
    <x v="1"/>
    <s v="RAM"/>
    <s v="Medical and Cosmetic products"/>
    <s v="Medical and Cosmetic products"/>
    <n v="50081938"/>
    <s v="N-OPEN RSP WHITE (L)-GS"/>
    <n v="576000"/>
    <n v="0.75319999999999998"/>
    <n v="433843.20000000001"/>
    <x v="1"/>
    <m/>
    <m/>
    <n v="24880091"/>
    <n v="5425000000129"/>
    <d v="2025-02-24T00:00:00"/>
    <n v="3.2"/>
    <d v="2025-12-31T00:00:00"/>
  </r>
  <r>
    <x v="3"/>
    <s v="PRIYANK"/>
    <s v="ZYDUS LIFESCIENCES LTD-MORAIYA"/>
    <s v="AMANTA HEALTHCARE LIMITED"/>
    <n v="50081840"/>
    <s v="N-OPEN RSP NATURAL(L)-GS"/>
    <n v="100000"/>
    <n v="0.9"/>
    <n v="90000"/>
    <x v="0"/>
    <m/>
    <s v="SHIPPED"/>
    <m/>
    <m/>
    <m/>
    <m/>
    <m/>
  </r>
  <r>
    <x v="3"/>
    <s v="PRIYANK"/>
    <s v="ZYDUS LIFESCIENCES LTD-MORAIYA"/>
    <s v="AMANTA HEALTHCARE LIMITED"/>
    <n v="50081840"/>
    <s v="N-OPEN RSP NATURAL(L)-GS"/>
    <n v="200"/>
    <n v="0.9"/>
    <n v="180"/>
    <x v="0"/>
    <m/>
    <s v="SHIPPED"/>
    <m/>
    <m/>
    <m/>
    <m/>
    <m/>
  </r>
  <r>
    <x v="3"/>
    <s v="PRIYANK"/>
    <s v="ZYDUS LIFESCIENCES LTD-MORAIYA"/>
    <s v="AMANTA HEALTHCARE LIMITED"/>
    <n v="50114364"/>
    <s v="B-5ML RSP NATURAL 48C(L)-GS"/>
    <n v="59800"/>
    <n v="3"/>
    <n v="179400"/>
    <x v="0"/>
    <m/>
    <s v="SHIPPED"/>
    <m/>
    <m/>
    <m/>
    <m/>
    <m/>
  </r>
  <r>
    <x v="3"/>
    <s v="PRIYANK"/>
    <s v="ZYDUS LIFESCIENCES LTD-MORAIYA"/>
    <s v="AMANTA HEALTHCARE LIMITED"/>
    <n v="50114364"/>
    <s v="B-5ML RSP NATURAL 48C(L)-GS"/>
    <n v="200"/>
    <n v="3"/>
    <n v="600"/>
    <x v="0"/>
    <m/>
    <s v="SHIPPED"/>
    <m/>
    <m/>
    <m/>
    <m/>
    <m/>
  </r>
  <r>
    <x v="3"/>
    <s v="PRIYANK"/>
    <s v="ZYDUS LIFESCIENCES LTD-MORAIYA"/>
    <s v="AMANTA HEALTHCARE LIMITED"/>
    <n v="50114367"/>
    <s v="B-5ML RSP WHITE 48C(L)-GS"/>
    <n v="59800"/>
    <n v="3.1"/>
    <n v="185380"/>
    <x v="0"/>
    <m/>
    <s v="SHIPPED"/>
    <m/>
    <m/>
    <m/>
    <m/>
    <m/>
  </r>
  <r>
    <x v="3"/>
    <s v="PRIYANK"/>
    <s v="ZYDUS LIFESCIENCES LTD-MORAIYA"/>
    <s v="AMANTA HEALTHCARE LIMITED"/>
    <n v="50114367"/>
    <s v="B-5ML RSP WHITE 48C(L)-GS"/>
    <n v="200"/>
    <n v="3.1"/>
    <n v="620"/>
    <x v="0"/>
    <m/>
    <s v="SHIPPED"/>
    <m/>
    <m/>
    <m/>
    <m/>
    <m/>
  </r>
  <r>
    <x v="3"/>
    <s v="PRIYANK"/>
    <s v="ZYDUS LIFESCIENCES LTD-MORAIYA"/>
    <s v="AMANTA HEALTHCARE LIMITED"/>
    <n v="50081723"/>
    <s v="C-TAMPSAFE RSP WHITE (H)-GS"/>
    <n v="100000"/>
    <n v="0.96"/>
    <n v="96000"/>
    <x v="0"/>
    <m/>
    <s v="SHIPPED"/>
    <m/>
    <m/>
    <m/>
    <m/>
    <m/>
  </r>
  <r>
    <x v="3"/>
    <s v="PRIYANK"/>
    <s v="ZYDUS LIFESCIENCES LTD-MORAIYA"/>
    <s v="AMANTA HEALTHCARE LIMITED"/>
    <n v="50081723"/>
    <s v="C-TAMPSAFE RSP WHITE (H)-GS"/>
    <n v="200"/>
    <n v="0.96"/>
    <n v="192"/>
    <x v="0"/>
    <m/>
    <s v="SHIPPED"/>
    <m/>
    <m/>
    <m/>
    <m/>
    <m/>
  </r>
  <r>
    <x v="3"/>
    <s v="PRIYANK"/>
    <s v="ENTOD PHARMACEUTICALS LTD"/>
    <s v="MAKCUR LABORATORIES LTD"/>
    <n v="50099312"/>
    <s v="B-10ML EX.RG O.GREEN 16C(L)-GS"/>
    <n v="60000"/>
    <n v="1.99"/>
    <n v="119400"/>
    <x v="0"/>
    <m/>
    <m/>
    <m/>
    <m/>
    <m/>
    <m/>
    <m/>
  </r>
  <r>
    <x v="3"/>
    <s v="PRIYANK"/>
    <s v="ENTOD PHARMACEUTICALS LTD"/>
    <s v="MAKCUR LABORATORIES LTD"/>
    <n v="50081930"/>
    <s v="C-DOUBLESAFE NX O.GREEN (H)-GS"/>
    <n v="110000"/>
    <n v="0.79"/>
    <n v="86900"/>
    <x v="0"/>
    <m/>
    <m/>
    <m/>
    <m/>
    <m/>
    <m/>
    <m/>
  </r>
  <r>
    <x v="3"/>
    <s v="PRIYANK"/>
    <s v="ENTOD PHARMACEUTICALS LTD"/>
    <s v="MAKCUR LABORATORIES LTD"/>
    <n v="50115921"/>
    <s v="N-BLOCK RG O.GREEN-3R (L)-GS"/>
    <n v="110000"/>
    <n v="0.39"/>
    <n v="42900"/>
    <x v="0"/>
    <m/>
    <m/>
    <m/>
    <m/>
    <m/>
    <m/>
    <m/>
  </r>
  <r>
    <x v="3"/>
    <s v="PRIYANK"/>
    <s v="Sion Healthcare (SHL) Limited"/>
    <s v="Sion Healthcare (SHL) Limited"/>
    <n v="50099312"/>
    <s v="B-10ML EX.RG O.GREEN 16C(L)-GS"/>
    <n v="200000"/>
    <n v="1.8"/>
    <n v="360000"/>
    <x v="0"/>
    <m/>
    <m/>
    <m/>
    <m/>
    <m/>
    <m/>
    <m/>
  </r>
  <r>
    <x v="3"/>
    <s v="PRIYANK"/>
    <s v="Sion Healthcare (SHL) Limited"/>
    <s v="Sion Healthcare (SHL) Limited"/>
    <n v="50081930"/>
    <s v="C-DOUBLESAFE NX O.GREEN (H)-GS"/>
    <n v="200000"/>
    <n v="0.6"/>
    <n v="120000"/>
    <x v="0"/>
    <m/>
    <m/>
    <m/>
    <m/>
    <m/>
    <m/>
    <m/>
  </r>
  <r>
    <x v="3"/>
    <s v="PRIYANK"/>
    <s v="Sion Healthcare (SHL) Limited"/>
    <s v="Sion Healthcare (SHL) Limited"/>
    <n v="50082004"/>
    <s v="N-BLOCK RG O. GREEN (L)-GS"/>
    <n v="200000"/>
    <n v="0.34"/>
    <n v="68000"/>
    <x v="0"/>
    <m/>
    <m/>
    <m/>
    <m/>
    <m/>
    <m/>
    <m/>
  </r>
  <r>
    <x v="3"/>
    <s v="PARTH"/>
    <s v="SYNTHO PHARMACEUTICALS PVT. LT"/>
    <s v="SYNTHO PHARMACEUTICALS PVT. LT"/>
    <n v="50110676"/>
    <s v="B-10ML RG NATURAL 16C (L)-GS"/>
    <n v="350000"/>
    <n v="1.663"/>
    <n v="582050"/>
    <x v="1"/>
    <m/>
    <m/>
    <m/>
    <m/>
    <m/>
    <m/>
    <m/>
  </r>
  <r>
    <x v="3"/>
    <s v="PARTH"/>
    <s v="SYNTHO PHARMACEUTICALS PVT. LT"/>
    <s v="SYNTHO PHARMACEUTICALS PVT. LT"/>
    <n v="50083266"/>
    <s v="B-5ML RG WHITE -12C (L)-GS"/>
    <n v="200000"/>
    <n v="1.6220000000000001"/>
    <n v="324400"/>
    <x v="1"/>
    <m/>
    <m/>
    <m/>
    <m/>
    <m/>
    <m/>
    <m/>
  </r>
  <r>
    <x v="3"/>
    <s v="PARTH"/>
    <s v="SYNTHO PHARMACEUTICALS PVT. LT"/>
    <s v="SYNTHO PHARMACEUTICALS PVT. LT"/>
    <n v="50083263"/>
    <s v="B-5ML RG NATURAL -12C (L)-GS"/>
    <n v="200000"/>
    <n v="1.6220000000000001"/>
    <n v="324400"/>
    <x v="1"/>
    <m/>
    <m/>
    <m/>
    <m/>
    <m/>
    <m/>
    <m/>
  </r>
  <r>
    <x v="3"/>
    <s v="PARTH"/>
    <s v="SYNTHO PHARMACEUTICALS PVT. LT"/>
    <s v="SYNTHO PHARMACEUTICALS PVT. LT"/>
    <n v="50099312"/>
    <s v="B-10ML EX.RG O.GREEN 16C(L)-GS"/>
    <n v="200000"/>
    <n v="2.02"/>
    <n v="404000"/>
    <x v="1"/>
    <m/>
    <m/>
    <m/>
    <m/>
    <m/>
    <m/>
    <m/>
  </r>
  <r>
    <x v="3"/>
    <s v="PARTH"/>
    <s v="SYNTHO PHARMACEUTICALS PVT. LT"/>
    <s v="SYNTHO PHARMACEUTICALS PVT. LT"/>
    <n v="50081903"/>
    <s v="C-TAMPSAFE SS(R) WHITE(H)-GS"/>
    <n v="600000"/>
    <n v="0.45900000000000002"/>
    <n v="275400"/>
    <x v="1"/>
    <m/>
    <m/>
    <m/>
    <m/>
    <m/>
    <m/>
    <m/>
  </r>
  <r>
    <x v="3"/>
    <s v="PARTH"/>
    <s v="SYNTHO PHARMACEUTICALS PVT. LT"/>
    <s v="SYNTHO PHARMACEUTICALS PVT. LT"/>
    <n v="50081602"/>
    <s v="C-TAMPSAFE SS(R)U.BLUE(H)-GS"/>
    <n v="100000"/>
    <n v="0.48"/>
    <n v="48000"/>
    <x v="1"/>
    <m/>
    <m/>
    <m/>
    <m/>
    <m/>
    <m/>
    <m/>
  </r>
  <r>
    <x v="3"/>
    <s v="PARTH"/>
    <s v="SYNTHO PHARMACEUTICALS PVT. LT"/>
    <s v="SYNTHO PHARMACEUTICALS PVT. LT"/>
    <n v="50081491"/>
    <s v="C-TAMPSAFE SS(R)U.YELLOW(H)-GS"/>
    <n v="50000"/>
    <n v="0.48"/>
    <n v="24000"/>
    <x v="1"/>
    <m/>
    <m/>
    <m/>
    <m/>
    <m/>
    <m/>
    <m/>
  </r>
  <r>
    <x v="3"/>
    <s v="PARTH"/>
    <s v="SYNTHO PHARMACEUTICALS PVT. LT"/>
    <s v="SYNTHO PHARMACEUTICALS PVT. LT"/>
    <n v="50082007"/>
    <s v="C-TAMPSAFE SS(R)RED (H)-GS"/>
    <n v="100000"/>
    <n v="0.48"/>
    <n v="48000"/>
    <x v="1"/>
    <m/>
    <m/>
    <m/>
    <m/>
    <m/>
    <m/>
    <m/>
  </r>
  <r>
    <x v="3"/>
    <s v="PARTH"/>
    <s v="SYNTHO PHARMACEUTICALS PVT. LT"/>
    <s v="SYNTHO PHARMACEUTICALS PVT. LT"/>
    <n v="50082011"/>
    <s v="C-DOUBLESAFE WHITE NX (H)-GS"/>
    <n v="50000"/>
    <n v="0.5"/>
    <n v="25000"/>
    <x v="1"/>
    <m/>
    <m/>
    <m/>
    <m/>
    <m/>
    <m/>
    <m/>
  </r>
  <r>
    <x v="3"/>
    <s v="PARTH"/>
    <s v="SYNTHO PHARMACEUTICALS PVT. LT"/>
    <s v="SYNTHO PHARMACEUTICALS PVT. LT"/>
    <n v="50081930"/>
    <s v="C-DOUBLESAFE NX O.GREEN (H)-GS"/>
    <n v="150000"/>
    <n v="0.5"/>
    <n v="75000"/>
    <x v="1"/>
    <m/>
    <m/>
    <m/>
    <m/>
    <m/>
    <m/>
    <m/>
  </r>
  <r>
    <x v="3"/>
    <s v="PARTH"/>
    <s v="SYNTHO PHARMACEUTICALS PVT. LT"/>
    <s v="SYNTHO PHARMACEUTICALS PVT. LT"/>
    <n v="50100128"/>
    <s v="C-DOUBLESAFE NX RED  (H)-GS"/>
    <n v="50000"/>
    <n v="0.5"/>
    <n v="25000"/>
    <x v="1"/>
    <m/>
    <m/>
    <m/>
    <m/>
    <m/>
    <m/>
    <m/>
  </r>
  <r>
    <x v="3"/>
    <s v="PARTH"/>
    <s v="SYNTHO PHARMACEUTICALS PVT. LT"/>
    <s v="SYNTHO PHARMACEUTICALS PVT. LT"/>
    <n v="50082096"/>
    <s v="N-OPEN RG NATURAL 64C(L)-GS"/>
    <n v="700000"/>
    <n v="0.10199999999999999"/>
    <n v="71400"/>
    <x v="1"/>
    <m/>
    <m/>
    <m/>
    <m/>
    <m/>
    <m/>
    <m/>
  </r>
  <r>
    <x v="3"/>
    <s v="PARTH"/>
    <s v="SYNTHO PHARMACEUTICALS PVT. LT"/>
    <s v="SYNTHO PHARMACEUTICALS PVT. LT"/>
    <n v="50082133"/>
    <s v="N-BLOCK RG WHITE (L)-GS"/>
    <n v="150000"/>
    <n v="0.10199999999999999"/>
    <n v="15299.999999999998"/>
    <x v="1"/>
    <m/>
    <m/>
    <m/>
    <m/>
    <m/>
    <m/>
    <m/>
  </r>
  <r>
    <x v="3"/>
    <s v="PARTH"/>
    <s v="SYNTHO PHARMACEUTICALS PVT. LT"/>
    <s v="SYNTHO PHARMACEUTICALS PVT. LT"/>
    <n v="50082004"/>
    <s v="N-BLOCK RG O. GREEN (L)-GS"/>
    <n v="150000"/>
    <n v="0.14000000000000001"/>
    <n v="21000.000000000004"/>
    <x v="1"/>
    <m/>
    <m/>
    <m/>
    <m/>
    <m/>
    <m/>
    <m/>
  </r>
  <r>
    <x v="3"/>
    <s v="PARTH"/>
    <s v="Alembic Pharmaceuticals Ltd,Fo"/>
    <s v="Alembic Pharmaceuticals Ltd,Fo"/>
    <n v="50114361"/>
    <s v="B-5ML RSP NATURAL R2 48C(L)-GS"/>
    <n v="80000"/>
    <n v="2.69"/>
    <n v="215200"/>
    <x v="0"/>
    <m/>
    <s v="SHIPPED"/>
    <m/>
    <m/>
    <m/>
    <m/>
    <m/>
  </r>
  <r>
    <x v="3"/>
    <s v="PARTH"/>
    <s v="Alembic Pharmaceuticals Ltd,Fo"/>
    <s v="Alembic Pharmaceuticals Ltd,Fo"/>
    <n v="50114358"/>
    <s v="B-5ML RSP WHITE R2 48C(L)-GS"/>
    <n v="165000"/>
    <n v="2.8"/>
    <n v="461999.99999999994"/>
    <x v="0"/>
    <m/>
    <m/>
    <m/>
    <m/>
    <m/>
    <m/>
    <m/>
  </r>
  <r>
    <x v="3"/>
    <s v="PARTH"/>
    <s v="Alembic Pharmaceuticals Ltd,Fo"/>
    <s v="Alembic Pharmaceuticals Ltd,Fo"/>
    <n v="50092554"/>
    <s v="B-15ML RSP WHITE R2 (L)-GS"/>
    <n v="50000"/>
    <n v="3.56"/>
    <n v="178000"/>
    <x v="0"/>
    <m/>
    <s v="SHIPPED"/>
    <m/>
    <m/>
    <m/>
    <m/>
    <m/>
  </r>
  <r>
    <x v="3"/>
    <s v="PARTH"/>
    <s v="Alembic Pharmaceuticals Ltd,Fo"/>
    <s v="Alembic Pharmaceuticals Ltd,Fo"/>
    <n v="50113752"/>
    <s v="C-TS RSP R2 2.0 GREY 64C-GS"/>
    <n v="100000"/>
    <n v="2.37"/>
    <n v="237000"/>
    <x v="0"/>
    <m/>
    <s v="SHIPPED"/>
    <m/>
    <m/>
    <m/>
    <m/>
    <m/>
  </r>
  <r>
    <x v="3"/>
    <s v="PARTH"/>
    <s v="Alembic Pharmaceuticals Ltd,Fo"/>
    <s v="Alembic Pharmaceuticals Ltd,Fo"/>
    <n v="50111595"/>
    <s v="N-OPEN RSP-60MCL WHT 24C(L)-GS"/>
    <n v="80000"/>
    <n v="2.48"/>
    <n v="198400"/>
    <x v="0"/>
    <m/>
    <s v="SHIPPED"/>
    <m/>
    <m/>
    <m/>
    <m/>
    <m/>
  </r>
  <r>
    <x v="3"/>
    <s v="SAGAR"/>
    <s v="PURE &amp; CURE HEALTHCARE PVT LTD"/>
    <s v="PURE &amp; CURE HEALTHCARE PVT LTD"/>
    <n v="50114367"/>
    <s v="B-5ML RSP WHITE 48C(L)-GS"/>
    <n v="52350"/>
    <n v="1.79"/>
    <n v="93706.5"/>
    <x v="0"/>
    <m/>
    <s v="SHIPPED"/>
    <m/>
    <m/>
    <m/>
    <m/>
    <m/>
  </r>
  <r>
    <x v="3"/>
    <s v="SAGAR"/>
    <s v="PURE &amp; CURE HEALTHCARE PVT LTD"/>
    <s v="PURE &amp; CURE HEALTHCARE PVT LTD"/>
    <n v="50114367"/>
    <s v="B-5ML RSP WHITE 48C(L)-GS"/>
    <n v="114350"/>
    <n v="1.79"/>
    <n v="204686.5"/>
    <x v="0"/>
    <m/>
    <s v="SHIPPED"/>
    <m/>
    <m/>
    <m/>
    <m/>
    <m/>
  </r>
  <r>
    <x v="3"/>
    <s v="SAGAR"/>
    <s v="PURE &amp; CURE HEALTHCARE PVT LTD"/>
    <s v="PURE &amp; CURE HEALTHCARE PVT LTD"/>
    <n v="50114367"/>
    <s v="B-5ML RSP WHITE 48C(L)-GS"/>
    <n v="34350"/>
    <n v="1.79"/>
    <n v="61486.5"/>
    <x v="0"/>
    <m/>
    <s v="SHIPPED"/>
    <m/>
    <m/>
    <m/>
    <m/>
    <m/>
  </r>
  <r>
    <x v="3"/>
    <s v="SAGAR"/>
    <s v="PURE &amp; CURE HEALTHCARE PVT LTD"/>
    <s v="PURE &amp; CURE HEALTHCARE PVT LTD"/>
    <n v="50114341"/>
    <s v="N-OPEN RSP WHITE 64C(L)-GS"/>
    <n v="63350"/>
    <n v="0.56000000000000005"/>
    <n v="35476"/>
    <x v="0"/>
    <m/>
    <s v="SHIPPED"/>
    <m/>
    <m/>
    <m/>
    <m/>
    <m/>
  </r>
  <r>
    <x v="3"/>
    <s v="SAGAR"/>
    <s v="PURE &amp; CURE HEALTHCARE PVT LTD"/>
    <s v="PURE &amp; CURE HEALTHCARE PVT LTD"/>
    <n v="50114341"/>
    <s v="N-OPEN RSP WHITE 64C(L)-GS"/>
    <n v="138350"/>
    <n v="0.56000000000000005"/>
    <n v="77476.000000000015"/>
    <x v="0"/>
    <m/>
    <s v="SHIPPED"/>
    <m/>
    <m/>
    <m/>
    <m/>
    <m/>
  </r>
  <r>
    <x v="3"/>
    <s v="SAGAR"/>
    <s v="PURE &amp; CURE HEALTHCARE PVT LTD"/>
    <s v="PURE &amp; CURE HEALTHCARE PVT LTD"/>
    <n v="50101992"/>
    <s v="C-TAMPSAFE RSP D.BLUE(H)-GS"/>
    <n v="50350"/>
    <n v="1.59"/>
    <n v="80056.5"/>
    <x v="0"/>
    <m/>
    <s v="SHIPPED"/>
    <m/>
    <m/>
    <m/>
    <m/>
    <m/>
  </r>
  <r>
    <x v="3"/>
    <s v="SAGAR"/>
    <s v="PURE &amp; CURE HEALTHCARE PVT LTD"/>
    <s v="PURE &amp; CURE HEALTHCARE PVT LTD"/>
    <n v="50114671"/>
    <s v="B-10ML RSP White -18C(L)-GS"/>
    <n v="100000"/>
    <n v="2.0699999999999998"/>
    <n v="206999.99999999997"/>
    <x v="0"/>
    <m/>
    <m/>
    <m/>
    <m/>
    <m/>
    <m/>
    <m/>
  </r>
  <r>
    <x v="3"/>
    <s v="SAGAR"/>
    <s v="PURE &amp; CURE HEALTHCARE PVT LTD"/>
    <s v="PURE &amp; CURE HEALTHCARE PVT LTD"/>
    <n v="50081670"/>
    <s v="C-TAMPSAFE RSP WHITE(H)NEW-GS"/>
    <n v="100000"/>
    <n v="1.44"/>
    <n v="144000"/>
    <x v="0"/>
    <m/>
    <m/>
    <m/>
    <m/>
    <m/>
    <m/>
    <m/>
  </r>
  <r>
    <x v="3"/>
    <s v="SAGAR"/>
    <s v="PURE &amp; CURE HEALTHCARE PVT LTD"/>
    <s v="PURE &amp; CURE HEALTHCARE PVT LTD"/>
    <n v="50113649"/>
    <s v="N-OPEN RSP NATURAL-64C(L)-GS"/>
    <n v="108000"/>
    <n v="0.56000000000000005"/>
    <n v="60480.000000000007"/>
    <x v="0"/>
    <m/>
    <m/>
    <m/>
    <m/>
    <m/>
    <m/>
    <m/>
  </r>
  <r>
    <x v="0"/>
    <s v="PRIYANK"/>
    <s v="LUPIN  LIMITED- Nagpur- SEZ- 6"/>
    <s v="LUPIN  LIMITED- Nagpur- SEZ- 6"/>
    <n v="50110016"/>
    <s v="CR-33MM HS123/035-(P-BLK)-1"/>
    <n v="250000"/>
    <n v="2.86"/>
    <n v="715000"/>
    <x v="0"/>
    <m/>
    <m/>
    <m/>
    <m/>
    <m/>
    <m/>
    <m/>
  </r>
  <r>
    <x v="0"/>
    <s v="PRIYANK"/>
    <s v="LUPIN LIMITED - Aurangabad"/>
    <s v="LUPIN LIMITED - Aurangabad"/>
    <n v="50110016"/>
    <s v="CR-33MM HS123/035-(P-BLK)-1"/>
    <n v="250000"/>
    <n v="2.86"/>
    <n v="715000"/>
    <x v="0"/>
    <m/>
    <m/>
    <m/>
    <m/>
    <m/>
    <m/>
    <m/>
  </r>
  <r>
    <x v="1"/>
    <s v="PRIYANK"/>
    <s v="HANUCHEM LABORATORIES"/>
    <s v="HANUCHEM LABORATORIES"/>
    <n v="50114364"/>
    <s v="B-5ML RSP NATURAL 48C(L)-GS"/>
    <n v="60000"/>
    <n v="2.88"/>
    <n v="172800"/>
    <x v="0"/>
    <m/>
    <s v="SHIPPED"/>
    <n v="25501578"/>
    <s v="PM/U4/2025-26/0406"/>
    <d v="2025-12-17T00:00:00"/>
    <n v="1"/>
    <d v="2026-01-17T00:00:00"/>
  </r>
  <r>
    <x v="1"/>
    <s v="PRIYANK"/>
    <s v="HANUCHEM LABORATORIES"/>
    <s v="HANUCHEM LABORATORIES"/>
    <n v="50081723"/>
    <s v="C-TAMPSAFE RSP WHITE (H)-GS"/>
    <n v="60000"/>
    <n v="1.85"/>
    <n v="111000"/>
    <x v="0"/>
    <m/>
    <s v="SHIPPED"/>
    <n v="25501578"/>
    <s v="PM/U4/2025-26/0406"/>
    <d v="2025-12-17T00:00:00"/>
    <n v="2"/>
    <d v="2026-01-17T00:00:00"/>
  </r>
  <r>
    <x v="1"/>
    <s v="PRIYANK"/>
    <s v="HANUCHEM LABORATORIES"/>
    <s v="HANUCHEM LABORATORIES"/>
    <n v="50113649"/>
    <s v="N-OPEN RSP NATURAL-64C(L)-GS"/>
    <n v="60000"/>
    <n v="1.3"/>
    <n v="78000"/>
    <x v="0"/>
    <m/>
    <s v="SHIPPED"/>
    <n v="25501578"/>
    <s v="PM/U4/2025-26/0406"/>
    <d v="2025-12-17T00:00:00"/>
    <n v="3"/>
    <d v="2026-01-17T00:00:00"/>
  </r>
  <r>
    <x v="2"/>
    <s v="PARTH"/>
    <s v="Immacule Lifesciences Pvt. Ltd"/>
    <s v="Immacule Lifesciences Pvt. Ltd"/>
    <n v="50114358"/>
    <s v="B-5ML RSP WHITE R2 48C(L)-GS"/>
    <n v="270000"/>
    <n v="2.2000000000000002"/>
    <n v="594000"/>
    <x v="0"/>
    <m/>
    <s v="SHIPPED"/>
    <m/>
    <m/>
    <m/>
    <m/>
    <m/>
  </r>
  <r>
    <x v="2"/>
    <s v="PARTH"/>
    <s v="Immacule Lifesciences Pvt. Ltd"/>
    <s v="Immacule Lifesciences Pvt. Ltd"/>
    <n v="50091672"/>
    <s v="B-10ML RSP WHITE R2 (L)-GS"/>
    <n v="80000"/>
    <n v="3.4"/>
    <n v="272000"/>
    <x v="0"/>
    <m/>
    <s v="SHIPPED"/>
    <m/>
    <m/>
    <m/>
    <m/>
    <m/>
  </r>
  <r>
    <x v="2"/>
    <s v="PARTH"/>
    <s v="Immacule Lifesciences Pvt. Ltd"/>
    <s v="Immacule Lifesciences Pvt. Ltd"/>
    <n v="50092554"/>
    <s v="B-15ML RSP WHITE R2 (L)-GS"/>
    <n v="35000"/>
    <n v="4.2"/>
    <n v="147000"/>
    <x v="0"/>
    <m/>
    <s v="SHIPPED"/>
    <m/>
    <m/>
    <m/>
    <m/>
    <m/>
  </r>
  <r>
    <x v="2"/>
    <s v="PARTH"/>
    <s v="Immacule Lifesciences Pvt. Ltd"/>
    <s v="Immacule Lifesciences Pvt. Ltd"/>
    <n v="50113858"/>
    <s v="C-TS RSP R22.0 PINK310239 E-GS"/>
    <n v="350000"/>
    <n v="1.5"/>
    <n v="525000"/>
    <x v="0"/>
    <m/>
    <s v="SHIPPED"/>
    <m/>
    <m/>
    <m/>
    <m/>
    <m/>
  </r>
  <r>
    <x v="2"/>
    <s v="PARTH"/>
    <s v="Immacule Lifesciences Pvt. Ltd"/>
    <s v="Immacule Lifesciences Pvt. Ltd"/>
    <n v="50114341"/>
    <s v="N-OPEN RSP WHITE 64C(L)-GS"/>
    <n v="350000"/>
    <n v="1.2"/>
    <n v="420000"/>
    <x v="0"/>
    <m/>
    <s v="SHIPPED"/>
    <m/>
    <m/>
    <m/>
    <m/>
    <m/>
  </r>
  <r>
    <x v="2"/>
    <s v="MIHIR"/>
    <s v="DR.REDDY'S LABORATORIES LTD"/>
    <s v="DR.REDDY'S LABORATORIES LTD- T"/>
    <n v="50115966"/>
    <s v="B-5ML RSP NAT R2(270G)-TYV-NS"/>
    <n v="6000"/>
    <n v="11.43"/>
    <n v="68580"/>
    <x v="0"/>
    <m/>
    <m/>
    <m/>
    <m/>
    <m/>
    <m/>
    <m/>
  </r>
  <r>
    <x v="2"/>
    <s v="MIHIR"/>
    <s v="DR.REDDY'S LABORATORIES LTD"/>
    <s v="DR.REDDY'S LABORATORIES LTD- T"/>
    <n v="50115972"/>
    <s v="C-TS RSP R2 2.0 WT 64C-TVY-NS"/>
    <n v="5600"/>
    <n v="5.85"/>
    <n v="32759.999999999996"/>
    <x v="0"/>
    <m/>
    <m/>
    <m/>
    <m/>
    <m/>
    <m/>
    <m/>
  </r>
  <r>
    <x v="2"/>
    <s v="MIHIR"/>
    <s v="DR.REDDY'S LABORATORIES LTD"/>
    <s v="DR.REDDY'S LABORATORIES LTD -"/>
    <n v="50115971"/>
    <s v="N-RISDROP 45MLTR W ASY-TYV-ET"/>
    <n v="6000"/>
    <n v="2.9"/>
    <n v="17400"/>
    <x v="0"/>
    <m/>
    <m/>
    <m/>
    <m/>
    <m/>
    <m/>
    <m/>
  </r>
  <r>
    <x v="2"/>
    <s v="PRIYANK"/>
    <s v="Lupin Limited"/>
    <s v="Lupin Limited"/>
    <n v="50091631"/>
    <s v="B-10ML RSP NATURAL R2 (L)-GS"/>
    <n v="61450"/>
    <n v="3.54"/>
    <n v="217533"/>
    <x v="0"/>
    <m/>
    <m/>
    <m/>
    <m/>
    <m/>
    <m/>
    <m/>
  </r>
  <r>
    <x v="2"/>
    <s v="PRIYANK"/>
    <s v="INDOCO REMEDIES LTD"/>
    <s v="INDOCO REMEDIES LTD"/>
    <n v="50111528"/>
    <s v="B-10ML &quot;I&quot; WHITE-16C (L)-GS"/>
    <n v="60500"/>
    <n v="1.76"/>
    <n v="106480"/>
    <x v="0"/>
    <m/>
    <s v="SHIPPED"/>
    <m/>
    <m/>
    <m/>
    <m/>
    <m/>
  </r>
  <r>
    <x v="2"/>
    <s v="PRIYANK"/>
    <s v="INDOCO REMEDIES LTD"/>
    <s v="INDOCO REMEDIES LTD"/>
    <n v="50111939"/>
    <s v="N-OPEN &quot;I&quot; NAT NEW 48C (L)-GS"/>
    <n v="120250"/>
    <n v="0.13"/>
    <n v="15632.5"/>
    <x v="0"/>
    <m/>
    <s v="SHIPPED"/>
    <m/>
    <m/>
    <m/>
    <m/>
    <m/>
  </r>
  <r>
    <x v="2"/>
    <s v="PRIYANK"/>
    <s v="INDOCO REMEDIES LTD"/>
    <s v="INDOCO REMEDIES LTD"/>
    <n v="50081808"/>
    <s v="C-TAMPSAFE &quot;I&quot; WHITE (H)-GS"/>
    <n v="60500"/>
    <n v="0.43"/>
    <n v="26015"/>
    <x v="0"/>
    <m/>
    <s v="SHIPPED"/>
    <m/>
    <m/>
    <m/>
    <m/>
    <m/>
  </r>
  <r>
    <x v="0"/>
    <s v="PRIYANK"/>
    <s v="AJANTA PHARMA - DAHEJ- SEZ"/>
    <s v="AJANTA PHARMA - DAHEJ- SEZ"/>
    <n v="50110012"/>
    <s v="CR-33MM HS123/020-(P-WHT)-1"/>
    <n v="650000"/>
    <n v="2.76"/>
    <n v="1793999.9999999998"/>
    <x v="0"/>
    <m/>
    <s v="SHIPPED"/>
    <n v="25501225"/>
    <n v="4100308171"/>
    <d v="2025-10-27T00:00:00"/>
    <n v="1"/>
    <d v="2025-12-20T00:00:00"/>
  </r>
  <r>
    <x v="3"/>
    <m/>
    <s v="ABLE PHARMA"/>
    <s v="ABLE PHARMA"/>
    <n v="50081462"/>
    <s v="B-5ML EX. RG WHITE (L-F)-GS"/>
    <n v="10000"/>
    <n v="1.7"/>
    <n v="17000"/>
    <x v="0"/>
    <m/>
    <m/>
    <m/>
    <m/>
    <m/>
    <m/>
    <m/>
  </r>
  <r>
    <x v="3"/>
    <m/>
    <s v="ABLE PHARMA"/>
    <s v="ABLE PHARMA"/>
    <n v="50111832"/>
    <s v="B-10ML EX. RG WHT 16C(L-F)-GS"/>
    <n v="10000"/>
    <n v="1.84"/>
    <n v="18400"/>
    <x v="0"/>
    <m/>
    <m/>
    <m/>
    <m/>
    <m/>
    <m/>
    <m/>
  </r>
  <r>
    <x v="3"/>
    <m/>
    <s v="ABLE PHARMA"/>
    <s v="ABLE PHARMA"/>
    <n v="50082011"/>
    <s v="C-DOUBLESAFE WHITE NX (H)-GS"/>
    <n v="20000"/>
    <n v="0.46"/>
    <n v="9200"/>
    <x v="0"/>
    <m/>
    <m/>
    <m/>
    <m/>
    <m/>
    <m/>
    <m/>
  </r>
  <r>
    <x v="3"/>
    <m/>
    <s v="ABLE PHARMA"/>
    <s v="ABLE PHARMA"/>
    <n v="50105010"/>
    <s v="N-BLOCK RG WHITE-3R (L)-GS"/>
    <n v="20000"/>
    <n v="0.2"/>
    <n v="4000"/>
    <x v="0"/>
    <m/>
    <m/>
    <m/>
    <m/>
    <m/>
    <m/>
    <m/>
  </r>
  <r>
    <x v="0"/>
    <s v="MIHIR"/>
    <s v="MYLAN LABORATORIES LTD - NASHIK"/>
    <s v="MYLAN LABORATORIES LTD - NASHIK"/>
    <n v="50102170"/>
    <s v="CR-33MM 0.020 SG75M (PLAIN)"/>
    <n v="85000"/>
    <n v="2.75"/>
    <n v="233750"/>
    <x v="0"/>
    <m/>
    <m/>
    <m/>
    <m/>
    <m/>
    <m/>
    <m/>
  </r>
  <r>
    <x v="3"/>
    <s v="SAGAR"/>
    <s v="AKUMS DRUGS &amp; PHARMACEUTICALS"/>
    <s v="Akums Drugs &amp; Pharmaceuticals"/>
    <n v="50114370"/>
    <s v="B-5ML &quot;O&quot; WHITE 48C(L)-GS"/>
    <n v="36000"/>
    <n v="1.47"/>
    <n v="52920"/>
    <x v="0"/>
    <m/>
    <m/>
    <m/>
    <m/>
    <m/>
    <m/>
    <m/>
  </r>
  <r>
    <x v="3"/>
    <s v="SAGAR"/>
    <s v="AKUMS DRUGS &amp; PHARMACEUTICALS"/>
    <s v="Akums Drugs &amp; Pharmaceuticals"/>
    <n v="50112207"/>
    <s v="C-TAMPSAFE &quot;O&quot; WHITE-24C(H)-GS"/>
    <n v="36000"/>
    <n v="0.9"/>
    <n v="32400"/>
    <x v="0"/>
    <m/>
    <m/>
    <m/>
    <m/>
    <m/>
    <m/>
    <m/>
  </r>
  <r>
    <x v="3"/>
    <s v="SAGAR"/>
    <s v="AKUMS DRUGS &amp; PHARMACEUTICALS"/>
    <s v="Akums Drugs &amp; Pharmaceuticals"/>
    <n v="50081947"/>
    <s v="N-OPEN &quot;O&quot;NATURAL (L)-GS"/>
    <n v="40000"/>
    <n v="0.33"/>
    <n v="13200"/>
    <x v="0"/>
    <m/>
    <m/>
    <m/>
    <m/>
    <m/>
    <m/>
    <m/>
  </r>
  <r>
    <x v="3"/>
    <s v="SAGAR"/>
    <s v="AKUMS DRUGS &amp; PHARMACEUTICALS"/>
    <s v="Akums Drugs &amp; Pharmaceuticals"/>
    <n v="50114367"/>
    <s v="B-5ML RSP WHITE 48C(L)-GS"/>
    <n v="160000"/>
    <n v="1.79"/>
    <n v="286400"/>
    <x v="0"/>
    <m/>
    <m/>
    <m/>
    <m/>
    <m/>
    <m/>
    <m/>
  </r>
  <r>
    <x v="3"/>
    <s v="SAGAR"/>
    <s v="AKUMS DRUGS &amp; PHARMACEUTICALS"/>
    <s v="Akums Drugs &amp; Pharmaceuticals"/>
    <n v="50114341"/>
    <s v="N-OPEN RSP WHITE 64C(L)-GS"/>
    <n v="160000"/>
    <n v="0.56000000000000005"/>
    <n v="89600.000000000015"/>
    <x v="0"/>
    <m/>
    <m/>
    <m/>
    <m/>
    <m/>
    <m/>
    <m/>
  </r>
  <r>
    <x v="0"/>
    <s v="PRIYANK"/>
    <s v="Lupin Limited"/>
    <s v="Lupin Limited"/>
    <n v="50110017"/>
    <s v="CR-38MM HS123/035-(P-BLK)-1"/>
    <n v="300000"/>
    <n v="2.86"/>
    <n v="858000"/>
    <x v="0"/>
    <m/>
    <m/>
    <m/>
    <m/>
    <m/>
    <m/>
    <m/>
  </r>
  <r>
    <x v="0"/>
    <s v="PRIYANK"/>
    <s v="ZYDUS LIFESCIENCES LTD-SEZ"/>
    <s v="ZYDUS LIFESCIENCES LTD-SEZ"/>
    <n v="50110013"/>
    <s v="CR-33MM HS123/035-(P-WHT)-1"/>
    <n v="600000"/>
    <n v="2.2000000000000002"/>
    <n v="1320000"/>
    <x v="0"/>
    <n v="600000"/>
    <m/>
    <n v="25501627"/>
    <n v="4140000451"/>
    <d v="2025-12-22T00:00:00"/>
    <n v="1"/>
    <d v="2026-01-26T00:00:00"/>
  </r>
  <r>
    <x v="0"/>
    <s v="PRIYANK"/>
    <s v="Lupin Limited"/>
    <s v="Lupin Limited"/>
    <n v="50110017"/>
    <s v="CR-38MM HS123/035-(P-BLK)-1"/>
    <n v="300000"/>
    <n v="2.86"/>
    <n v="858000"/>
    <x v="0"/>
    <m/>
    <m/>
    <m/>
    <m/>
    <m/>
    <m/>
    <m/>
  </r>
  <r>
    <x v="3"/>
    <s v="SAGAR"/>
    <s v="Akums Drugs &amp; Pharmaceuticals"/>
    <s v="Akums Drugs &amp; Pharmaceuticals"/>
    <n v="50114367"/>
    <s v="B-5ML RSP WHITE 48C(L)-GS"/>
    <n v="39000"/>
    <n v="1.79"/>
    <n v="69810"/>
    <x v="0"/>
    <m/>
    <m/>
    <m/>
    <m/>
    <m/>
    <m/>
    <m/>
  </r>
  <r>
    <x v="3"/>
    <s v="SAGAR"/>
    <s v="Akums Drugs &amp; Pharmaceuticals"/>
    <s v="Akums Drugs &amp; Pharmaceuticals"/>
    <n v="50081670"/>
    <s v="C-TAMPSAFE RSP WHITE(H)NEW-GS"/>
    <n v="190000"/>
    <n v="1.44"/>
    <n v="273600"/>
    <x v="0"/>
    <m/>
    <m/>
    <m/>
    <m/>
    <m/>
    <m/>
    <m/>
  </r>
  <r>
    <x v="3"/>
    <s v="SAGAR"/>
    <s v="Akums Drugs &amp; Pharmaceuticals"/>
    <s v="Akums Drugs &amp; Pharmaceuticals"/>
    <n v="50114341"/>
    <s v="N-OPEN RSP WHITE 64C(L)-GS"/>
    <n v="54000"/>
    <n v="0.56000000000000005"/>
    <n v="30240.000000000004"/>
    <x v="0"/>
    <m/>
    <m/>
    <m/>
    <m/>
    <m/>
    <m/>
    <m/>
  </r>
  <r>
    <x v="1"/>
    <s v="SAGAR"/>
    <s v="PURE&amp;CURE HEALTHCARE PVT LTD-S"/>
    <s v="PURE&amp;CURE HEALTHCARE PVT LTD-S"/>
    <n v="50114367"/>
    <s v="B-5ML RSP WHITE 48C(L)-GS"/>
    <n v="250000"/>
    <n v="1.46"/>
    <n v="365000"/>
    <x v="0"/>
    <m/>
    <m/>
    <m/>
    <m/>
    <m/>
    <m/>
    <m/>
  </r>
  <r>
    <x v="1"/>
    <s v="SAGAR"/>
    <s v="PURE&amp;CURE HEALTHCARE PVT LTD-S"/>
    <s v="PURE&amp;CURE HEALTHCARE PVT LTD-S"/>
    <n v="50081723"/>
    <s v="C-TAMPSAFE RSP WHITE (H)-GS"/>
    <n v="200000"/>
    <n v="1.1299999999999999"/>
    <n v="225999.99999999997"/>
    <x v="0"/>
    <m/>
    <m/>
    <m/>
    <m/>
    <m/>
    <m/>
    <m/>
  </r>
  <r>
    <x v="1"/>
    <s v="SAGAR"/>
    <s v="PURE&amp;CURE HEALTHCARE PVT LTD-S"/>
    <s v="PURE&amp;CURE HEALTHCARE PVT LTD-S"/>
    <n v="50081938"/>
    <s v="N-OPEN RSP WHITE (L)-GS"/>
    <n v="250000"/>
    <n v="0.44"/>
    <n v="110000"/>
    <x v="0"/>
    <m/>
    <m/>
    <m/>
    <m/>
    <m/>
    <m/>
    <m/>
  </r>
  <r>
    <x v="3"/>
    <s v="PRIYANK"/>
    <s v="SUNWAYS ROHTO PHARMACEUTICAL ("/>
    <s v="SUNWAYS ROHTO PHARMACEUTICAL ("/>
    <n v="50114373"/>
    <s v="B-5ML &quot;O&quot; NATURAL 48C(L)-GS"/>
    <n v="75000"/>
    <n v="2.2799999999999998"/>
    <n v="170999.99999999997"/>
    <x v="0"/>
    <m/>
    <m/>
    <m/>
    <m/>
    <m/>
    <m/>
    <m/>
  </r>
  <r>
    <x v="3"/>
    <s v="PRIYANK"/>
    <s v="SUNWAYS ROHTO PHARMACEUTICAL ("/>
    <s v="SUNWAYS ROHTO PHARMACEUTICAL ("/>
    <n v="50081986"/>
    <s v="B-10ML &quot;O&quot; NATURAL (L)-GS"/>
    <n v="55000"/>
    <n v="2.38"/>
    <n v="130900"/>
    <x v="0"/>
    <m/>
    <m/>
    <m/>
    <m/>
    <m/>
    <m/>
    <m/>
  </r>
  <r>
    <x v="3"/>
    <s v="PRIYANK"/>
    <s v="SUNWAYS ROHTO PHARMACEUTICAL ("/>
    <s v="SUNWAYS ROHTO PHARMACEUTICAL ("/>
    <n v="50081947"/>
    <s v="N-OPEN &quot;O&quot;NATURAL (L)-GS"/>
    <n v="130000"/>
    <n v="0.19"/>
    <n v="24700"/>
    <x v="0"/>
    <m/>
    <m/>
    <m/>
    <m/>
    <m/>
    <m/>
    <m/>
  </r>
  <r>
    <x v="12"/>
    <m/>
    <m/>
    <m/>
    <m/>
    <m/>
    <m/>
    <m/>
    <m/>
    <x v="4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14AD34-9698-45CC-8E9B-9795B60DF9CE}" name="PivotTable2" cacheId="168" applyNumberFormats="0" applyBorderFormats="0" applyFontFormats="0" applyPatternFormats="0" applyAlignmentFormats="0" applyWidthHeightFormats="1" dataCaption="Values" grandTotalCaption="TOTAL" updatedVersion="6" minRefreshableVersion="3" useAutoFormatting="1" itemPrintTitles="1" createdVersion="8" indent="0" outline="1" outlineData="1" multipleFieldFilters="0" rowHeaderCaption="SEGMENT">
  <location ref="B3:H16" firstHeaderRow="1" firstDataRow="2" firstDataCol="1"/>
  <pivotFields count="17">
    <pivotField axis="axisRow" showAll="0">
      <items count="15">
        <item x="0"/>
        <item x="8"/>
        <item x="5"/>
        <item x="3"/>
        <item x="4"/>
        <item x="10"/>
        <item x="2"/>
        <item x="1"/>
        <item x="7"/>
        <item x="11"/>
        <item m="1" x="13"/>
        <item h="1" x="12"/>
        <item x="6"/>
        <item x="9"/>
        <item t="default"/>
      </items>
    </pivotField>
    <pivotField showAll="0"/>
    <pivotField showAll="0"/>
    <pivotField showAll="0"/>
    <pivotField showAll="0"/>
    <pivotField showAll="0"/>
    <pivotField numFmtId="165" showAll="0"/>
    <pivotField showAll="0"/>
    <pivotField dataField="1" numFmtId="165" showAll="0"/>
    <pivotField axis="axisCol" showAll="0">
      <items count="10">
        <item x="0"/>
        <item x="5"/>
        <item x="2"/>
        <item x="8"/>
        <item h="1" x="7"/>
        <item h="1" x="4"/>
        <item x="1"/>
        <item h="1" x="3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2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6"/>
    </i>
    <i t="grand">
      <x/>
    </i>
  </colItems>
  <dataFields count="1">
    <dataField name="Sum of Value" fld="8" baseField="0" baseItem="0" numFmtId="165"/>
  </dataFields>
  <formats count="19">
    <format dxfId="116">
      <pivotArea field="0" type="button" dataOnly="0" labelOnly="1" outline="0" axis="axisRow" fieldPosition="0"/>
    </format>
    <format dxfId="115">
      <pivotArea dataOnly="0" labelOnly="1" fieldPosition="0">
        <references count="1">
          <reference field="9" count="0"/>
        </references>
      </pivotArea>
    </format>
    <format dxfId="114">
      <pivotArea dataOnly="0" labelOnly="1" grandCol="1" outline="0" fieldPosition="0"/>
    </format>
    <format dxfId="113">
      <pivotArea outline="0" collapsedLevelsAreSubtotals="1" fieldPosition="0"/>
    </format>
    <format dxfId="112">
      <pivotArea field="0" type="button" dataOnly="0" labelOnly="1" outline="0" axis="axisRow" fieldPosition="0"/>
    </format>
    <format dxfId="111">
      <pivotArea dataOnly="0" labelOnly="1" fieldPosition="0">
        <references count="1">
          <reference field="0" count="0"/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1">
          <reference field="9" count="0"/>
        </references>
      </pivotArea>
    </format>
    <format dxfId="108">
      <pivotArea dataOnly="0" labelOnly="1" grandCol="1" outline="0" fieldPosition="0"/>
    </format>
    <format dxfId="107">
      <pivotArea outline="0" collapsedLevelsAreSubtotals="1" fieldPosition="0"/>
    </format>
    <format dxfId="106">
      <pivotArea field="0" type="button" dataOnly="0" labelOnly="1" outline="0" axis="axisRow" fieldPosition="0"/>
    </format>
    <format dxfId="105">
      <pivotArea dataOnly="0" labelOnly="1" fieldPosition="0">
        <references count="1">
          <reference field="0" count="0"/>
        </references>
      </pivotArea>
    </format>
    <format dxfId="104">
      <pivotArea dataOnly="0" labelOnly="1" grandRow="1" outline="0" fieldPosition="0"/>
    </format>
    <format dxfId="103">
      <pivotArea dataOnly="0" labelOnly="1" fieldPosition="0">
        <references count="1">
          <reference field="9" count="0"/>
        </references>
      </pivotArea>
    </format>
    <format dxfId="102">
      <pivotArea dataOnly="0" labelOnly="1" grandCol="1" outline="0" fieldPosition="0"/>
    </format>
    <format dxfId="101">
      <pivotArea dataOnly="0" labelOnly="1" grandRow="1" outline="0" fieldPosition="0"/>
    </format>
    <format dxfId="100">
      <pivotArea type="origin" dataOnly="0" labelOnly="1" outline="0" fieldPosition="0"/>
    </format>
    <format dxfId="99">
      <pivotArea field="9" type="button" dataOnly="0" labelOnly="1" outline="0" axis="axisCol" fieldPosition="0"/>
    </format>
    <format dxfId="98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1388-D82A-422C-8284-9162D98C85AA}">
  <dimension ref="B1:T25"/>
  <sheetViews>
    <sheetView showGridLines="0" tabSelected="1" zoomScale="139" workbookViewId="0">
      <selection activeCell="H7" sqref="H7"/>
    </sheetView>
  </sheetViews>
  <sheetFormatPr defaultRowHeight="14.25"/>
  <cols>
    <col min="1" max="1" width="1.5" customWidth="1"/>
    <col min="2" max="2" width="13.25" bestFit="1" customWidth="1"/>
    <col min="3" max="4" width="13.625" bestFit="1" customWidth="1"/>
    <col min="5" max="5" width="14.875" bestFit="1" customWidth="1"/>
    <col min="6" max="6" width="12.375" bestFit="1" customWidth="1"/>
    <col min="7" max="7" width="14.125" bestFit="1" customWidth="1"/>
    <col min="8" max="8" width="13.25" bestFit="1" customWidth="1"/>
    <col min="9" max="9" width="2.25" customWidth="1"/>
    <col min="10" max="10" width="2" customWidth="1"/>
    <col min="11" max="11" width="1.375" customWidth="1"/>
    <col min="12" max="12" width="13.25" bestFit="1" customWidth="1"/>
    <col min="13" max="14" width="13.625" bestFit="1" customWidth="1"/>
    <col min="15" max="15" width="14.875" bestFit="1" customWidth="1"/>
    <col min="16" max="16" width="12.375" bestFit="1" customWidth="1"/>
    <col min="17" max="17" width="14.125" bestFit="1" customWidth="1"/>
    <col min="18" max="18" width="13.25" bestFit="1" customWidth="1"/>
    <col min="19" max="19" width="13.125" bestFit="1" customWidth="1"/>
    <col min="20" max="20" width="10.25" bestFit="1" customWidth="1"/>
  </cols>
  <sheetData>
    <row r="1" spans="2:20" ht="6.75" customHeight="1"/>
    <row r="2" spans="2:20" ht="15">
      <c r="B2" s="42" t="s">
        <v>505</v>
      </c>
      <c r="L2" s="42" t="s">
        <v>485</v>
      </c>
    </row>
    <row r="3" spans="2:20" s="20" customFormat="1">
      <c r="B3" s="19" t="s">
        <v>418</v>
      </c>
      <c r="C3" s="19" t="s">
        <v>417</v>
      </c>
      <c r="I3"/>
      <c r="J3"/>
      <c r="K3"/>
      <c r="L3" s="20" t="s">
        <v>418</v>
      </c>
      <c r="M3" s="20" t="s">
        <v>417</v>
      </c>
    </row>
    <row r="4" spans="2:20">
      <c r="B4" s="2" t="s">
        <v>419</v>
      </c>
      <c r="C4" s="3" t="s">
        <v>374</v>
      </c>
      <c r="D4" s="3" t="s">
        <v>401</v>
      </c>
      <c r="E4" s="3" t="s">
        <v>375</v>
      </c>
      <c r="F4" s="3" t="s">
        <v>406</v>
      </c>
      <c r="G4" s="3" t="s">
        <v>449</v>
      </c>
      <c r="H4" s="3" t="s">
        <v>400</v>
      </c>
      <c r="L4" s="3" t="s">
        <v>419</v>
      </c>
      <c r="M4" s="3" t="s">
        <v>374</v>
      </c>
      <c r="N4" s="3" t="s">
        <v>401</v>
      </c>
      <c r="O4" s="3" t="s">
        <v>375</v>
      </c>
      <c r="P4" s="3" t="s">
        <v>406</v>
      </c>
      <c r="Q4" s="3" t="s">
        <v>449</v>
      </c>
      <c r="R4" s="3" t="s">
        <v>400</v>
      </c>
      <c r="S4" s="3" t="s">
        <v>467</v>
      </c>
      <c r="T4" s="3" t="s">
        <v>400</v>
      </c>
    </row>
    <row r="5" spans="2:20">
      <c r="B5" s="1" t="s">
        <v>347</v>
      </c>
      <c r="C5" s="4">
        <v>53261827.199999996</v>
      </c>
      <c r="D5" s="4">
        <v>4252600</v>
      </c>
      <c r="E5" s="4">
        <v>6984000</v>
      </c>
      <c r="F5" s="4"/>
      <c r="G5" s="4"/>
      <c r="H5" s="4">
        <v>64498427.199999996</v>
      </c>
      <c r="L5" s="1" t="s">
        <v>347</v>
      </c>
      <c r="M5" s="4">
        <v>43675677.200000003</v>
      </c>
      <c r="N5" s="4">
        <v>13149000</v>
      </c>
      <c r="O5" s="4">
        <v>6984000</v>
      </c>
      <c r="P5" s="4"/>
      <c r="Q5" s="4"/>
      <c r="R5" s="4">
        <v>63808677.200000003</v>
      </c>
      <c r="S5" s="4"/>
      <c r="T5" s="4">
        <v>65488557.199999996</v>
      </c>
    </row>
    <row r="6" spans="2:20">
      <c r="B6" s="1" t="s">
        <v>354</v>
      </c>
      <c r="C6" s="4">
        <v>1257897.6000000001</v>
      </c>
      <c r="D6" s="4"/>
      <c r="E6" s="4"/>
      <c r="F6" s="4"/>
      <c r="G6" s="4"/>
      <c r="H6" s="4">
        <v>1257897.6000000001</v>
      </c>
      <c r="L6" s="1" t="s">
        <v>354</v>
      </c>
      <c r="M6" s="4">
        <v>1257897.6000000001</v>
      </c>
      <c r="N6" s="4"/>
      <c r="O6" s="4"/>
      <c r="P6" s="4"/>
      <c r="Q6" s="4"/>
      <c r="R6" s="4">
        <v>1257897.6000000001</v>
      </c>
      <c r="S6" s="4"/>
      <c r="T6" s="4">
        <v>1257897.6000000001</v>
      </c>
    </row>
    <row r="7" spans="2:20">
      <c r="B7" s="1" t="s">
        <v>350</v>
      </c>
      <c r="C7" s="4">
        <v>8219620</v>
      </c>
      <c r="D7" s="4"/>
      <c r="E7" s="4"/>
      <c r="F7" s="4"/>
      <c r="G7" s="4"/>
      <c r="H7" s="4">
        <v>8219620</v>
      </c>
      <c r="L7" s="1" t="s">
        <v>350</v>
      </c>
      <c r="M7" s="4">
        <v>7767020</v>
      </c>
      <c r="N7" s="4">
        <v>452600</v>
      </c>
      <c r="O7" s="4"/>
      <c r="P7" s="4"/>
      <c r="Q7" s="4"/>
      <c r="R7" s="4">
        <v>8219620</v>
      </c>
      <c r="S7" s="4"/>
      <c r="T7" s="4">
        <v>8309584</v>
      </c>
    </row>
    <row r="8" spans="2:20">
      <c r="B8" s="1" t="s">
        <v>351</v>
      </c>
      <c r="C8" s="4">
        <v>33199963.761688229</v>
      </c>
      <c r="D8" s="4"/>
      <c r="E8" s="4">
        <v>5711373.5199999996</v>
      </c>
      <c r="F8" s="4"/>
      <c r="G8" s="4">
        <v>2262950</v>
      </c>
      <c r="H8" s="4">
        <v>41174287.281688228</v>
      </c>
      <c r="L8" s="1" t="s">
        <v>351</v>
      </c>
      <c r="M8" s="4">
        <v>31235593.761688229</v>
      </c>
      <c r="N8" s="4">
        <v>1973296</v>
      </c>
      <c r="O8" s="4">
        <v>5711373.5199999996</v>
      </c>
      <c r="P8" s="4"/>
      <c r="Q8" s="4">
        <v>2262950</v>
      </c>
      <c r="R8" s="4">
        <v>41183213.281688228</v>
      </c>
      <c r="S8" s="4">
        <v>964250</v>
      </c>
      <c r="T8" s="4">
        <v>41772129.281688228</v>
      </c>
    </row>
    <row r="9" spans="2:20">
      <c r="B9" s="1" t="s">
        <v>348</v>
      </c>
      <c r="C9" s="4">
        <v>2773400</v>
      </c>
      <c r="D9" s="4"/>
      <c r="E9" s="4"/>
      <c r="F9" s="4"/>
      <c r="G9" s="4"/>
      <c r="H9" s="4">
        <v>2773400</v>
      </c>
      <c r="L9" s="1" t="s">
        <v>348</v>
      </c>
      <c r="M9" s="4">
        <v>1648400</v>
      </c>
      <c r="N9" s="4">
        <v>1125000</v>
      </c>
      <c r="O9" s="4"/>
      <c r="P9" s="4"/>
      <c r="Q9" s="4"/>
      <c r="R9" s="4">
        <v>2773400</v>
      </c>
      <c r="S9" s="4"/>
      <c r="T9" s="4">
        <v>2773400</v>
      </c>
    </row>
    <row r="10" spans="2:20">
      <c r="B10" s="1" t="s">
        <v>352</v>
      </c>
      <c r="C10" s="4"/>
      <c r="D10" s="4"/>
      <c r="E10" s="4">
        <v>782269.44000000006</v>
      </c>
      <c r="F10" s="4">
        <v>744000</v>
      </c>
      <c r="G10" s="4"/>
      <c r="H10" s="4">
        <v>1526269.44</v>
      </c>
      <c r="L10" s="1" t="s">
        <v>352</v>
      </c>
      <c r="M10" s="4"/>
      <c r="N10" s="4"/>
      <c r="O10" s="4">
        <v>782269.44000000006</v>
      </c>
      <c r="P10" s="4">
        <v>744000</v>
      </c>
      <c r="Q10" s="4"/>
      <c r="R10" s="4">
        <v>1526269.44</v>
      </c>
      <c r="S10" s="4"/>
      <c r="T10" s="4">
        <v>1526269.44</v>
      </c>
    </row>
    <row r="11" spans="2:20">
      <c r="B11" s="1" t="s">
        <v>346</v>
      </c>
      <c r="C11" s="4">
        <v>42940496.100000009</v>
      </c>
      <c r="D11" s="4"/>
      <c r="E11" s="4"/>
      <c r="F11" s="4"/>
      <c r="G11" s="4"/>
      <c r="H11" s="4">
        <v>42940496.100000009</v>
      </c>
      <c r="L11" s="1" t="s">
        <v>346</v>
      </c>
      <c r="M11" s="4">
        <v>38163868.600000009</v>
      </c>
      <c r="N11" s="4">
        <v>9755300</v>
      </c>
      <c r="O11" s="4"/>
      <c r="P11" s="4"/>
      <c r="Q11" s="4"/>
      <c r="R11" s="4">
        <v>47919168.600000009</v>
      </c>
      <c r="S11" s="4">
        <v>895200</v>
      </c>
      <c r="T11" s="4">
        <v>47127851.600000009</v>
      </c>
    </row>
    <row r="12" spans="2:20">
      <c r="B12" s="1" t="s">
        <v>349</v>
      </c>
      <c r="C12" s="4">
        <v>19768794.455803134</v>
      </c>
      <c r="D12" s="4"/>
      <c r="E12" s="4"/>
      <c r="F12" s="4"/>
      <c r="G12" s="4">
        <v>7507224</v>
      </c>
      <c r="H12" s="4">
        <v>27276018.455803134</v>
      </c>
      <c r="L12" s="1" t="s">
        <v>349</v>
      </c>
      <c r="M12" s="4">
        <v>19067794.455803134</v>
      </c>
      <c r="N12" s="4">
        <v>1913161.6653275611</v>
      </c>
      <c r="O12" s="4"/>
      <c r="P12" s="4"/>
      <c r="Q12" s="4">
        <v>7507224</v>
      </c>
      <c r="R12" s="4">
        <v>28488180.121130694</v>
      </c>
      <c r="S12" s="4"/>
      <c r="T12" s="4">
        <v>29215234.310000002</v>
      </c>
    </row>
    <row r="13" spans="2:20">
      <c r="B13" s="1" t="s">
        <v>353</v>
      </c>
      <c r="C13" s="4">
        <v>29926242.599999998</v>
      </c>
      <c r="D13" s="4"/>
      <c r="E13" s="4"/>
      <c r="F13" s="4"/>
      <c r="G13" s="4">
        <v>5330880</v>
      </c>
      <c r="H13" s="4">
        <v>35257122.599999994</v>
      </c>
      <c r="L13" s="1" t="s">
        <v>353</v>
      </c>
      <c r="M13" s="4">
        <v>29926242.599999998</v>
      </c>
      <c r="N13" s="4"/>
      <c r="O13" s="4"/>
      <c r="P13" s="4"/>
      <c r="Q13" s="4">
        <v>5330880</v>
      </c>
      <c r="R13" s="4">
        <v>35257122.599999994</v>
      </c>
      <c r="S13" s="4"/>
      <c r="T13" s="4">
        <v>33789747</v>
      </c>
    </row>
    <row r="14" spans="2:20">
      <c r="B14" s="1" t="s">
        <v>357</v>
      </c>
      <c r="C14" s="4"/>
      <c r="D14" s="4"/>
      <c r="E14" s="4">
        <v>16577550</v>
      </c>
      <c r="F14" s="4">
        <v>4875750</v>
      </c>
      <c r="G14" s="4"/>
      <c r="H14" s="4">
        <v>21453300</v>
      </c>
      <c r="L14" s="1" t="s">
        <v>357</v>
      </c>
      <c r="M14" s="4"/>
      <c r="N14" s="4"/>
      <c r="O14" s="4">
        <v>8776350</v>
      </c>
      <c r="P14" s="4">
        <v>10726650</v>
      </c>
      <c r="Q14" s="4"/>
      <c r="R14" s="4">
        <v>19503000</v>
      </c>
      <c r="S14" s="4"/>
      <c r="T14" s="4">
        <v>19503000</v>
      </c>
    </row>
    <row r="15" spans="2:20">
      <c r="B15" s="1" t="s">
        <v>356</v>
      </c>
      <c r="C15" s="4"/>
      <c r="D15" s="4"/>
      <c r="E15" s="4">
        <v>6824812</v>
      </c>
      <c r="F15" s="4">
        <v>2480700</v>
      </c>
      <c r="G15" s="4"/>
      <c r="H15" s="4">
        <v>9305512</v>
      </c>
      <c r="L15" s="1" t="s">
        <v>356</v>
      </c>
      <c r="M15" s="4"/>
      <c r="N15" s="4"/>
      <c r="O15" s="4">
        <v>2506540</v>
      </c>
      <c r="P15" s="4">
        <v>6798972</v>
      </c>
      <c r="Q15" s="4"/>
      <c r="R15" s="4">
        <v>9305512</v>
      </c>
      <c r="S15" s="4"/>
      <c r="T15" s="4">
        <v>9305512</v>
      </c>
    </row>
    <row r="16" spans="2:20">
      <c r="B16" s="3" t="s">
        <v>400</v>
      </c>
      <c r="C16" s="4">
        <v>191348241.71749136</v>
      </c>
      <c r="D16" s="4">
        <v>4252600</v>
      </c>
      <c r="E16" s="4">
        <v>36880004.960000001</v>
      </c>
      <c r="F16" s="4">
        <v>8100450</v>
      </c>
      <c r="G16" s="4">
        <v>15101054</v>
      </c>
      <c r="H16" s="4">
        <v>255682350.67749137</v>
      </c>
      <c r="L16" s="1" t="s">
        <v>355</v>
      </c>
      <c r="M16" s="4"/>
      <c r="N16" s="4"/>
      <c r="O16" s="4"/>
      <c r="P16" s="4">
        <v>367000</v>
      </c>
      <c r="Q16" s="4"/>
      <c r="R16" s="4">
        <v>367000</v>
      </c>
      <c r="S16" s="4"/>
      <c r="T16" s="4">
        <v>367000</v>
      </c>
    </row>
    <row r="17" spans="2:20">
      <c r="L17" s="3" t="s">
        <v>400</v>
      </c>
      <c r="M17" s="4">
        <v>172742494.21749136</v>
      </c>
      <c r="N17" s="4">
        <v>28368357.66532756</v>
      </c>
      <c r="O17" s="4">
        <v>24760532.960000001</v>
      </c>
      <c r="P17" s="4">
        <v>18636622</v>
      </c>
      <c r="Q17" s="4">
        <v>15101054</v>
      </c>
      <c r="R17" s="4">
        <v>259609060.84281895</v>
      </c>
      <c r="S17" s="4">
        <v>1859450</v>
      </c>
      <c r="T17" s="4">
        <v>260436182.43168825</v>
      </c>
    </row>
    <row r="18" spans="2:20">
      <c r="B18" s="21" t="s">
        <v>469</v>
      </c>
      <c r="C18" s="22">
        <v>16722775</v>
      </c>
      <c r="D18" s="23"/>
      <c r="E18" s="22" t="s">
        <v>470</v>
      </c>
      <c r="F18" s="22">
        <v>447646</v>
      </c>
      <c r="G18" s="23"/>
      <c r="H18" s="23"/>
      <c r="L18" s="21" t="s">
        <v>469</v>
      </c>
      <c r="M18" s="22">
        <v>16722775</v>
      </c>
      <c r="N18" s="23"/>
      <c r="O18" s="22" t="s">
        <v>470</v>
      </c>
      <c r="P18" s="22">
        <v>447646</v>
      </c>
      <c r="Q18" s="23"/>
      <c r="R18" s="23"/>
    </row>
    <row r="19" spans="2:20" ht="15">
      <c r="B19" s="24"/>
      <c r="C19" s="25" t="s">
        <v>429</v>
      </c>
      <c r="D19" s="26" t="s">
        <v>430</v>
      </c>
      <c r="E19" s="25" t="s">
        <v>431</v>
      </c>
      <c r="F19" s="27" t="s">
        <v>432</v>
      </c>
      <c r="G19" s="25" t="s">
        <v>433</v>
      </c>
      <c r="H19" s="28" t="s">
        <v>434</v>
      </c>
      <c r="L19" s="24"/>
      <c r="M19" s="25" t="s">
        <v>429</v>
      </c>
      <c r="N19" s="26" t="s">
        <v>430</v>
      </c>
      <c r="O19" s="25" t="s">
        <v>431</v>
      </c>
      <c r="P19" s="27" t="s">
        <v>432</v>
      </c>
      <c r="Q19" s="25" t="s">
        <v>433</v>
      </c>
      <c r="R19" s="28" t="s">
        <v>434</v>
      </c>
    </row>
    <row r="20" spans="2:20" ht="15">
      <c r="B20" s="29" t="s">
        <v>435</v>
      </c>
      <c r="C20" s="30">
        <v>245000000</v>
      </c>
      <c r="D20" s="31">
        <f>SUM(C5:F13)+C18+C23</f>
        <v>230545259.67749137</v>
      </c>
      <c r="E20" s="30">
        <v>55000000</v>
      </c>
      <c r="F20" s="31">
        <f>SUM(E14:F15)+F18</f>
        <v>31206458</v>
      </c>
      <c r="G20" s="30">
        <f>C20+E20</f>
        <v>300000000</v>
      </c>
      <c r="H20" s="32">
        <f>D20+F20-G20</f>
        <v>-38248282.322508633</v>
      </c>
      <c r="L20" s="29" t="s">
        <v>435</v>
      </c>
      <c r="M20" s="30">
        <v>245000000</v>
      </c>
      <c r="N20" s="31">
        <v>232055269.84281892</v>
      </c>
      <c r="O20" s="30">
        <v>55000000</v>
      </c>
      <c r="P20" s="31">
        <v>29623158</v>
      </c>
      <c r="Q20" s="30">
        <v>300000000</v>
      </c>
      <c r="R20" s="32">
        <v>-38321572.157181084</v>
      </c>
    </row>
    <row r="21" spans="2:20" ht="15">
      <c r="B21" s="29" t="s">
        <v>436</v>
      </c>
      <c r="C21" s="33">
        <f>SUM(C5:D15)+C18</f>
        <v>212323616.71749136</v>
      </c>
      <c r="D21" s="30"/>
      <c r="E21" s="30" t="s">
        <v>437</v>
      </c>
      <c r="F21" s="33">
        <f>SUM(E5:F15)</f>
        <v>44980454.960000001</v>
      </c>
      <c r="G21" s="30"/>
      <c r="H21" s="30"/>
      <c r="L21" s="29" t="s">
        <v>436</v>
      </c>
      <c r="M21" s="33">
        <v>217833626.88281891</v>
      </c>
      <c r="N21" s="30"/>
      <c r="O21" s="30" t="s">
        <v>437</v>
      </c>
      <c r="P21" s="33">
        <v>43397154.960000001</v>
      </c>
      <c r="Q21" s="30"/>
      <c r="R21" s="30"/>
    </row>
    <row r="22" spans="2:20" ht="15">
      <c r="B22" s="34" t="s">
        <v>438</v>
      </c>
      <c r="C22" s="35">
        <f>C21+F21</f>
        <v>257304071.67749137</v>
      </c>
      <c r="D22" s="24"/>
      <c r="E22" s="24"/>
      <c r="F22" s="24"/>
      <c r="G22" s="24"/>
      <c r="H22" s="24"/>
      <c r="L22" s="34" t="s">
        <v>438</v>
      </c>
      <c r="M22" s="35">
        <v>261230781.84281892</v>
      </c>
      <c r="N22" s="24"/>
      <c r="O22" s="24"/>
      <c r="P22" s="24"/>
      <c r="Q22" s="24"/>
      <c r="R22" s="24"/>
    </row>
    <row r="23" spans="2:20" ht="15">
      <c r="B23" s="36" t="s">
        <v>439</v>
      </c>
      <c r="C23" s="37">
        <v>4000000</v>
      </c>
      <c r="D23" t="s">
        <v>484</v>
      </c>
      <c r="L23" s="36" t="s">
        <v>439</v>
      </c>
      <c r="M23" s="37">
        <v>4000000</v>
      </c>
      <c r="N23" t="s">
        <v>484</v>
      </c>
    </row>
    <row r="24" spans="2:20">
      <c r="B24" s="38" t="s">
        <v>440</v>
      </c>
      <c r="C24" s="39"/>
      <c r="L24" s="38" t="s">
        <v>440</v>
      </c>
      <c r="M24" s="39"/>
    </row>
    <row r="25" spans="2:20" ht="15">
      <c r="B25" s="40" t="s">
        <v>441</v>
      </c>
      <c r="C25" s="41">
        <f>SUM(C22:C24)</f>
        <v>261304071.67749137</v>
      </c>
      <c r="L25" s="40" t="s">
        <v>441</v>
      </c>
      <c r="M25" s="41">
        <v>265230781.84281892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2F67-AF7F-4D67-AABD-F78F3CBC17D2}">
  <sheetPr filterMode="1"/>
  <dimension ref="A1:AC732"/>
  <sheetViews>
    <sheetView zoomScale="89" workbookViewId="0">
      <selection activeCell="J515" sqref="J515"/>
    </sheetView>
  </sheetViews>
  <sheetFormatPr defaultColWidth="8.875" defaultRowHeight="18.75"/>
  <cols>
    <col min="1" max="1" width="10.75" style="54" bestFit="1" customWidth="1"/>
    <col min="2" max="2" width="10.5" style="55" bestFit="1" customWidth="1"/>
    <col min="3" max="4" width="44.5" style="54" bestFit="1" customWidth="1"/>
    <col min="5" max="5" width="11.125" style="54" bestFit="1" customWidth="1"/>
    <col min="6" max="6" width="43.25" style="54" bestFit="1" customWidth="1"/>
    <col min="7" max="7" width="13.5" style="54" bestFit="1" customWidth="1"/>
    <col min="8" max="8" width="8.625" style="54" bestFit="1" customWidth="1"/>
    <col min="9" max="9" width="13.5" style="54" bestFit="1" customWidth="1"/>
    <col min="10" max="10" width="20.625" style="54" bestFit="1" customWidth="1"/>
    <col min="11" max="11" width="10.25" style="54" bestFit="1" customWidth="1"/>
    <col min="12" max="12" width="19.125" style="54" bestFit="1" customWidth="1"/>
    <col min="13" max="13" width="11.125" style="54" bestFit="1" customWidth="1"/>
    <col min="14" max="14" width="28.75" style="54" bestFit="1" customWidth="1"/>
    <col min="15" max="15" width="11.75" style="54" bestFit="1" customWidth="1"/>
    <col min="16" max="16" width="7.75" style="54" bestFit="1" customWidth="1"/>
    <col min="17" max="17" width="11.75" style="55" bestFit="1" customWidth="1"/>
    <col min="18" max="18" width="14.25" style="45" bestFit="1" customWidth="1"/>
    <col min="19" max="20" width="10.75" style="45" bestFit="1" customWidth="1"/>
    <col min="21" max="21" width="7.25" style="45" bestFit="1" customWidth="1"/>
    <col min="22" max="22" width="16.25" style="45" bestFit="1" customWidth="1"/>
    <col min="23" max="23" width="18.375" style="45" bestFit="1" customWidth="1"/>
    <col min="24" max="24" width="14" style="45" bestFit="1" customWidth="1"/>
    <col min="25" max="25" width="6.75" style="45" bestFit="1" customWidth="1"/>
    <col min="26" max="26" width="11.125" style="45" bestFit="1" customWidth="1"/>
    <col min="27" max="27" width="10.25" style="45" bestFit="1" customWidth="1"/>
    <col min="28" max="28" width="4.875" style="45" bestFit="1" customWidth="1"/>
    <col min="29" max="29" width="8.75" style="45" bestFit="1" customWidth="1"/>
    <col min="30" max="16384" width="8.875" style="45"/>
  </cols>
  <sheetData>
    <row r="1" spans="1:29">
      <c r="A1" s="43" t="s">
        <v>344</v>
      </c>
      <c r="B1" s="43" t="s">
        <v>345</v>
      </c>
      <c r="C1" s="43" t="s">
        <v>442</v>
      </c>
      <c r="D1" s="43" t="s">
        <v>443</v>
      </c>
      <c r="E1" s="43" t="s">
        <v>444</v>
      </c>
      <c r="F1" s="43" t="s">
        <v>445</v>
      </c>
      <c r="G1" s="43" t="s">
        <v>427</v>
      </c>
      <c r="H1" s="43" t="s">
        <v>446</v>
      </c>
      <c r="I1" s="43" t="s">
        <v>447</v>
      </c>
      <c r="J1" s="43" t="s">
        <v>448</v>
      </c>
      <c r="K1" s="43" t="s">
        <v>494</v>
      </c>
      <c r="L1" s="43" t="s">
        <v>474</v>
      </c>
      <c r="M1" s="43" t="s">
        <v>0</v>
      </c>
      <c r="N1" s="43" t="s">
        <v>340</v>
      </c>
      <c r="O1" s="44" t="s">
        <v>341</v>
      </c>
      <c r="P1" s="43" t="s">
        <v>342</v>
      </c>
      <c r="Q1" s="44" t="s">
        <v>343</v>
      </c>
      <c r="R1" s="43" t="s">
        <v>461</v>
      </c>
      <c r="S1" s="43" t="s">
        <v>450</v>
      </c>
      <c r="T1" s="43" t="s">
        <v>451</v>
      </c>
      <c r="U1" s="43" t="s">
        <v>452</v>
      </c>
      <c r="V1" s="43" t="s">
        <v>453</v>
      </c>
      <c r="W1" s="43" t="s">
        <v>454</v>
      </c>
      <c r="X1" s="58" t="s">
        <v>1353</v>
      </c>
      <c r="Y1" s="45" t="s">
        <v>506</v>
      </c>
      <c r="Z1" s="45" t="s">
        <v>508</v>
      </c>
      <c r="AA1" s="45" t="s">
        <v>1355</v>
      </c>
      <c r="AB1" s="45" t="s">
        <v>1650</v>
      </c>
      <c r="AC1" s="45" t="s">
        <v>509</v>
      </c>
    </row>
    <row r="2" spans="1:29" hidden="1">
      <c r="A2" s="46" t="s">
        <v>347</v>
      </c>
      <c r="B2" s="46" t="s">
        <v>457</v>
      </c>
      <c r="C2" s="47" t="s">
        <v>102</v>
      </c>
      <c r="D2" s="47" t="s">
        <v>102</v>
      </c>
      <c r="E2" s="47">
        <v>50110012</v>
      </c>
      <c r="F2" s="47" t="s">
        <v>103</v>
      </c>
      <c r="G2" s="46">
        <v>200000</v>
      </c>
      <c r="H2" s="47">
        <v>2.76</v>
      </c>
      <c r="I2" s="46">
        <f t="shared" ref="I2:I67" si="0">G2*H2</f>
        <v>552000</v>
      </c>
      <c r="J2" s="46" t="s">
        <v>374</v>
      </c>
      <c r="K2" s="46"/>
      <c r="L2" s="46" t="s">
        <v>482</v>
      </c>
      <c r="M2" s="47">
        <v>25501225</v>
      </c>
      <c r="N2" s="48">
        <v>4100308171</v>
      </c>
      <c r="O2" s="49">
        <v>45957</v>
      </c>
      <c r="P2" s="50">
        <v>1</v>
      </c>
      <c r="Q2" s="49">
        <v>46011</v>
      </c>
      <c r="R2" s="47"/>
      <c r="S2" s="52">
        <v>46033</v>
      </c>
      <c r="T2" s="47">
        <v>1</v>
      </c>
      <c r="U2" s="47">
        <v>1</v>
      </c>
      <c r="V2" s="47"/>
      <c r="W2" s="52">
        <f t="shared" ref="W2" si="1">S2+T2+U2</f>
        <v>46035</v>
      </c>
      <c r="X2" s="59"/>
    </row>
    <row r="3" spans="1:29" hidden="1">
      <c r="A3" s="46" t="s">
        <v>347</v>
      </c>
      <c r="B3" s="46" t="s">
        <v>457</v>
      </c>
      <c r="C3" s="47" t="s">
        <v>102</v>
      </c>
      <c r="D3" s="47" t="s">
        <v>102</v>
      </c>
      <c r="E3" s="47">
        <v>50110011</v>
      </c>
      <c r="F3" s="47" t="s">
        <v>101</v>
      </c>
      <c r="G3" s="46">
        <v>50000</v>
      </c>
      <c r="H3" s="47">
        <v>2.87</v>
      </c>
      <c r="I3" s="46">
        <f t="shared" si="0"/>
        <v>143500</v>
      </c>
      <c r="J3" s="46" t="s">
        <v>374</v>
      </c>
      <c r="K3" s="46">
        <v>50000</v>
      </c>
      <c r="L3" s="46" t="s">
        <v>482</v>
      </c>
      <c r="M3" s="47">
        <v>25501352</v>
      </c>
      <c r="N3" s="48">
        <v>4100310655</v>
      </c>
      <c r="O3" s="49">
        <v>45975</v>
      </c>
      <c r="P3" s="50">
        <v>1</v>
      </c>
      <c r="Q3" s="49">
        <v>45996</v>
      </c>
      <c r="R3" s="47" t="s">
        <v>495</v>
      </c>
      <c r="S3" s="52">
        <v>46028</v>
      </c>
      <c r="T3" s="47">
        <v>1</v>
      </c>
      <c r="U3" s="47">
        <v>1</v>
      </c>
      <c r="V3" s="47"/>
      <c r="W3" s="52">
        <f>S3+T3+U3</f>
        <v>46030</v>
      </c>
      <c r="X3" s="59"/>
    </row>
    <row r="4" spans="1:29" hidden="1">
      <c r="A4" s="46" t="s">
        <v>347</v>
      </c>
      <c r="B4" s="46" t="s">
        <v>457</v>
      </c>
      <c r="C4" s="47" t="s">
        <v>102</v>
      </c>
      <c r="D4" s="47" t="s">
        <v>102</v>
      </c>
      <c r="E4" s="47">
        <v>50110011</v>
      </c>
      <c r="F4" s="47" t="s">
        <v>101</v>
      </c>
      <c r="G4" s="46">
        <v>50000</v>
      </c>
      <c r="H4" s="47">
        <v>2.87</v>
      </c>
      <c r="I4" s="46">
        <f t="shared" si="0"/>
        <v>143500</v>
      </c>
      <c r="J4" s="46" t="s">
        <v>374</v>
      </c>
      <c r="K4" s="46">
        <v>20000</v>
      </c>
      <c r="L4" s="46" t="s">
        <v>482</v>
      </c>
      <c r="M4" s="47">
        <v>25501352</v>
      </c>
      <c r="N4" s="48">
        <v>4100310655</v>
      </c>
      <c r="O4" s="49">
        <v>45975</v>
      </c>
      <c r="P4" s="50">
        <v>2</v>
      </c>
      <c r="Q4" s="49">
        <v>46037</v>
      </c>
      <c r="R4" s="47" t="s">
        <v>495</v>
      </c>
      <c r="S4" s="52">
        <v>46028</v>
      </c>
      <c r="T4" s="47">
        <v>1</v>
      </c>
      <c r="U4" s="47">
        <v>1</v>
      </c>
      <c r="V4" s="47"/>
      <c r="W4" s="52">
        <f t="shared" ref="W4" si="2">S4+T4+U4</f>
        <v>46030</v>
      </c>
      <c r="X4" s="59"/>
    </row>
    <row r="5" spans="1:29" hidden="1">
      <c r="A5" s="46" t="s">
        <v>349</v>
      </c>
      <c r="B5" s="46" t="s">
        <v>459</v>
      </c>
      <c r="C5" s="47" t="s">
        <v>28</v>
      </c>
      <c r="D5" s="47" t="s">
        <v>28</v>
      </c>
      <c r="E5" s="47">
        <v>50114671</v>
      </c>
      <c r="F5" s="47" t="s">
        <v>29</v>
      </c>
      <c r="G5" s="46">
        <v>372000</v>
      </c>
      <c r="H5" s="47">
        <v>2.6145</v>
      </c>
      <c r="I5" s="46">
        <f t="shared" si="0"/>
        <v>972594</v>
      </c>
      <c r="J5" s="46" t="s">
        <v>449</v>
      </c>
      <c r="K5" s="46"/>
      <c r="L5" s="46"/>
      <c r="M5" s="47">
        <v>24880091</v>
      </c>
      <c r="N5" s="48">
        <v>5425000000129</v>
      </c>
      <c r="O5" s="49">
        <v>45712</v>
      </c>
      <c r="P5" s="50">
        <v>1.2</v>
      </c>
      <c r="Q5" s="49">
        <v>46022</v>
      </c>
      <c r="R5" s="47"/>
      <c r="S5" s="51">
        <v>46040</v>
      </c>
      <c r="T5" s="47">
        <v>1</v>
      </c>
      <c r="U5" s="47">
        <v>1</v>
      </c>
      <c r="V5" s="47">
        <v>3</v>
      </c>
      <c r="W5" s="51">
        <f t="shared" ref="W5:W12" si="3">S5+T5+U5+V5</f>
        <v>46045</v>
      </c>
      <c r="X5" s="60"/>
    </row>
    <row r="6" spans="1:29" hidden="1">
      <c r="A6" s="46" t="s">
        <v>349</v>
      </c>
      <c r="B6" s="46" t="s">
        <v>459</v>
      </c>
      <c r="C6" s="47" t="s">
        <v>28</v>
      </c>
      <c r="D6" s="47" t="s">
        <v>28</v>
      </c>
      <c r="E6" s="47">
        <v>50081670</v>
      </c>
      <c r="F6" s="47" t="s">
        <v>30</v>
      </c>
      <c r="G6" s="46">
        <v>372000</v>
      </c>
      <c r="H6" s="47">
        <v>1.5583</v>
      </c>
      <c r="I6" s="46">
        <f t="shared" si="0"/>
        <v>579687.6</v>
      </c>
      <c r="J6" s="46" t="s">
        <v>449</v>
      </c>
      <c r="K6" s="46"/>
      <c r="L6" s="46"/>
      <c r="M6" s="47">
        <v>24880091</v>
      </c>
      <c r="N6" s="48">
        <v>5425000000129</v>
      </c>
      <c r="O6" s="49">
        <v>45712</v>
      </c>
      <c r="P6" s="50">
        <v>2.2000000000000002</v>
      </c>
      <c r="Q6" s="49">
        <v>46022</v>
      </c>
      <c r="R6" s="47"/>
      <c r="S6" s="51">
        <v>46040</v>
      </c>
      <c r="T6" s="47">
        <v>1</v>
      </c>
      <c r="U6" s="47">
        <v>1</v>
      </c>
      <c r="V6" s="47">
        <v>3</v>
      </c>
      <c r="W6" s="51">
        <f t="shared" si="3"/>
        <v>46045</v>
      </c>
      <c r="X6" s="60"/>
    </row>
    <row r="7" spans="1:29" hidden="1">
      <c r="A7" s="46" t="s">
        <v>349</v>
      </c>
      <c r="B7" s="46" t="s">
        <v>459</v>
      </c>
      <c r="C7" s="47" t="s">
        <v>28</v>
      </c>
      <c r="D7" s="47" t="s">
        <v>28</v>
      </c>
      <c r="E7" s="47">
        <v>50081938</v>
      </c>
      <c r="F7" s="47" t="s">
        <v>31</v>
      </c>
      <c r="G7" s="46">
        <v>372000</v>
      </c>
      <c r="H7" s="47">
        <v>0.75319999999999998</v>
      </c>
      <c r="I7" s="46">
        <f t="shared" si="0"/>
        <v>280190.39999999997</v>
      </c>
      <c r="J7" s="46" t="s">
        <v>449</v>
      </c>
      <c r="K7" s="46"/>
      <c r="L7" s="46"/>
      <c r="M7" s="47">
        <v>24880091</v>
      </c>
      <c r="N7" s="48">
        <v>5425000000129</v>
      </c>
      <c r="O7" s="49">
        <v>45712</v>
      </c>
      <c r="P7" s="50">
        <v>3.2</v>
      </c>
      <c r="Q7" s="49">
        <v>46022</v>
      </c>
      <c r="R7" s="47"/>
      <c r="S7" s="51">
        <v>46040</v>
      </c>
      <c r="T7" s="47">
        <v>1</v>
      </c>
      <c r="U7" s="47">
        <v>1</v>
      </c>
      <c r="V7" s="47">
        <v>3</v>
      </c>
      <c r="W7" s="51">
        <f t="shared" si="3"/>
        <v>46045</v>
      </c>
      <c r="X7" s="60"/>
    </row>
    <row r="8" spans="1:29" hidden="1">
      <c r="A8" s="46" t="s">
        <v>346</v>
      </c>
      <c r="B8" s="46" t="s">
        <v>457</v>
      </c>
      <c r="C8" s="47" t="s">
        <v>1</v>
      </c>
      <c r="D8" s="47" t="s">
        <v>1</v>
      </c>
      <c r="E8" s="47">
        <v>50113858</v>
      </c>
      <c r="F8" s="47" t="s">
        <v>34</v>
      </c>
      <c r="G8" s="46">
        <v>100000</v>
      </c>
      <c r="H8" s="47">
        <v>2.36</v>
      </c>
      <c r="I8" s="46">
        <f t="shared" si="0"/>
        <v>236000</v>
      </c>
      <c r="J8" s="46" t="s">
        <v>374</v>
      </c>
      <c r="K8" s="46"/>
      <c r="L8" s="46"/>
      <c r="M8" s="47">
        <v>25500034</v>
      </c>
      <c r="N8" s="48" t="s">
        <v>33</v>
      </c>
      <c r="O8" s="49">
        <v>45752</v>
      </c>
      <c r="P8" s="50">
        <v>1</v>
      </c>
      <c r="Q8" s="49">
        <v>46022</v>
      </c>
      <c r="R8" s="47" t="s">
        <v>463</v>
      </c>
      <c r="S8" s="52">
        <v>46032</v>
      </c>
      <c r="T8" s="47">
        <v>1</v>
      </c>
      <c r="U8" s="47">
        <v>1</v>
      </c>
      <c r="V8" s="47">
        <v>3</v>
      </c>
      <c r="W8" s="52">
        <f t="shared" si="3"/>
        <v>46037</v>
      </c>
      <c r="X8" s="59"/>
    </row>
    <row r="9" spans="1:29" hidden="1">
      <c r="A9" s="46" t="s">
        <v>346</v>
      </c>
      <c r="B9" s="46" t="s">
        <v>455</v>
      </c>
      <c r="C9" s="47" t="s">
        <v>41</v>
      </c>
      <c r="D9" s="47" t="s">
        <v>42</v>
      </c>
      <c r="E9" s="47">
        <v>50092585</v>
      </c>
      <c r="F9" s="47" t="s">
        <v>22</v>
      </c>
      <c r="G9" s="46">
        <v>20250</v>
      </c>
      <c r="H9" s="47">
        <v>3.5</v>
      </c>
      <c r="I9" s="46">
        <f t="shared" si="0"/>
        <v>70875</v>
      </c>
      <c r="J9" s="46" t="s">
        <v>374</v>
      </c>
      <c r="K9" s="46"/>
      <c r="L9" s="46"/>
      <c r="M9" s="47">
        <v>25500324</v>
      </c>
      <c r="N9" s="48" t="s">
        <v>40</v>
      </c>
      <c r="O9" s="49">
        <v>45807</v>
      </c>
      <c r="P9" s="50">
        <v>1</v>
      </c>
      <c r="Q9" s="49">
        <v>46022</v>
      </c>
      <c r="R9" s="47" t="s">
        <v>463</v>
      </c>
      <c r="S9" s="52">
        <v>46024</v>
      </c>
      <c r="T9" s="47">
        <v>1</v>
      </c>
      <c r="U9" s="47">
        <v>1</v>
      </c>
      <c r="V9" s="47">
        <v>3</v>
      </c>
      <c r="W9" s="52">
        <f t="shared" si="3"/>
        <v>46029</v>
      </c>
      <c r="X9" s="59"/>
    </row>
    <row r="10" spans="1:29" hidden="1">
      <c r="A10" s="46" t="s">
        <v>346</v>
      </c>
      <c r="B10" s="46" t="s">
        <v>455</v>
      </c>
      <c r="C10" s="47" t="s">
        <v>41</v>
      </c>
      <c r="D10" s="47" t="s">
        <v>42</v>
      </c>
      <c r="E10" s="47">
        <v>50091673</v>
      </c>
      <c r="F10" s="47" t="s">
        <v>2</v>
      </c>
      <c r="G10" s="46">
        <v>6000</v>
      </c>
      <c r="H10" s="47">
        <v>3.3</v>
      </c>
      <c r="I10" s="46">
        <f t="shared" si="0"/>
        <v>19800</v>
      </c>
      <c r="J10" s="46" t="s">
        <v>374</v>
      </c>
      <c r="K10" s="46"/>
      <c r="L10" s="46"/>
      <c r="M10" s="47">
        <v>25500324</v>
      </c>
      <c r="N10" s="48" t="s">
        <v>40</v>
      </c>
      <c r="O10" s="49">
        <v>45807</v>
      </c>
      <c r="P10" s="50">
        <v>2</v>
      </c>
      <c r="Q10" s="49">
        <v>46022</v>
      </c>
      <c r="R10" s="47" t="s">
        <v>463</v>
      </c>
      <c r="S10" s="52">
        <v>46024</v>
      </c>
      <c r="T10" s="47">
        <v>1</v>
      </c>
      <c r="U10" s="47">
        <v>1</v>
      </c>
      <c r="V10" s="47">
        <v>3</v>
      </c>
      <c r="W10" s="52">
        <f t="shared" si="3"/>
        <v>46029</v>
      </c>
      <c r="X10" s="59"/>
    </row>
    <row r="11" spans="1:29" hidden="1">
      <c r="A11" s="46" t="s">
        <v>346</v>
      </c>
      <c r="B11" s="46" t="s">
        <v>455</v>
      </c>
      <c r="C11" s="47" t="s">
        <v>41</v>
      </c>
      <c r="D11" s="47" t="s">
        <v>42</v>
      </c>
      <c r="E11" s="47">
        <v>50113756</v>
      </c>
      <c r="F11" s="47" t="s">
        <v>3</v>
      </c>
      <c r="G11" s="46">
        <v>36000</v>
      </c>
      <c r="H11" s="47">
        <v>2.2999999999999998</v>
      </c>
      <c r="I11" s="46">
        <f t="shared" si="0"/>
        <v>82800</v>
      </c>
      <c r="J11" s="46" t="s">
        <v>374</v>
      </c>
      <c r="K11" s="46"/>
      <c r="L11" s="46"/>
      <c r="M11" s="47">
        <v>25500324</v>
      </c>
      <c r="N11" s="48" t="s">
        <v>40</v>
      </c>
      <c r="O11" s="49">
        <v>45807</v>
      </c>
      <c r="P11" s="50">
        <v>3</v>
      </c>
      <c r="Q11" s="49">
        <v>46022</v>
      </c>
      <c r="R11" s="47" t="s">
        <v>463</v>
      </c>
      <c r="S11" s="52">
        <v>46024</v>
      </c>
      <c r="T11" s="47">
        <v>1</v>
      </c>
      <c r="U11" s="47">
        <v>1</v>
      </c>
      <c r="V11" s="47">
        <v>3</v>
      </c>
      <c r="W11" s="52">
        <f t="shared" si="3"/>
        <v>46029</v>
      </c>
      <c r="X11" s="59"/>
    </row>
    <row r="12" spans="1:29" hidden="1">
      <c r="A12" s="46" t="s">
        <v>346</v>
      </c>
      <c r="B12" s="46" t="s">
        <v>455</v>
      </c>
      <c r="C12" s="47" t="s">
        <v>41</v>
      </c>
      <c r="D12" s="47" t="s">
        <v>42</v>
      </c>
      <c r="E12" s="47">
        <v>50111596</v>
      </c>
      <c r="F12" s="47" t="s">
        <v>43</v>
      </c>
      <c r="G12" s="46">
        <v>36000</v>
      </c>
      <c r="H12" s="47">
        <v>1.8</v>
      </c>
      <c r="I12" s="46">
        <f t="shared" si="0"/>
        <v>64800</v>
      </c>
      <c r="J12" s="46" t="s">
        <v>374</v>
      </c>
      <c r="K12" s="46"/>
      <c r="L12" s="46"/>
      <c r="M12" s="47">
        <v>25500324</v>
      </c>
      <c r="N12" s="48" t="s">
        <v>40</v>
      </c>
      <c r="O12" s="49">
        <v>45807</v>
      </c>
      <c r="P12" s="50">
        <v>5</v>
      </c>
      <c r="Q12" s="49">
        <v>46022</v>
      </c>
      <c r="R12" s="47" t="s">
        <v>463</v>
      </c>
      <c r="S12" s="52">
        <v>46024</v>
      </c>
      <c r="T12" s="47">
        <v>1</v>
      </c>
      <c r="U12" s="47">
        <v>1</v>
      </c>
      <c r="V12" s="47">
        <v>3</v>
      </c>
      <c r="W12" s="52">
        <f t="shared" si="3"/>
        <v>46029</v>
      </c>
      <c r="X12" s="59"/>
    </row>
    <row r="13" spans="1:29" hidden="1">
      <c r="A13" s="46" t="s">
        <v>347</v>
      </c>
      <c r="B13" s="46" t="s">
        <v>457</v>
      </c>
      <c r="C13" s="47" t="s">
        <v>102</v>
      </c>
      <c r="D13" s="47" t="s">
        <v>102</v>
      </c>
      <c r="E13" s="47">
        <v>50110011</v>
      </c>
      <c r="F13" s="47" t="s">
        <v>101</v>
      </c>
      <c r="G13" s="46">
        <v>100000</v>
      </c>
      <c r="H13" s="47">
        <v>2.87</v>
      </c>
      <c r="I13" s="46">
        <f t="shared" si="0"/>
        <v>287000</v>
      </c>
      <c r="J13" s="46" t="s">
        <v>374</v>
      </c>
      <c r="K13" s="46">
        <v>80000</v>
      </c>
      <c r="L13" s="46"/>
      <c r="M13" s="47">
        <v>25501487</v>
      </c>
      <c r="N13" s="48">
        <v>4100313076</v>
      </c>
      <c r="O13" s="49">
        <v>45995</v>
      </c>
      <c r="P13" s="50">
        <v>2</v>
      </c>
      <c r="Q13" s="49">
        <v>46032</v>
      </c>
      <c r="R13" s="47"/>
      <c r="S13" s="52">
        <v>46028</v>
      </c>
      <c r="T13" s="47">
        <v>1</v>
      </c>
      <c r="U13" s="47">
        <v>1</v>
      </c>
      <c r="V13" s="47"/>
      <c r="W13" s="52">
        <f>S13+T13+U13</f>
        <v>46030</v>
      </c>
      <c r="X13" s="59"/>
    </row>
    <row r="14" spans="1:29" hidden="1">
      <c r="A14" s="46" t="s">
        <v>351</v>
      </c>
      <c r="B14" s="46" t="s">
        <v>457</v>
      </c>
      <c r="C14" s="47" t="s">
        <v>49</v>
      </c>
      <c r="D14" s="47" t="s">
        <v>49</v>
      </c>
      <c r="E14" s="47">
        <v>50110679</v>
      </c>
      <c r="F14" s="47" t="s">
        <v>47</v>
      </c>
      <c r="G14" s="46">
        <v>200000</v>
      </c>
      <c r="H14" s="47">
        <v>1.94</v>
      </c>
      <c r="I14" s="46">
        <f t="shared" si="0"/>
        <v>388000</v>
      </c>
      <c r="J14" s="46" t="s">
        <v>374</v>
      </c>
      <c r="K14" s="46"/>
      <c r="L14" s="46" t="s">
        <v>477</v>
      </c>
      <c r="M14" s="47">
        <v>25500397</v>
      </c>
      <c r="N14" s="48" t="s">
        <v>48</v>
      </c>
      <c r="O14" s="49">
        <v>45819</v>
      </c>
      <c r="P14" s="50">
        <v>1</v>
      </c>
      <c r="Q14" s="49">
        <v>46022</v>
      </c>
      <c r="R14" s="47" t="s">
        <v>462</v>
      </c>
      <c r="S14" s="51">
        <v>46038</v>
      </c>
      <c r="T14" s="47">
        <v>1</v>
      </c>
      <c r="U14" s="47">
        <v>1</v>
      </c>
      <c r="V14" s="47">
        <v>3</v>
      </c>
      <c r="W14" s="51">
        <f>S14+T14+U14+V14</f>
        <v>46043</v>
      </c>
      <c r="X14" s="60"/>
    </row>
    <row r="15" spans="1:29" hidden="1">
      <c r="A15" s="46" t="s">
        <v>351</v>
      </c>
      <c r="B15" s="46" t="s">
        <v>457</v>
      </c>
      <c r="C15" s="47" t="s">
        <v>49</v>
      </c>
      <c r="D15" s="47" t="s">
        <v>49</v>
      </c>
      <c r="E15" s="47">
        <v>50081903</v>
      </c>
      <c r="F15" s="47" t="s">
        <v>50</v>
      </c>
      <c r="G15" s="46">
        <v>200000</v>
      </c>
      <c r="H15" s="47">
        <v>0.63</v>
      </c>
      <c r="I15" s="46">
        <f t="shared" si="0"/>
        <v>126000</v>
      </c>
      <c r="J15" s="46" t="s">
        <v>374</v>
      </c>
      <c r="K15" s="46"/>
      <c r="L15" s="46" t="s">
        <v>477</v>
      </c>
      <c r="M15" s="47">
        <v>25500397</v>
      </c>
      <c r="N15" s="48" t="s">
        <v>48</v>
      </c>
      <c r="O15" s="49">
        <v>45819</v>
      </c>
      <c r="P15" s="50">
        <v>2</v>
      </c>
      <c r="Q15" s="49">
        <v>46022</v>
      </c>
      <c r="R15" s="47" t="s">
        <v>463</v>
      </c>
      <c r="S15" s="51">
        <v>46038</v>
      </c>
      <c r="T15" s="47">
        <v>1</v>
      </c>
      <c r="U15" s="47">
        <v>1</v>
      </c>
      <c r="V15" s="47">
        <v>3</v>
      </c>
      <c r="W15" s="51">
        <f>S15+T15+U15+V15</f>
        <v>46043</v>
      </c>
      <c r="X15" s="60"/>
    </row>
    <row r="16" spans="1:29" hidden="1">
      <c r="A16" s="46" t="s">
        <v>351</v>
      </c>
      <c r="B16" s="46" t="s">
        <v>457</v>
      </c>
      <c r="C16" s="47" t="s">
        <v>49</v>
      </c>
      <c r="D16" s="47" t="s">
        <v>49</v>
      </c>
      <c r="E16" s="47">
        <v>50099121</v>
      </c>
      <c r="F16" s="47" t="s">
        <v>51</v>
      </c>
      <c r="G16" s="46">
        <v>200000</v>
      </c>
      <c r="H16" s="47">
        <v>0.28000000000000003</v>
      </c>
      <c r="I16" s="46">
        <f t="shared" si="0"/>
        <v>56000.000000000007</v>
      </c>
      <c r="J16" s="46" t="s">
        <v>374</v>
      </c>
      <c r="K16" s="46"/>
      <c r="L16" s="46" t="s">
        <v>477</v>
      </c>
      <c r="M16" s="47">
        <v>25500397</v>
      </c>
      <c r="N16" s="48" t="s">
        <v>48</v>
      </c>
      <c r="O16" s="49">
        <v>45819</v>
      </c>
      <c r="P16" s="50">
        <v>3</v>
      </c>
      <c r="Q16" s="49">
        <v>46022</v>
      </c>
      <c r="R16" s="47" t="s">
        <v>463</v>
      </c>
      <c r="S16" s="51">
        <v>46038</v>
      </c>
      <c r="T16" s="47">
        <v>1</v>
      </c>
      <c r="U16" s="47">
        <v>1</v>
      </c>
      <c r="V16" s="47">
        <v>3</v>
      </c>
      <c r="W16" s="51">
        <f>S16+T16+U16+V16</f>
        <v>46043</v>
      </c>
      <c r="X16" s="60"/>
    </row>
    <row r="17" spans="1:24" hidden="1">
      <c r="A17" s="46" t="s">
        <v>351</v>
      </c>
      <c r="B17" s="46" t="s">
        <v>457</v>
      </c>
      <c r="C17" s="47" t="s">
        <v>49</v>
      </c>
      <c r="D17" s="47" t="s">
        <v>49</v>
      </c>
      <c r="E17" s="47">
        <v>50110679</v>
      </c>
      <c r="F17" s="47" t="s">
        <v>47</v>
      </c>
      <c r="G17" s="46">
        <v>200000</v>
      </c>
      <c r="H17" s="47">
        <v>1.94</v>
      </c>
      <c r="I17" s="46">
        <f t="shared" si="0"/>
        <v>388000</v>
      </c>
      <c r="J17" s="46" t="s">
        <v>374</v>
      </c>
      <c r="K17" s="46"/>
      <c r="L17" s="46"/>
      <c r="M17" s="47">
        <v>25500397</v>
      </c>
      <c r="N17" s="48" t="s">
        <v>48</v>
      </c>
      <c r="O17" s="49">
        <v>45819</v>
      </c>
      <c r="P17" s="50">
        <v>1</v>
      </c>
      <c r="Q17" s="49">
        <v>46022</v>
      </c>
      <c r="R17" s="47" t="s">
        <v>462</v>
      </c>
      <c r="S17" s="51">
        <v>46033</v>
      </c>
      <c r="T17" s="47">
        <v>1</v>
      </c>
      <c r="U17" s="47">
        <v>1</v>
      </c>
      <c r="V17" s="47">
        <v>3</v>
      </c>
      <c r="W17" s="51">
        <v>46044</v>
      </c>
      <c r="X17" s="60"/>
    </row>
    <row r="18" spans="1:24" hidden="1">
      <c r="A18" s="46" t="s">
        <v>351</v>
      </c>
      <c r="B18" s="46" t="s">
        <v>457</v>
      </c>
      <c r="C18" s="47" t="s">
        <v>49</v>
      </c>
      <c r="D18" s="47" t="s">
        <v>49</v>
      </c>
      <c r="E18" s="47">
        <v>50081903</v>
      </c>
      <c r="F18" s="47" t="s">
        <v>50</v>
      </c>
      <c r="G18" s="46">
        <v>300000</v>
      </c>
      <c r="H18" s="47">
        <v>0.63</v>
      </c>
      <c r="I18" s="46">
        <f t="shared" si="0"/>
        <v>189000</v>
      </c>
      <c r="J18" s="46" t="s">
        <v>374</v>
      </c>
      <c r="K18" s="46"/>
      <c r="L18" s="46" t="s">
        <v>477</v>
      </c>
      <c r="M18" s="47">
        <v>25500397</v>
      </c>
      <c r="N18" s="48" t="s">
        <v>48</v>
      </c>
      <c r="O18" s="49">
        <v>45819</v>
      </c>
      <c r="P18" s="50">
        <v>2</v>
      </c>
      <c r="Q18" s="49">
        <v>46022</v>
      </c>
      <c r="R18" s="47" t="s">
        <v>463</v>
      </c>
      <c r="S18" s="51">
        <v>46033</v>
      </c>
      <c r="T18" s="47">
        <v>1</v>
      </c>
      <c r="U18" s="47">
        <v>1</v>
      </c>
      <c r="V18" s="47">
        <v>3</v>
      </c>
      <c r="W18" s="51">
        <v>46044</v>
      </c>
      <c r="X18" s="60"/>
    </row>
    <row r="19" spans="1:24" hidden="1">
      <c r="A19" s="46" t="s">
        <v>351</v>
      </c>
      <c r="B19" s="46" t="s">
        <v>457</v>
      </c>
      <c r="C19" s="47" t="s">
        <v>49</v>
      </c>
      <c r="D19" s="47" t="s">
        <v>49</v>
      </c>
      <c r="E19" s="47">
        <v>50099121</v>
      </c>
      <c r="F19" s="47" t="s">
        <v>51</v>
      </c>
      <c r="G19" s="46">
        <v>300000</v>
      </c>
      <c r="H19" s="47">
        <v>0.28000000000000003</v>
      </c>
      <c r="I19" s="46">
        <f t="shared" si="0"/>
        <v>84000.000000000015</v>
      </c>
      <c r="J19" s="46" t="s">
        <v>374</v>
      </c>
      <c r="K19" s="46"/>
      <c r="L19" s="46" t="s">
        <v>477</v>
      </c>
      <c r="M19" s="47">
        <v>25500397</v>
      </c>
      <c r="N19" s="48" t="s">
        <v>48</v>
      </c>
      <c r="O19" s="49">
        <v>45819</v>
      </c>
      <c r="P19" s="50">
        <v>3</v>
      </c>
      <c r="Q19" s="49">
        <v>46022</v>
      </c>
      <c r="R19" s="47" t="s">
        <v>463</v>
      </c>
      <c r="S19" s="51">
        <v>46033</v>
      </c>
      <c r="T19" s="47">
        <v>1</v>
      </c>
      <c r="U19" s="47">
        <v>1</v>
      </c>
      <c r="V19" s="47">
        <v>3</v>
      </c>
      <c r="W19" s="51">
        <v>46044</v>
      </c>
      <c r="X19" s="60"/>
    </row>
    <row r="20" spans="1:24" hidden="1">
      <c r="A20" s="46" t="s">
        <v>349</v>
      </c>
      <c r="B20" s="46" t="s">
        <v>455</v>
      </c>
      <c r="C20" s="47" t="s">
        <v>54</v>
      </c>
      <c r="D20" s="47" t="s">
        <v>54</v>
      </c>
      <c r="E20" s="47">
        <v>50114671</v>
      </c>
      <c r="F20" s="47" t="s">
        <v>29</v>
      </c>
      <c r="G20" s="46">
        <v>25350</v>
      </c>
      <c r="H20" s="47">
        <v>3.75</v>
      </c>
      <c r="I20" s="46">
        <f t="shared" si="0"/>
        <v>95062.5</v>
      </c>
      <c r="J20" s="46" t="s">
        <v>374</v>
      </c>
      <c r="K20" s="46"/>
      <c r="L20" s="46" t="s">
        <v>477</v>
      </c>
      <c r="M20" s="47">
        <v>25500426</v>
      </c>
      <c r="N20" s="48" t="s">
        <v>53</v>
      </c>
      <c r="O20" s="49">
        <v>45822</v>
      </c>
      <c r="P20" s="50">
        <v>4</v>
      </c>
      <c r="Q20" s="49">
        <v>46022</v>
      </c>
      <c r="R20" s="47" t="s">
        <v>463</v>
      </c>
      <c r="S20" s="51">
        <v>46026</v>
      </c>
      <c r="T20" s="47">
        <v>1</v>
      </c>
      <c r="U20" s="47">
        <v>1</v>
      </c>
      <c r="V20" s="47">
        <v>3</v>
      </c>
      <c r="W20" s="51">
        <f t="shared" ref="W20:W49" si="4">S20+T20+U20+V20</f>
        <v>46031</v>
      </c>
      <c r="X20" s="60"/>
    </row>
    <row r="21" spans="1:24" hidden="1">
      <c r="A21" s="46" t="s">
        <v>349</v>
      </c>
      <c r="B21" s="46" t="s">
        <v>455</v>
      </c>
      <c r="C21" s="47" t="s">
        <v>54</v>
      </c>
      <c r="D21" s="47" t="s">
        <v>54</v>
      </c>
      <c r="E21" s="47">
        <v>50081723</v>
      </c>
      <c r="F21" s="47" t="s">
        <v>55</v>
      </c>
      <c r="G21" s="46">
        <v>25350</v>
      </c>
      <c r="H21" s="47">
        <v>2.85</v>
      </c>
      <c r="I21" s="46">
        <f t="shared" si="0"/>
        <v>72247.5</v>
      </c>
      <c r="J21" s="46" t="s">
        <v>374</v>
      </c>
      <c r="K21" s="46"/>
      <c r="L21" s="46" t="s">
        <v>477</v>
      </c>
      <c r="M21" s="47">
        <v>25500426</v>
      </c>
      <c r="N21" s="48" t="s">
        <v>53</v>
      </c>
      <c r="O21" s="49">
        <v>45822</v>
      </c>
      <c r="P21" s="50">
        <v>5</v>
      </c>
      <c r="Q21" s="49">
        <v>46022</v>
      </c>
      <c r="R21" s="47" t="s">
        <v>463</v>
      </c>
      <c r="S21" s="51">
        <v>46026</v>
      </c>
      <c r="T21" s="47">
        <v>1</v>
      </c>
      <c r="U21" s="47">
        <v>1</v>
      </c>
      <c r="V21" s="47">
        <v>3</v>
      </c>
      <c r="W21" s="51">
        <f t="shared" si="4"/>
        <v>46031</v>
      </c>
      <c r="X21" s="60"/>
    </row>
    <row r="22" spans="1:24" hidden="1">
      <c r="A22" s="46" t="s">
        <v>349</v>
      </c>
      <c r="B22" s="46" t="s">
        <v>455</v>
      </c>
      <c r="C22" s="47" t="s">
        <v>54</v>
      </c>
      <c r="D22" s="47" t="s">
        <v>54</v>
      </c>
      <c r="E22" s="47">
        <v>50113649</v>
      </c>
      <c r="F22" s="47" t="s">
        <v>56</v>
      </c>
      <c r="G22" s="46">
        <v>25350</v>
      </c>
      <c r="H22" s="47">
        <v>2</v>
      </c>
      <c r="I22" s="46">
        <f t="shared" si="0"/>
        <v>50700</v>
      </c>
      <c r="J22" s="46" t="s">
        <v>374</v>
      </c>
      <c r="K22" s="46"/>
      <c r="L22" s="46" t="s">
        <v>477</v>
      </c>
      <c r="M22" s="47">
        <v>25500426</v>
      </c>
      <c r="N22" s="48" t="s">
        <v>53</v>
      </c>
      <c r="O22" s="49">
        <v>45822</v>
      </c>
      <c r="P22" s="50">
        <v>6</v>
      </c>
      <c r="Q22" s="49">
        <v>46022</v>
      </c>
      <c r="R22" s="47" t="s">
        <v>463</v>
      </c>
      <c r="S22" s="51">
        <v>46026</v>
      </c>
      <c r="T22" s="47">
        <v>1</v>
      </c>
      <c r="U22" s="47">
        <v>1</v>
      </c>
      <c r="V22" s="47">
        <v>3</v>
      </c>
      <c r="W22" s="51">
        <f t="shared" si="4"/>
        <v>46031</v>
      </c>
      <c r="X22" s="60"/>
    </row>
    <row r="23" spans="1:24" hidden="1">
      <c r="A23" s="46" t="s">
        <v>351</v>
      </c>
      <c r="B23" s="46" t="s">
        <v>455</v>
      </c>
      <c r="C23" s="47" t="s">
        <v>58</v>
      </c>
      <c r="D23" s="47" t="s">
        <v>58</v>
      </c>
      <c r="E23" s="47">
        <v>50111528</v>
      </c>
      <c r="F23" s="47" t="s">
        <v>38</v>
      </c>
      <c r="G23" s="46">
        <v>299750</v>
      </c>
      <c r="H23" s="47">
        <v>2.0499999999999998</v>
      </c>
      <c r="I23" s="46">
        <f t="shared" si="0"/>
        <v>614487.5</v>
      </c>
      <c r="J23" s="46" t="s">
        <v>374</v>
      </c>
      <c r="K23" s="46"/>
      <c r="L23" s="46"/>
      <c r="M23" s="47">
        <v>25500442</v>
      </c>
      <c r="N23" s="48" t="s">
        <v>57</v>
      </c>
      <c r="O23" s="49">
        <v>45825</v>
      </c>
      <c r="P23" s="50">
        <v>4.0999999999999996</v>
      </c>
      <c r="Q23" s="49">
        <v>45995</v>
      </c>
      <c r="R23" s="47" t="s">
        <v>462</v>
      </c>
      <c r="S23" s="51">
        <v>46039</v>
      </c>
      <c r="T23" s="47">
        <v>1</v>
      </c>
      <c r="U23" s="47">
        <v>1</v>
      </c>
      <c r="V23" s="47">
        <v>3</v>
      </c>
      <c r="W23" s="51">
        <f t="shared" si="4"/>
        <v>46044</v>
      </c>
      <c r="X23" s="60"/>
    </row>
    <row r="24" spans="1:24" hidden="1">
      <c r="A24" s="46" t="s">
        <v>351</v>
      </c>
      <c r="B24" s="46" t="s">
        <v>455</v>
      </c>
      <c r="C24" s="47" t="s">
        <v>58</v>
      </c>
      <c r="D24" s="47" t="s">
        <v>58</v>
      </c>
      <c r="E24" s="47">
        <v>50081808</v>
      </c>
      <c r="F24" s="47" t="s">
        <v>23</v>
      </c>
      <c r="G24" s="46">
        <v>298850</v>
      </c>
      <c r="H24" s="47">
        <v>0.75</v>
      </c>
      <c r="I24" s="46">
        <f t="shared" si="0"/>
        <v>224137.5</v>
      </c>
      <c r="J24" s="46" t="s">
        <v>374</v>
      </c>
      <c r="K24" s="46"/>
      <c r="L24" s="46"/>
      <c r="M24" s="47">
        <v>25500442</v>
      </c>
      <c r="N24" s="48" t="s">
        <v>57</v>
      </c>
      <c r="O24" s="49">
        <v>45825</v>
      </c>
      <c r="P24" s="50">
        <v>5.0999999999999996</v>
      </c>
      <c r="Q24" s="49">
        <v>45995</v>
      </c>
      <c r="R24" s="47" t="s">
        <v>462</v>
      </c>
      <c r="S24" s="51">
        <v>46039</v>
      </c>
      <c r="T24" s="47">
        <v>1</v>
      </c>
      <c r="U24" s="47">
        <v>1</v>
      </c>
      <c r="V24" s="47">
        <v>3</v>
      </c>
      <c r="W24" s="51">
        <f t="shared" si="4"/>
        <v>46044</v>
      </c>
      <c r="X24" s="60"/>
    </row>
    <row r="25" spans="1:24" hidden="1">
      <c r="A25" s="46" t="s">
        <v>351</v>
      </c>
      <c r="B25" s="46" t="s">
        <v>455</v>
      </c>
      <c r="C25" s="47" t="s">
        <v>58</v>
      </c>
      <c r="D25" s="47" t="s">
        <v>58</v>
      </c>
      <c r="E25" s="47">
        <v>50111939</v>
      </c>
      <c r="F25" s="47" t="s">
        <v>39</v>
      </c>
      <c r="G25" s="46">
        <v>299850</v>
      </c>
      <c r="H25" s="47">
        <v>0.31</v>
      </c>
      <c r="I25" s="46">
        <f t="shared" si="0"/>
        <v>92953.5</v>
      </c>
      <c r="J25" s="46" t="s">
        <v>374</v>
      </c>
      <c r="K25" s="46"/>
      <c r="L25" s="46"/>
      <c r="M25" s="47">
        <v>25500442</v>
      </c>
      <c r="N25" s="48" t="s">
        <v>57</v>
      </c>
      <c r="O25" s="49">
        <v>45825</v>
      </c>
      <c r="P25" s="50">
        <v>6.1</v>
      </c>
      <c r="Q25" s="49">
        <v>45995</v>
      </c>
      <c r="R25" s="47" t="s">
        <v>462</v>
      </c>
      <c r="S25" s="51">
        <v>46039</v>
      </c>
      <c r="T25" s="47">
        <v>1</v>
      </c>
      <c r="U25" s="47">
        <v>1</v>
      </c>
      <c r="V25" s="47">
        <v>3</v>
      </c>
      <c r="W25" s="51">
        <f t="shared" si="4"/>
        <v>46044</v>
      </c>
      <c r="X25" s="60"/>
    </row>
    <row r="26" spans="1:24" hidden="1">
      <c r="A26" s="46" t="s">
        <v>351</v>
      </c>
      <c r="B26" s="46" t="s">
        <v>455</v>
      </c>
      <c r="C26" s="47" t="s">
        <v>58</v>
      </c>
      <c r="D26" s="47" t="s">
        <v>58</v>
      </c>
      <c r="E26" s="47">
        <v>50111528</v>
      </c>
      <c r="F26" s="47" t="s">
        <v>38</v>
      </c>
      <c r="G26" s="46">
        <v>500000</v>
      </c>
      <c r="H26" s="47">
        <v>2.0499999999999998</v>
      </c>
      <c r="I26" s="46">
        <f t="shared" si="0"/>
        <v>1024999.9999999999</v>
      </c>
      <c r="J26" s="46" t="s">
        <v>374</v>
      </c>
      <c r="K26" s="46"/>
      <c r="L26" s="46"/>
      <c r="M26" s="47">
        <v>25500442</v>
      </c>
      <c r="N26" s="48" t="s">
        <v>57</v>
      </c>
      <c r="O26" s="49">
        <v>45825</v>
      </c>
      <c r="P26" s="50">
        <v>7</v>
      </c>
      <c r="Q26" s="49">
        <v>46026</v>
      </c>
      <c r="R26" s="47" t="s">
        <v>462</v>
      </c>
      <c r="S26" s="51">
        <v>46042</v>
      </c>
      <c r="T26" s="47">
        <v>1</v>
      </c>
      <c r="U26" s="47">
        <v>1</v>
      </c>
      <c r="V26" s="47">
        <v>3</v>
      </c>
      <c r="W26" s="51">
        <f t="shared" si="4"/>
        <v>46047</v>
      </c>
      <c r="X26" s="60"/>
    </row>
    <row r="27" spans="1:24" hidden="1">
      <c r="A27" s="46" t="s">
        <v>351</v>
      </c>
      <c r="B27" s="46" t="s">
        <v>455</v>
      </c>
      <c r="C27" s="47" t="s">
        <v>58</v>
      </c>
      <c r="D27" s="47" t="s">
        <v>58</v>
      </c>
      <c r="E27" s="47">
        <v>50081808</v>
      </c>
      <c r="F27" s="47" t="s">
        <v>23</v>
      </c>
      <c r="G27" s="46">
        <v>500000</v>
      </c>
      <c r="H27" s="47">
        <v>0.75</v>
      </c>
      <c r="I27" s="46">
        <f t="shared" si="0"/>
        <v>375000</v>
      </c>
      <c r="J27" s="46" t="s">
        <v>374</v>
      </c>
      <c r="K27" s="46"/>
      <c r="L27" s="46"/>
      <c r="M27" s="47">
        <v>25500442</v>
      </c>
      <c r="N27" s="48" t="s">
        <v>57</v>
      </c>
      <c r="O27" s="49">
        <v>45825</v>
      </c>
      <c r="P27" s="50">
        <v>8</v>
      </c>
      <c r="Q27" s="49">
        <v>46026</v>
      </c>
      <c r="R27" s="47" t="s">
        <v>462</v>
      </c>
      <c r="S27" s="51">
        <v>46042</v>
      </c>
      <c r="T27" s="47">
        <v>1</v>
      </c>
      <c r="U27" s="47">
        <v>1</v>
      </c>
      <c r="V27" s="47">
        <v>3</v>
      </c>
      <c r="W27" s="51">
        <f t="shared" si="4"/>
        <v>46047</v>
      </c>
      <c r="X27" s="60"/>
    </row>
    <row r="28" spans="1:24" hidden="1">
      <c r="A28" s="46" t="s">
        <v>351</v>
      </c>
      <c r="B28" s="46" t="s">
        <v>455</v>
      </c>
      <c r="C28" s="47" t="s">
        <v>58</v>
      </c>
      <c r="D28" s="47" t="s">
        <v>58</v>
      </c>
      <c r="E28" s="47">
        <v>50111939</v>
      </c>
      <c r="F28" s="47" t="s">
        <v>39</v>
      </c>
      <c r="G28" s="46">
        <v>500000</v>
      </c>
      <c r="H28" s="47">
        <v>0.31</v>
      </c>
      <c r="I28" s="46">
        <f t="shared" si="0"/>
        <v>155000</v>
      </c>
      <c r="J28" s="46" t="s">
        <v>374</v>
      </c>
      <c r="K28" s="46"/>
      <c r="L28" s="46"/>
      <c r="M28" s="47">
        <v>25500442</v>
      </c>
      <c r="N28" s="48" t="s">
        <v>57</v>
      </c>
      <c r="O28" s="49">
        <v>45825</v>
      </c>
      <c r="P28" s="50">
        <v>9</v>
      </c>
      <c r="Q28" s="49">
        <v>46026</v>
      </c>
      <c r="R28" s="47" t="s">
        <v>462</v>
      </c>
      <c r="S28" s="51">
        <v>46042</v>
      </c>
      <c r="T28" s="47">
        <v>1</v>
      </c>
      <c r="U28" s="47">
        <v>1</v>
      </c>
      <c r="V28" s="47">
        <v>3</v>
      </c>
      <c r="W28" s="51">
        <f t="shared" si="4"/>
        <v>46047</v>
      </c>
      <c r="X28" s="60"/>
    </row>
    <row r="29" spans="1:24" hidden="1">
      <c r="A29" s="46" t="s">
        <v>351</v>
      </c>
      <c r="B29" s="46" t="s">
        <v>457</v>
      </c>
      <c r="C29" s="47" t="s">
        <v>313</v>
      </c>
      <c r="D29" s="47" t="s">
        <v>313</v>
      </c>
      <c r="E29" s="47">
        <v>50082077</v>
      </c>
      <c r="F29" s="47" t="s">
        <v>59</v>
      </c>
      <c r="G29" s="46">
        <v>17800</v>
      </c>
      <c r="H29" s="47">
        <v>0.26</v>
      </c>
      <c r="I29" s="46">
        <f t="shared" si="0"/>
        <v>4628</v>
      </c>
      <c r="J29" s="46" t="s">
        <v>374</v>
      </c>
      <c r="K29" s="46"/>
      <c r="L29" s="46"/>
      <c r="M29" s="47">
        <v>25500528</v>
      </c>
      <c r="N29" s="48">
        <v>2500228758</v>
      </c>
      <c r="O29" s="49">
        <v>45839</v>
      </c>
      <c r="P29" s="50">
        <v>1.2</v>
      </c>
      <c r="Q29" s="49">
        <v>46022</v>
      </c>
      <c r="R29" s="47" t="s">
        <v>462</v>
      </c>
      <c r="S29" s="51">
        <v>46041</v>
      </c>
      <c r="T29" s="47">
        <v>1</v>
      </c>
      <c r="U29" s="47">
        <v>1</v>
      </c>
      <c r="V29" s="47">
        <v>3</v>
      </c>
      <c r="W29" s="51">
        <f t="shared" si="4"/>
        <v>46046</v>
      </c>
      <c r="X29" s="60"/>
    </row>
    <row r="30" spans="1:24" hidden="1">
      <c r="A30" s="46" t="s">
        <v>351</v>
      </c>
      <c r="B30" s="46" t="s">
        <v>457</v>
      </c>
      <c r="C30" s="47" t="s">
        <v>49</v>
      </c>
      <c r="D30" s="47" t="s">
        <v>49</v>
      </c>
      <c r="E30" s="47">
        <v>50082175</v>
      </c>
      <c r="F30" s="47" t="s">
        <v>298</v>
      </c>
      <c r="G30" s="46">
        <v>100000</v>
      </c>
      <c r="H30" s="47">
        <v>1.74</v>
      </c>
      <c r="I30" s="46">
        <f t="shared" si="0"/>
        <v>174000</v>
      </c>
      <c r="J30" s="46" t="s">
        <v>375</v>
      </c>
      <c r="K30" s="46"/>
      <c r="L30" s="46" t="s">
        <v>482</v>
      </c>
      <c r="M30" s="47">
        <v>25500132</v>
      </c>
      <c r="N30" s="48" t="s">
        <v>322</v>
      </c>
      <c r="O30" s="49">
        <v>45912</v>
      </c>
      <c r="P30" s="50">
        <v>1</v>
      </c>
      <c r="Q30" s="49">
        <v>45933</v>
      </c>
      <c r="R30" s="47" t="s">
        <v>462</v>
      </c>
      <c r="S30" s="51">
        <v>46024</v>
      </c>
      <c r="T30" s="47">
        <v>1</v>
      </c>
      <c r="U30" s="47">
        <v>1</v>
      </c>
      <c r="V30" s="47">
        <v>3</v>
      </c>
      <c r="W30" s="51">
        <f t="shared" si="4"/>
        <v>46029</v>
      </c>
      <c r="X30" s="60"/>
    </row>
    <row r="31" spans="1:24" hidden="1">
      <c r="A31" s="46" t="s">
        <v>351</v>
      </c>
      <c r="B31" s="46" t="s">
        <v>457</v>
      </c>
      <c r="C31" s="47" t="s">
        <v>49</v>
      </c>
      <c r="D31" s="47" t="s">
        <v>49</v>
      </c>
      <c r="E31" s="47">
        <v>50082175</v>
      </c>
      <c r="F31" s="47" t="s">
        <v>298</v>
      </c>
      <c r="G31" s="46">
        <v>100000</v>
      </c>
      <c r="H31" s="47">
        <v>1.74</v>
      </c>
      <c r="I31" s="46">
        <f t="shared" si="0"/>
        <v>174000</v>
      </c>
      <c r="J31" s="46" t="s">
        <v>375</v>
      </c>
      <c r="K31" s="46"/>
      <c r="L31" s="46" t="s">
        <v>482</v>
      </c>
      <c r="M31" s="47">
        <v>25500132</v>
      </c>
      <c r="N31" s="48" t="s">
        <v>322</v>
      </c>
      <c r="O31" s="49">
        <v>45912</v>
      </c>
      <c r="P31" s="50">
        <v>1</v>
      </c>
      <c r="Q31" s="49">
        <v>45933</v>
      </c>
      <c r="R31" s="47" t="s">
        <v>462</v>
      </c>
      <c r="S31" s="51">
        <v>46024</v>
      </c>
      <c r="T31" s="47">
        <v>1</v>
      </c>
      <c r="U31" s="47">
        <v>1</v>
      </c>
      <c r="V31" s="47">
        <v>3</v>
      </c>
      <c r="W31" s="51">
        <f t="shared" si="4"/>
        <v>46029</v>
      </c>
      <c r="X31" s="60"/>
    </row>
    <row r="32" spans="1:24" hidden="1">
      <c r="A32" s="46" t="s">
        <v>351</v>
      </c>
      <c r="B32" s="46" t="s">
        <v>457</v>
      </c>
      <c r="C32" s="47" t="s">
        <v>49</v>
      </c>
      <c r="D32" s="47" t="s">
        <v>49</v>
      </c>
      <c r="E32" s="47">
        <v>50099121</v>
      </c>
      <c r="F32" s="47" t="s">
        <v>51</v>
      </c>
      <c r="G32" s="46">
        <v>200000</v>
      </c>
      <c r="H32" s="47">
        <v>0.28000000000000003</v>
      </c>
      <c r="I32" s="46">
        <f t="shared" si="0"/>
        <v>56000.000000000007</v>
      </c>
      <c r="J32" s="46" t="s">
        <v>467</v>
      </c>
      <c r="K32" s="46"/>
      <c r="L32" s="46" t="s">
        <v>482</v>
      </c>
      <c r="M32" s="47">
        <v>25500659</v>
      </c>
      <c r="N32" s="48" t="s">
        <v>63</v>
      </c>
      <c r="O32" s="49">
        <v>45860</v>
      </c>
      <c r="P32" s="50">
        <v>2</v>
      </c>
      <c r="Q32" s="49">
        <v>46022</v>
      </c>
      <c r="R32" s="47" t="s">
        <v>463</v>
      </c>
      <c r="S32" s="51">
        <v>46024</v>
      </c>
      <c r="T32" s="47">
        <v>1</v>
      </c>
      <c r="U32" s="47">
        <v>1</v>
      </c>
      <c r="V32" s="47">
        <v>3</v>
      </c>
      <c r="W32" s="51">
        <f t="shared" si="4"/>
        <v>46029</v>
      </c>
      <c r="X32" s="60"/>
    </row>
    <row r="33" spans="1:24" hidden="1">
      <c r="A33" s="46" t="s">
        <v>351</v>
      </c>
      <c r="B33" s="46" t="s">
        <v>457</v>
      </c>
      <c r="C33" s="47" t="s">
        <v>49</v>
      </c>
      <c r="D33" s="47" t="s">
        <v>49</v>
      </c>
      <c r="E33" s="47">
        <v>50081903</v>
      </c>
      <c r="F33" s="47" t="s">
        <v>50</v>
      </c>
      <c r="G33" s="46">
        <v>200000</v>
      </c>
      <c r="H33" s="47">
        <v>0.63</v>
      </c>
      <c r="I33" s="46">
        <f t="shared" si="0"/>
        <v>126000</v>
      </c>
      <c r="J33" s="46" t="s">
        <v>467</v>
      </c>
      <c r="K33" s="46"/>
      <c r="L33" s="46" t="s">
        <v>482</v>
      </c>
      <c r="M33" s="47">
        <v>25500659</v>
      </c>
      <c r="N33" s="48" t="s">
        <v>63</v>
      </c>
      <c r="O33" s="49">
        <v>45860</v>
      </c>
      <c r="P33" s="50">
        <v>3</v>
      </c>
      <c r="Q33" s="49">
        <v>46022</v>
      </c>
      <c r="R33" s="47" t="s">
        <v>463</v>
      </c>
      <c r="S33" s="51">
        <v>46024</v>
      </c>
      <c r="T33" s="47">
        <v>1</v>
      </c>
      <c r="U33" s="47">
        <v>1</v>
      </c>
      <c r="V33" s="47">
        <v>3</v>
      </c>
      <c r="W33" s="51">
        <f t="shared" si="4"/>
        <v>46029</v>
      </c>
      <c r="X33" s="60"/>
    </row>
    <row r="34" spans="1:24" hidden="1">
      <c r="A34" s="46" t="s">
        <v>346</v>
      </c>
      <c r="B34" s="46" t="s">
        <v>455</v>
      </c>
      <c r="C34" s="47" t="s">
        <v>65</v>
      </c>
      <c r="D34" s="47" t="s">
        <v>65</v>
      </c>
      <c r="E34" s="47">
        <v>50114309</v>
      </c>
      <c r="F34" s="47" t="s">
        <v>66</v>
      </c>
      <c r="G34" s="46">
        <v>2000</v>
      </c>
      <c r="H34" s="47">
        <v>3.6</v>
      </c>
      <c r="I34" s="46">
        <f t="shared" si="0"/>
        <v>7200</v>
      </c>
      <c r="J34" s="46" t="s">
        <v>374</v>
      </c>
      <c r="K34" s="46"/>
      <c r="L34" s="46"/>
      <c r="M34" s="47">
        <v>25500663</v>
      </c>
      <c r="N34" s="48" t="s">
        <v>64</v>
      </c>
      <c r="O34" s="49">
        <v>45860</v>
      </c>
      <c r="P34" s="50">
        <v>1</v>
      </c>
      <c r="Q34" s="49">
        <v>46022</v>
      </c>
      <c r="R34" s="47" t="s">
        <v>463</v>
      </c>
      <c r="S34" s="51">
        <v>46032</v>
      </c>
      <c r="T34" s="47">
        <v>1</v>
      </c>
      <c r="U34" s="47">
        <v>1</v>
      </c>
      <c r="V34" s="47">
        <v>3</v>
      </c>
      <c r="W34" s="52">
        <f t="shared" si="4"/>
        <v>46037</v>
      </c>
      <c r="X34" s="59"/>
    </row>
    <row r="35" spans="1:24" hidden="1">
      <c r="A35" s="46" t="s">
        <v>346</v>
      </c>
      <c r="B35" s="46" t="s">
        <v>455</v>
      </c>
      <c r="C35" s="47" t="s">
        <v>65</v>
      </c>
      <c r="D35" s="47" t="s">
        <v>65</v>
      </c>
      <c r="E35" s="47">
        <v>50113737</v>
      </c>
      <c r="F35" s="47" t="s">
        <v>67</v>
      </c>
      <c r="G35" s="46">
        <v>2000</v>
      </c>
      <c r="H35" s="47">
        <v>2.85</v>
      </c>
      <c r="I35" s="46">
        <f t="shared" si="0"/>
        <v>5700</v>
      </c>
      <c r="J35" s="46" t="s">
        <v>374</v>
      </c>
      <c r="K35" s="46"/>
      <c r="L35" s="46"/>
      <c r="M35" s="47">
        <v>25500663</v>
      </c>
      <c r="N35" s="48" t="s">
        <v>64</v>
      </c>
      <c r="O35" s="49">
        <v>45860</v>
      </c>
      <c r="P35" s="50">
        <v>2</v>
      </c>
      <c r="Q35" s="49">
        <v>46022</v>
      </c>
      <c r="R35" s="47" t="s">
        <v>463</v>
      </c>
      <c r="S35" s="51">
        <v>46032</v>
      </c>
      <c r="T35" s="47">
        <v>1</v>
      </c>
      <c r="U35" s="47">
        <v>1</v>
      </c>
      <c r="V35" s="47">
        <v>3</v>
      </c>
      <c r="W35" s="52">
        <f t="shared" si="4"/>
        <v>46037</v>
      </c>
      <c r="X35" s="59"/>
    </row>
    <row r="36" spans="1:24" hidden="1">
      <c r="A36" s="46" t="s">
        <v>346</v>
      </c>
      <c r="B36" s="46" t="s">
        <v>455</v>
      </c>
      <c r="C36" s="47" t="s">
        <v>65</v>
      </c>
      <c r="D36" s="47" t="s">
        <v>65</v>
      </c>
      <c r="E36" s="47">
        <v>50114340</v>
      </c>
      <c r="F36" s="47" t="s">
        <v>68</v>
      </c>
      <c r="G36" s="46">
        <v>2000</v>
      </c>
      <c r="H36" s="47">
        <v>1.85</v>
      </c>
      <c r="I36" s="46">
        <f t="shared" si="0"/>
        <v>3700</v>
      </c>
      <c r="J36" s="46" t="s">
        <v>374</v>
      </c>
      <c r="K36" s="46"/>
      <c r="L36" s="46"/>
      <c r="M36" s="47">
        <v>25500663</v>
      </c>
      <c r="N36" s="48" t="s">
        <v>64</v>
      </c>
      <c r="O36" s="49">
        <v>45860</v>
      </c>
      <c r="P36" s="50">
        <v>3</v>
      </c>
      <c r="Q36" s="49">
        <v>46022</v>
      </c>
      <c r="R36" s="47" t="s">
        <v>463</v>
      </c>
      <c r="S36" s="51">
        <v>46032</v>
      </c>
      <c r="T36" s="47">
        <v>1</v>
      </c>
      <c r="U36" s="47">
        <v>1</v>
      </c>
      <c r="V36" s="47">
        <v>3</v>
      </c>
      <c r="W36" s="52">
        <f t="shared" si="4"/>
        <v>46037</v>
      </c>
      <c r="X36" s="59"/>
    </row>
    <row r="37" spans="1:24" hidden="1">
      <c r="A37" s="46" t="s">
        <v>351</v>
      </c>
      <c r="B37" s="46" t="s">
        <v>457</v>
      </c>
      <c r="C37" s="47" t="s">
        <v>49</v>
      </c>
      <c r="D37" s="47" t="s">
        <v>49</v>
      </c>
      <c r="E37" s="47">
        <v>50082166</v>
      </c>
      <c r="F37" s="47" t="s">
        <v>216</v>
      </c>
      <c r="G37" s="46">
        <v>100000</v>
      </c>
      <c r="H37" s="47">
        <v>2.04</v>
      </c>
      <c r="I37" s="46">
        <f t="shared" si="0"/>
        <v>204000</v>
      </c>
      <c r="J37" s="46" t="s">
        <v>467</v>
      </c>
      <c r="K37" s="46"/>
      <c r="L37" s="46"/>
      <c r="M37" s="47">
        <v>25501566</v>
      </c>
      <c r="N37" s="48" t="s">
        <v>215</v>
      </c>
      <c r="O37" s="49">
        <v>46006</v>
      </c>
      <c r="P37" s="50">
        <v>1</v>
      </c>
      <c r="Q37" s="49">
        <v>46037</v>
      </c>
      <c r="R37" s="47" t="s">
        <v>462</v>
      </c>
      <c r="S37" s="51">
        <v>46049</v>
      </c>
      <c r="T37" s="47">
        <v>1</v>
      </c>
      <c r="U37" s="47">
        <v>1</v>
      </c>
      <c r="V37" s="47">
        <v>3</v>
      </c>
      <c r="W37" s="51">
        <f t="shared" si="4"/>
        <v>46054</v>
      </c>
      <c r="X37" s="60"/>
    </row>
    <row r="38" spans="1:24" hidden="1">
      <c r="A38" s="46" t="s">
        <v>351</v>
      </c>
      <c r="B38" s="46" t="s">
        <v>457</v>
      </c>
      <c r="C38" s="47" t="s">
        <v>49</v>
      </c>
      <c r="D38" s="47" t="s">
        <v>49</v>
      </c>
      <c r="E38" s="47">
        <v>50082175</v>
      </c>
      <c r="F38" s="47" t="s">
        <v>298</v>
      </c>
      <c r="G38" s="46">
        <v>98970</v>
      </c>
      <c r="H38" s="47">
        <v>1.74</v>
      </c>
      <c r="I38" s="46">
        <f t="shared" si="0"/>
        <v>172207.8</v>
      </c>
      <c r="J38" s="46" t="s">
        <v>375</v>
      </c>
      <c r="K38" s="46"/>
      <c r="L38" s="46"/>
      <c r="M38" s="47">
        <v>25500067</v>
      </c>
      <c r="N38" s="48" t="s">
        <v>317</v>
      </c>
      <c r="O38" s="49">
        <v>45819</v>
      </c>
      <c r="P38" s="50">
        <v>3.1</v>
      </c>
      <c r="Q38" s="49">
        <v>45961</v>
      </c>
      <c r="R38" s="47" t="s">
        <v>462</v>
      </c>
      <c r="S38" s="51">
        <v>46026</v>
      </c>
      <c r="T38" s="47">
        <v>1</v>
      </c>
      <c r="U38" s="47">
        <v>1</v>
      </c>
      <c r="V38" s="47">
        <v>3</v>
      </c>
      <c r="W38" s="51">
        <f t="shared" si="4"/>
        <v>46031</v>
      </c>
      <c r="X38" s="60"/>
    </row>
    <row r="39" spans="1:24" hidden="1">
      <c r="A39" s="46" t="s">
        <v>351</v>
      </c>
      <c r="B39" s="46" t="s">
        <v>457</v>
      </c>
      <c r="C39" s="47" t="s">
        <v>49</v>
      </c>
      <c r="D39" s="47" t="s">
        <v>49</v>
      </c>
      <c r="E39" s="47">
        <v>50099121</v>
      </c>
      <c r="F39" s="47" t="s">
        <v>51</v>
      </c>
      <c r="G39" s="46">
        <v>199360</v>
      </c>
      <c r="H39" s="47">
        <v>0.28000000000000003</v>
      </c>
      <c r="I39" s="46">
        <f t="shared" si="0"/>
        <v>55820.800000000003</v>
      </c>
      <c r="J39" s="46" t="s">
        <v>374</v>
      </c>
      <c r="K39" s="46"/>
      <c r="L39" s="46" t="s">
        <v>477</v>
      </c>
      <c r="M39" s="47">
        <v>25500717</v>
      </c>
      <c r="N39" s="48" t="s">
        <v>69</v>
      </c>
      <c r="O39" s="49">
        <v>45867</v>
      </c>
      <c r="P39" s="50">
        <v>1.4</v>
      </c>
      <c r="Q39" s="49">
        <v>46022</v>
      </c>
      <c r="R39" s="47" t="s">
        <v>463</v>
      </c>
      <c r="S39" s="51">
        <v>46026</v>
      </c>
      <c r="T39" s="47">
        <v>1</v>
      </c>
      <c r="U39" s="47">
        <v>1</v>
      </c>
      <c r="V39" s="47">
        <v>3</v>
      </c>
      <c r="W39" s="51">
        <f t="shared" si="4"/>
        <v>46031</v>
      </c>
      <c r="X39" s="60"/>
    </row>
    <row r="40" spans="1:24" hidden="1">
      <c r="A40" s="46" t="s">
        <v>351</v>
      </c>
      <c r="B40" s="46" t="s">
        <v>457</v>
      </c>
      <c r="C40" s="47" t="s">
        <v>49</v>
      </c>
      <c r="D40" s="47" t="s">
        <v>49</v>
      </c>
      <c r="E40" s="47">
        <v>50081903</v>
      </c>
      <c r="F40" s="47" t="s">
        <v>50</v>
      </c>
      <c r="G40" s="46">
        <v>198890</v>
      </c>
      <c r="H40" s="47">
        <v>0.63</v>
      </c>
      <c r="I40" s="46">
        <f t="shared" si="0"/>
        <v>125300.7</v>
      </c>
      <c r="J40" s="46" t="s">
        <v>374</v>
      </c>
      <c r="K40" s="46"/>
      <c r="L40" s="46" t="s">
        <v>477</v>
      </c>
      <c r="M40" s="47">
        <v>25500717</v>
      </c>
      <c r="N40" s="48" t="s">
        <v>69</v>
      </c>
      <c r="O40" s="49">
        <v>45867</v>
      </c>
      <c r="P40" s="50">
        <v>2.4</v>
      </c>
      <c r="Q40" s="49">
        <v>46022</v>
      </c>
      <c r="R40" s="47" t="s">
        <v>463</v>
      </c>
      <c r="S40" s="51">
        <v>46026</v>
      </c>
      <c r="T40" s="47">
        <v>1</v>
      </c>
      <c r="U40" s="47">
        <v>1</v>
      </c>
      <c r="V40" s="47">
        <v>3</v>
      </c>
      <c r="W40" s="51">
        <f t="shared" si="4"/>
        <v>46031</v>
      </c>
      <c r="X40" s="60"/>
    </row>
    <row r="41" spans="1:24" hidden="1">
      <c r="A41" s="46" t="s">
        <v>351</v>
      </c>
      <c r="B41" s="46" t="s">
        <v>457</v>
      </c>
      <c r="C41" s="47" t="s">
        <v>49</v>
      </c>
      <c r="D41" s="47" t="s">
        <v>49</v>
      </c>
      <c r="E41" s="47">
        <v>50099121</v>
      </c>
      <c r="F41" s="47" t="s">
        <v>51</v>
      </c>
      <c r="G41" s="46">
        <v>400000</v>
      </c>
      <c r="H41" s="47">
        <v>0.28000000000000003</v>
      </c>
      <c r="I41" s="46">
        <f t="shared" si="0"/>
        <v>112000.00000000001</v>
      </c>
      <c r="J41" s="46" t="s">
        <v>374</v>
      </c>
      <c r="K41" s="46"/>
      <c r="L41" s="46"/>
      <c r="M41" s="47">
        <v>25500718</v>
      </c>
      <c r="N41" s="48" t="s">
        <v>70</v>
      </c>
      <c r="O41" s="49">
        <v>45867</v>
      </c>
      <c r="P41" s="50">
        <v>2</v>
      </c>
      <c r="Q41" s="49">
        <v>46022</v>
      </c>
      <c r="R41" s="47" t="s">
        <v>463</v>
      </c>
      <c r="S41" s="51">
        <v>46039</v>
      </c>
      <c r="T41" s="47">
        <v>1</v>
      </c>
      <c r="U41" s="47">
        <v>1</v>
      </c>
      <c r="V41" s="47">
        <v>3</v>
      </c>
      <c r="W41" s="51">
        <f t="shared" si="4"/>
        <v>46044</v>
      </c>
      <c r="X41" s="60"/>
    </row>
    <row r="42" spans="1:24" hidden="1">
      <c r="A42" s="46" t="s">
        <v>351</v>
      </c>
      <c r="B42" s="46" t="s">
        <v>457</v>
      </c>
      <c r="C42" s="47" t="s">
        <v>49</v>
      </c>
      <c r="D42" s="47" t="s">
        <v>49</v>
      </c>
      <c r="E42" s="47">
        <v>50081903</v>
      </c>
      <c r="F42" s="47" t="s">
        <v>50</v>
      </c>
      <c r="G42" s="46">
        <v>400000</v>
      </c>
      <c r="H42" s="47">
        <v>0.63</v>
      </c>
      <c r="I42" s="46">
        <f t="shared" si="0"/>
        <v>252000</v>
      </c>
      <c r="J42" s="46" t="s">
        <v>374</v>
      </c>
      <c r="K42" s="46"/>
      <c r="L42" s="46"/>
      <c r="M42" s="47">
        <v>25500718</v>
      </c>
      <c r="N42" s="48" t="s">
        <v>70</v>
      </c>
      <c r="O42" s="49">
        <v>45867</v>
      </c>
      <c r="P42" s="50">
        <v>3</v>
      </c>
      <c r="Q42" s="49">
        <v>46022</v>
      </c>
      <c r="R42" s="47" t="s">
        <v>463</v>
      </c>
      <c r="S42" s="51">
        <v>46039</v>
      </c>
      <c r="T42" s="47">
        <v>1</v>
      </c>
      <c r="U42" s="47">
        <v>1</v>
      </c>
      <c r="V42" s="47">
        <v>3</v>
      </c>
      <c r="W42" s="51">
        <f t="shared" si="4"/>
        <v>46044</v>
      </c>
      <c r="X42" s="60"/>
    </row>
    <row r="43" spans="1:24" hidden="1">
      <c r="A43" s="46" t="s">
        <v>346</v>
      </c>
      <c r="B43" s="46" t="s">
        <v>460</v>
      </c>
      <c r="C43" s="47" t="s">
        <v>414</v>
      </c>
      <c r="D43" s="47" t="s">
        <v>71</v>
      </c>
      <c r="E43" s="47">
        <v>50112640</v>
      </c>
      <c r="F43" s="47" t="s">
        <v>72</v>
      </c>
      <c r="G43" s="46">
        <v>47780</v>
      </c>
      <c r="H43" s="47">
        <v>2.2000000000000002</v>
      </c>
      <c r="I43" s="46">
        <f t="shared" si="0"/>
        <v>105116.00000000001</v>
      </c>
      <c r="J43" s="46" t="s">
        <v>374</v>
      </c>
      <c r="K43" s="46"/>
      <c r="L43" s="46" t="s">
        <v>482</v>
      </c>
      <c r="M43" s="47">
        <v>25500742</v>
      </c>
      <c r="N43" s="48">
        <v>4114014305</v>
      </c>
      <c r="O43" s="49">
        <v>45869</v>
      </c>
      <c r="P43" s="50">
        <v>1.1000000000000001</v>
      </c>
      <c r="Q43" s="49">
        <v>46022</v>
      </c>
      <c r="R43" s="47" t="s">
        <v>462</v>
      </c>
      <c r="S43" s="51">
        <v>46042</v>
      </c>
      <c r="T43" s="47">
        <v>1</v>
      </c>
      <c r="U43" s="47">
        <v>1</v>
      </c>
      <c r="V43" s="47">
        <v>3</v>
      </c>
      <c r="W43" s="52">
        <f t="shared" si="4"/>
        <v>46047</v>
      </c>
      <c r="X43" s="59"/>
    </row>
    <row r="44" spans="1:24" hidden="1">
      <c r="A44" s="46" t="s">
        <v>351</v>
      </c>
      <c r="B44" s="46" t="s">
        <v>457</v>
      </c>
      <c r="C44" s="47" t="s">
        <v>77</v>
      </c>
      <c r="D44" s="47" t="s">
        <v>77</v>
      </c>
      <c r="E44" s="47">
        <v>50082155</v>
      </c>
      <c r="F44" s="47" t="s">
        <v>78</v>
      </c>
      <c r="G44" s="46">
        <v>171577</v>
      </c>
      <c r="H44" s="47">
        <v>0.53</v>
      </c>
      <c r="I44" s="46">
        <f t="shared" si="0"/>
        <v>90935.81</v>
      </c>
      <c r="J44" s="46" t="s">
        <v>374</v>
      </c>
      <c r="K44" s="46"/>
      <c r="L44" s="46"/>
      <c r="M44" s="47">
        <v>25500790</v>
      </c>
      <c r="N44" s="48">
        <v>4100126957</v>
      </c>
      <c r="O44" s="49">
        <v>45877</v>
      </c>
      <c r="P44" s="50">
        <v>1.3</v>
      </c>
      <c r="Q44" s="49">
        <v>46022</v>
      </c>
      <c r="R44" s="47" t="s">
        <v>462</v>
      </c>
      <c r="S44" s="51">
        <v>46042</v>
      </c>
      <c r="T44" s="47">
        <v>1</v>
      </c>
      <c r="U44" s="47">
        <v>1</v>
      </c>
      <c r="V44" s="47">
        <v>3</v>
      </c>
      <c r="W44" s="51">
        <f t="shared" si="4"/>
        <v>46047</v>
      </c>
      <c r="X44" s="60"/>
    </row>
    <row r="45" spans="1:24" hidden="1">
      <c r="A45" s="46" t="s">
        <v>351</v>
      </c>
      <c r="B45" s="46" t="s">
        <v>457</v>
      </c>
      <c r="C45" s="47" t="s">
        <v>77</v>
      </c>
      <c r="D45" s="47" t="s">
        <v>77</v>
      </c>
      <c r="E45" s="47">
        <v>50082076</v>
      </c>
      <c r="F45" s="47" t="s">
        <v>79</v>
      </c>
      <c r="G45" s="46">
        <v>171592</v>
      </c>
      <c r="H45" s="47">
        <v>0.2</v>
      </c>
      <c r="I45" s="46">
        <f t="shared" si="0"/>
        <v>34318.400000000001</v>
      </c>
      <c r="J45" s="46" t="s">
        <v>374</v>
      </c>
      <c r="K45" s="46"/>
      <c r="L45" s="46"/>
      <c r="M45" s="47">
        <v>25500790</v>
      </c>
      <c r="N45" s="48">
        <v>4100126957</v>
      </c>
      <c r="O45" s="49">
        <v>45877</v>
      </c>
      <c r="P45" s="50">
        <v>2.2999999999999998</v>
      </c>
      <c r="Q45" s="49">
        <v>46022</v>
      </c>
      <c r="R45" s="47" t="s">
        <v>463</v>
      </c>
      <c r="S45" s="51">
        <v>46042</v>
      </c>
      <c r="T45" s="47">
        <v>1</v>
      </c>
      <c r="U45" s="47">
        <v>1</v>
      </c>
      <c r="V45" s="47">
        <v>3</v>
      </c>
      <c r="W45" s="51">
        <f t="shared" si="4"/>
        <v>46047</v>
      </c>
      <c r="X45" s="60"/>
    </row>
    <row r="46" spans="1:24" hidden="1">
      <c r="A46" s="46" t="s">
        <v>351</v>
      </c>
      <c r="B46" s="46" t="s">
        <v>460</v>
      </c>
      <c r="C46" s="47" t="s">
        <v>14</v>
      </c>
      <c r="D46" s="47" t="s">
        <v>14</v>
      </c>
      <c r="E46" s="47">
        <v>50112208</v>
      </c>
      <c r="F46" s="47" t="s">
        <v>81</v>
      </c>
      <c r="G46" s="46">
        <v>170000</v>
      </c>
      <c r="H46" s="47">
        <v>1.24</v>
      </c>
      <c r="I46" s="46">
        <f t="shared" si="0"/>
        <v>210800</v>
      </c>
      <c r="J46" s="46" t="s">
        <v>374</v>
      </c>
      <c r="K46" s="46"/>
      <c r="L46" s="46" t="s">
        <v>482</v>
      </c>
      <c r="M46" s="47">
        <v>25500816</v>
      </c>
      <c r="N46" s="48" t="s">
        <v>80</v>
      </c>
      <c r="O46" s="49">
        <v>45882</v>
      </c>
      <c r="P46" s="50">
        <v>18.100000000000001</v>
      </c>
      <c r="Q46" s="49">
        <v>46022</v>
      </c>
      <c r="R46" s="47" t="s">
        <v>462</v>
      </c>
      <c r="S46" s="51">
        <v>46038</v>
      </c>
      <c r="T46" s="47">
        <v>1</v>
      </c>
      <c r="U46" s="47">
        <v>1</v>
      </c>
      <c r="V46" s="47">
        <v>3</v>
      </c>
      <c r="W46" s="51">
        <f t="shared" si="4"/>
        <v>46043</v>
      </c>
      <c r="X46" s="60"/>
    </row>
    <row r="47" spans="1:24" hidden="1">
      <c r="A47" s="46" t="s">
        <v>351</v>
      </c>
      <c r="B47" s="46" t="s">
        <v>460</v>
      </c>
      <c r="C47" s="47" t="s">
        <v>14</v>
      </c>
      <c r="D47" s="47" t="s">
        <v>14</v>
      </c>
      <c r="E47" s="47">
        <v>50112208</v>
      </c>
      <c r="F47" s="47" t="s">
        <v>81</v>
      </c>
      <c r="G47" s="46">
        <f>288000-170000</f>
        <v>118000</v>
      </c>
      <c r="H47" s="47">
        <v>1.24</v>
      </c>
      <c r="I47" s="46">
        <f t="shared" ref="I47" si="5">G47*H47</f>
        <v>146320</v>
      </c>
      <c r="J47" s="46" t="s">
        <v>374</v>
      </c>
      <c r="K47" s="46"/>
      <c r="L47" s="46"/>
      <c r="M47" s="47">
        <v>25500816</v>
      </c>
      <c r="N47" s="48" t="s">
        <v>80</v>
      </c>
      <c r="O47" s="49">
        <v>45882</v>
      </c>
      <c r="P47" s="50">
        <v>18.100000000000001</v>
      </c>
      <c r="Q47" s="49">
        <v>46022</v>
      </c>
      <c r="R47" s="47" t="s">
        <v>462</v>
      </c>
      <c r="S47" s="51">
        <v>46038</v>
      </c>
      <c r="T47" s="47">
        <v>1</v>
      </c>
      <c r="U47" s="47">
        <v>1</v>
      </c>
      <c r="V47" s="47">
        <v>3</v>
      </c>
      <c r="W47" s="51">
        <f t="shared" ref="W47" si="6">S47+T47+U47+V47</f>
        <v>46043</v>
      </c>
      <c r="X47" s="60"/>
    </row>
    <row r="48" spans="1:24" hidden="1">
      <c r="A48" s="46" t="s">
        <v>351</v>
      </c>
      <c r="B48" s="46" t="s">
        <v>460</v>
      </c>
      <c r="C48" s="47" t="s">
        <v>14</v>
      </c>
      <c r="D48" s="47" t="s">
        <v>14</v>
      </c>
      <c r="E48" s="47">
        <v>50114371</v>
      </c>
      <c r="F48" s="47" t="s">
        <v>83</v>
      </c>
      <c r="G48" s="46">
        <v>200000</v>
      </c>
      <c r="H48" s="47">
        <v>1.85</v>
      </c>
      <c r="I48" s="46">
        <f t="shared" si="0"/>
        <v>370000</v>
      </c>
      <c r="J48" s="46"/>
      <c r="K48" s="46"/>
      <c r="L48" s="46"/>
      <c r="M48" s="47">
        <v>25500816</v>
      </c>
      <c r="N48" s="48" t="s">
        <v>80</v>
      </c>
      <c r="O48" s="49">
        <v>45882</v>
      </c>
      <c r="P48" s="50">
        <v>28.1</v>
      </c>
      <c r="Q48" s="49">
        <v>46022</v>
      </c>
      <c r="R48" s="47" t="s">
        <v>462</v>
      </c>
      <c r="S48" s="51">
        <v>46038</v>
      </c>
      <c r="T48" s="47">
        <v>1</v>
      </c>
      <c r="U48" s="47">
        <v>1</v>
      </c>
      <c r="V48" s="47">
        <v>3</v>
      </c>
      <c r="W48" s="51">
        <f t="shared" si="4"/>
        <v>46043</v>
      </c>
      <c r="X48" s="60"/>
    </row>
    <row r="49" spans="1:24" hidden="1">
      <c r="A49" s="46" t="s">
        <v>351</v>
      </c>
      <c r="B49" s="46" t="s">
        <v>457</v>
      </c>
      <c r="C49" s="47" t="s">
        <v>85</v>
      </c>
      <c r="D49" s="47" t="s">
        <v>86</v>
      </c>
      <c r="E49" s="47">
        <v>50081624</v>
      </c>
      <c r="F49" s="47" t="s">
        <v>87</v>
      </c>
      <c r="G49" s="46">
        <v>100000</v>
      </c>
      <c r="H49" s="47">
        <v>0.57999999999999996</v>
      </c>
      <c r="I49" s="46">
        <f t="shared" si="0"/>
        <v>57999.999999999993</v>
      </c>
      <c r="J49" s="46" t="s">
        <v>374</v>
      </c>
      <c r="K49" s="46"/>
      <c r="L49" s="46"/>
      <c r="M49" s="47">
        <v>25500845</v>
      </c>
      <c r="N49" s="48" t="s">
        <v>84</v>
      </c>
      <c r="O49" s="49">
        <v>45889</v>
      </c>
      <c r="P49" s="50">
        <v>3</v>
      </c>
      <c r="Q49" s="49">
        <v>46022</v>
      </c>
      <c r="R49" s="47" t="s">
        <v>462</v>
      </c>
      <c r="S49" s="51">
        <v>46049</v>
      </c>
      <c r="T49" s="47">
        <v>1</v>
      </c>
      <c r="U49" s="47">
        <v>1</v>
      </c>
      <c r="V49" s="47">
        <v>3</v>
      </c>
      <c r="W49" s="51">
        <f t="shared" si="4"/>
        <v>46054</v>
      </c>
      <c r="X49" s="60"/>
    </row>
    <row r="50" spans="1:24" hidden="1">
      <c r="A50" s="46" t="s">
        <v>347</v>
      </c>
      <c r="B50" s="46" t="s">
        <v>457</v>
      </c>
      <c r="C50" s="47" t="s">
        <v>404</v>
      </c>
      <c r="D50" s="47" t="s">
        <v>16</v>
      </c>
      <c r="E50" s="47">
        <v>50081439</v>
      </c>
      <c r="F50" s="47" t="s">
        <v>17</v>
      </c>
      <c r="G50" s="46">
        <v>300000</v>
      </c>
      <c r="H50" s="47">
        <v>3.7</v>
      </c>
      <c r="I50" s="46">
        <f t="shared" si="0"/>
        <v>1110000</v>
      </c>
      <c r="J50" s="46" t="s">
        <v>374</v>
      </c>
      <c r="K50" s="46">
        <v>300000</v>
      </c>
      <c r="L50" s="46" t="s">
        <v>482</v>
      </c>
      <c r="M50" s="47">
        <v>24501598</v>
      </c>
      <c r="N50" s="48">
        <v>4510649717</v>
      </c>
      <c r="O50" s="49">
        <v>45699</v>
      </c>
      <c r="P50" s="50">
        <v>5</v>
      </c>
      <c r="Q50" s="49">
        <v>46022</v>
      </c>
      <c r="R50" s="47" t="s">
        <v>495</v>
      </c>
      <c r="S50" s="52">
        <v>46028</v>
      </c>
      <c r="T50" s="47">
        <v>1</v>
      </c>
      <c r="U50" s="47">
        <v>1</v>
      </c>
      <c r="V50" s="47"/>
      <c r="W50" s="52">
        <f t="shared" ref="W50:W54" si="7">S50+T50+U50</f>
        <v>46030</v>
      </c>
      <c r="X50" s="59"/>
    </row>
    <row r="51" spans="1:24" hidden="1">
      <c r="A51" s="46" t="s">
        <v>347</v>
      </c>
      <c r="B51" s="46" t="s">
        <v>457</v>
      </c>
      <c r="C51" s="47" t="s">
        <v>404</v>
      </c>
      <c r="D51" s="47" t="s">
        <v>16</v>
      </c>
      <c r="E51" s="47">
        <v>50081439</v>
      </c>
      <c r="F51" s="47" t="s">
        <v>17</v>
      </c>
      <c r="G51" s="46">
        <v>300000</v>
      </c>
      <c r="H51" s="47">
        <v>3.7</v>
      </c>
      <c r="I51" s="46">
        <f t="shared" si="0"/>
        <v>1110000</v>
      </c>
      <c r="J51" s="46" t="s">
        <v>374</v>
      </c>
      <c r="K51" s="46">
        <v>300000</v>
      </c>
      <c r="L51" s="46"/>
      <c r="M51" s="47">
        <v>24501598</v>
      </c>
      <c r="N51" s="48">
        <v>4510649717</v>
      </c>
      <c r="O51" s="49">
        <v>45699</v>
      </c>
      <c r="P51" s="50">
        <v>6</v>
      </c>
      <c r="Q51" s="49">
        <v>46022</v>
      </c>
      <c r="R51" s="47" t="s">
        <v>495</v>
      </c>
      <c r="S51" s="52">
        <v>46028</v>
      </c>
      <c r="T51" s="47">
        <v>1</v>
      </c>
      <c r="U51" s="47">
        <v>1</v>
      </c>
      <c r="V51" s="47"/>
      <c r="W51" s="52">
        <f t="shared" si="7"/>
        <v>46030</v>
      </c>
      <c r="X51" s="59"/>
    </row>
    <row r="52" spans="1:24" hidden="1">
      <c r="A52" s="46" t="s">
        <v>347</v>
      </c>
      <c r="B52" s="46" t="s">
        <v>457</v>
      </c>
      <c r="C52" s="47" t="s">
        <v>404</v>
      </c>
      <c r="D52" s="47" t="s">
        <v>35</v>
      </c>
      <c r="E52" s="47">
        <v>50081431</v>
      </c>
      <c r="F52" s="47" t="s">
        <v>36</v>
      </c>
      <c r="G52" s="46">
        <v>300000</v>
      </c>
      <c r="H52" s="47">
        <v>3.95</v>
      </c>
      <c r="I52" s="46">
        <f t="shared" si="0"/>
        <v>1185000</v>
      </c>
      <c r="J52" s="46" t="s">
        <v>374</v>
      </c>
      <c r="K52" s="46">
        <v>300000</v>
      </c>
      <c r="L52" s="46"/>
      <c r="M52" s="47">
        <v>25500907</v>
      </c>
      <c r="N52" s="48">
        <v>4510663148</v>
      </c>
      <c r="O52" s="49">
        <v>45903</v>
      </c>
      <c r="P52" s="50">
        <v>2</v>
      </c>
      <c r="Q52" s="49">
        <v>46022</v>
      </c>
      <c r="R52" s="47" t="s">
        <v>495</v>
      </c>
      <c r="S52" s="52">
        <v>46028</v>
      </c>
      <c r="T52" s="47">
        <v>1</v>
      </c>
      <c r="U52" s="47">
        <v>1</v>
      </c>
      <c r="V52" s="47"/>
      <c r="W52" s="52">
        <f t="shared" si="7"/>
        <v>46030</v>
      </c>
      <c r="X52" s="59"/>
    </row>
    <row r="53" spans="1:24" hidden="1">
      <c r="A53" s="46" t="s">
        <v>347</v>
      </c>
      <c r="B53" s="46" t="s">
        <v>457</v>
      </c>
      <c r="C53" s="47" t="s">
        <v>404</v>
      </c>
      <c r="D53" s="47" t="s">
        <v>52</v>
      </c>
      <c r="E53" s="47">
        <v>50081431</v>
      </c>
      <c r="F53" s="47" t="s">
        <v>36</v>
      </c>
      <c r="G53" s="46">
        <v>200000</v>
      </c>
      <c r="H53" s="47">
        <v>3.95</v>
      </c>
      <c r="I53" s="46">
        <f t="shared" si="0"/>
        <v>790000</v>
      </c>
      <c r="J53" s="46" t="s">
        <v>374</v>
      </c>
      <c r="K53" s="46">
        <v>150000</v>
      </c>
      <c r="L53" s="46" t="s">
        <v>482</v>
      </c>
      <c r="M53" s="47">
        <v>25500912</v>
      </c>
      <c r="N53" s="48">
        <v>4510674127</v>
      </c>
      <c r="O53" s="49">
        <v>45904</v>
      </c>
      <c r="P53" s="50">
        <v>1</v>
      </c>
      <c r="Q53" s="49">
        <v>46022</v>
      </c>
      <c r="R53" s="47" t="s">
        <v>495</v>
      </c>
      <c r="S53" s="52">
        <v>46028</v>
      </c>
      <c r="T53" s="47">
        <v>1</v>
      </c>
      <c r="U53" s="47">
        <v>1</v>
      </c>
      <c r="V53" s="47"/>
      <c r="W53" s="52">
        <f t="shared" si="7"/>
        <v>46030</v>
      </c>
      <c r="X53" s="59"/>
    </row>
    <row r="54" spans="1:24" hidden="1">
      <c r="A54" s="46" t="s">
        <v>347</v>
      </c>
      <c r="B54" s="46" t="s">
        <v>457</v>
      </c>
      <c r="C54" s="47" t="s">
        <v>404</v>
      </c>
      <c r="D54" s="47" t="s">
        <v>157</v>
      </c>
      <c r="E54" s="47">
        <v>50081431</v>
      </c>
      <c r="F54" s="47" t="s">
        <v>36</v>
      </c>
      <c r="G54" s="46">
        <v>2000</v>
      </c>
      <c r="H54" s="47">
        <v>3.95</v>
      </c>
      <c r="I54" s="46">
        <f t="shared" si="0"/>
        <v>7900</v>
      </c>
      <c r="J54" s="46" t="s">
        <v>374</v>
      </c>
      <c r="K54" s="46"/>
      <c r="L54" s="46"/>
      <c r="M54" s="47">
        <v>25501472</v>
      </c>
      <c r="N54" s="48">
        <v>4510684708</v>
      </c>
      <c r="O54" s="49">
        <v>45994</v>
      </c>
      <c r="P54" s="50">
        <v>1</v>
      </c>
      <c r="Q54" s="49">
        <v>46016</v>
      </c>
      <c r="R54" s="47"/>
      <c r="S54" s="47"/>
      <c r="T54" s="47">
        <v>1</v>
      </c>
      <c r="U54" s="47">
        <v>1</v>
      </c>
      <c r="V54" s="47"/>
      <c r="W54" s="52">
        <f t="shared" si="7"/>
        <v>2</v>
      </c>
      <c r="X54" s="59"/>
    </row>
    <row r="55" spans="1:24" hidden="1">
      <c r="A55" s="46" t="s">
        <v>349</v>
      </c>
      <c r="B55" s="46" t="s">
        <v>460</v>
      </c>
      <c r="C55" s="47" t="s">
        <v>14</v>
      </c>
      <c r="D55" s="47" t="s">
        <v>14</v>
      </c>
      <c r="E55" s="47">
        <v>50114368</v>
      </c>
      <c r="F55" s="47" t="s">
        <v>15</v>
      </c>
      <c r="G55" s="46">
        <v>250000</v>
      </c>
      <c r="H55" s="47">
        <v>2.62</v>
      </c>
      <c r="I55" s="46">
        <f t="shared" ref="I55" si="8">G55*H55</f>
        <v>655000</v>
      </c>
      <c r="J55" s="46" t="s">
        <v>374</v>
      </c>
      <c r="K55" s="46"/>
      <c r="L55" s="46" t="s">
        <v>482</v>
      </c>
      <c r="M55" s="47">
        <v>25501009</v>
      </c>
      <c r="N55" s="48" t="s">
        <v>92</v>
      </c>
      <c r="O55" s="49">
        <v>45919</v>
      </c>
      <c r="P55" s="50">
        <v>1.1000000000000001</v>
      </c>
      <c r="Q55" s="49">
        <v>46009</v>
      </c>
      <c r="R55" s="47" t="s">
        <v>462</v>
      </c>
      <c r="S55" s="52">
        <v>46024</v>
      </c>
      <c r="T55" s="47">
        <v>1</v>
      </c>
      <c r="U55" s="47">
        <v>1</v>
      </c>
      <c r="V55" s="47">
        <v>3</v>
      </c>
      <c r="W55" s="51">
        <f>S55+T55+U55+V55</f>
        <v>46029</v>
      </c>
      <c r="X55" s="60"/>
    </row>
    <row r="56" spans="1:24" hidden="1">
      <c r="A56" s="46" t="s">
        <v>349</v>
      </c>
      <c r="B56" s="46" t="s">
        <v>460</v>
      </c>
      <c r="C56" s="47" t="s">
        <v>14</v>
      </c>
      <c r="D56" s="47" t="s">
        <v>14</v>
      </c>
      <c r="E56" s="47">
        <v>50114368</v>
      </c>
      <c r="F56" s="47" t="s">
        <v>15</v>
      </c>
      <c r="G56" s="46">
        <v>1000000</v>
      </c>
      <c r="H56" s="47">
        <v>2.62</v>
      </c>
      <c r="I56" s="46">
        <f t="shared" si="0"/>
        <v>2620000</v>
      </c>
      <c r="J56" s="46" t="s">
        <v>374</v>
      </c>
      <c r="K56" s="46"/>
      <c r="L56" s="46"/>
      <c r="M56" s="47">
        <v>25501009</v>
      </c>
      <c r="N56" s="48" t="s">
        <v>92</v>
      </c>
      <c r="O56" s="49">
        <v>45919</v>
      </c>
      <c r="P56" s="50">
        <v>1.1000000000000001</v>
      </c>
      <c r="Q56" s="49">
        <v>46009</v>
      </c>
      <c r="R56" s="47" t="s">
        <v>462</v>
      </c>
      <c r="S56" s="52">
        <v>46024</v>
      </c>
      <c r="T56" s="47">
        <v>1</v>
      </c>
      <c r="U56" s="47">
        <v>1</v>
      </c>
      <c r="V56" s="47">
        <v>3</v>
      </c>
      <c r="W56" s="51">
        <f>S56+T56+U56+V56</f>
        <v>46029</v>
      </c>
      <c r="X56" s="60"/>
    </row>
    <row r="57" spans="1:24" hidden="1">
      <c r="A57" s="46" t="s">
        <v>346</v>
      </c>
      <c r="B57" s="46" t="s">
        <v>455</v>
      </c>
      <c r="C57" s="47" t="s">
        <v>94</v>
      </c>
      <c r="D57" s="47" t="s">
        <v>94</v>
      </c>
      <c r="E57" s="47">
        <v>50107106</v>
      </c>
      <c r="F57" s="47" t="s">
        <v>95</v>
      </c>
      <c r="G57" s="46">
        <v>5000</v>
      </c>
      <c r="H57" s="47">
        <v>3.2</v>
      </c>
      <c r="I57" s="46">
        <f t="shared" si="0"/>
        <v>16000</v>
      </c>
      <c r="J57" s="46" t="s">
        <v>374</v>
      </c>
      <c r="K57" s="46"/>
      <c r="L57" s="46"/>
      <c r="M57" s="47">
        <v>25501116</v>
      </c>
      <c r="N57" s="48" t="s">
        <v>93</v>
      </c>
      <c r="O57" s="49">
        <v>45939</v>
      </c>
      <c r="P57" s="50">
        <v>3</v>
      </c>
      <c r="Q57" s="49">
        <v>46022</v>
      </c>
      <c r="R57" s="47"/>
      <c r="S57" s="52">
        <v>46034</v>
      </c>
      <c r="T57" s="47">
        <v>1</v>
      </c>
      <c r="U57" s="47">
        <v>1</v>
      </c>
      <c r="V57" s="47">
        <v>3</v>
      </c>
      <c r="W57" s="51">
        <f>S57+T57+U57+V57</f>
        <v>46039</v>
      </c>
      <c r="X57" s="60"/>
    </row>
    <row r="58" spans="1:24" hidden="1">
      <c r="A58" s="46" t="s">
        <v>347</v>
      </c>
      <c r="B58" s="46" t="s">
        <v>455</v>
      </c>
      <c r="C58" s="47" t="s">
        <v>7</v>
      </c>
      <c r="D58" s="47" t="s">
        <v>10</v>
      </c>
      <c r="E58" s="47">
        <v>50101138</v>
      </c>
      <c r="F58" s="47" t="s">
        <v>9</v>
      </c>
      <c r="G58" s="46">
        <v>148000</v>
      </c>
      <c r="H58" s="47">
        <v>2.5</v>
      </c>
      <c r="I58" s="46">
        <f t="shared" si="0"/>
        <v>370000</v>
      </c>
      <c r="J58" s="46" t="s">
        <v>374</v>
      </c>
      <c r="K58" s="46"/>
      <c r="L58" s="46"/>
      <c r="M58" s="47">
        <v>25501631</v>
      </c>
      <c r="N58" s="48">
        <v>4000323925</v>
      </c>
      <c r="O58" s="49">
        <v>46013</v>
      </c>
      <c r="P58" s="50">
        <v>1</v>
      </c>
      <c r="Q58" s="49">
        <v>46051</v>
      </c>
      <c r="R58" s="47"/>
      <c r="S58" s="52">
        <v>46338</v>
      </c>
      <c r="T58" s="47">
        <v>1</v>
      </c>
      <c r="U58" s="47">
        <v>1</v>
      </c>
      <c r="V58" s="47"/>
      <c r="W58" s="52">
        <f>S58+T58+U58</f>
        <v>46340</v>
      </c>
      <c r="X58" s="59"/>
    </row>
    <row r="59" spans="1:24" hidden="1">
      <c r="A59" s="46" t="s">
        <v>346</v>
      </c>
      <c r="B59" s="46" t="s">
        <v>455</v>
      </c>
      <c r="C59" s="47" t="s">
        <v>97</v>
      </c>
      <c r="D59" s="47" t="s">
        <v>97</v>
      </c>
      <c r="E59" s="47">
        <v>50083290</v>
      </c>
      <c r="F59" s="47" t="s">
        <v>98</v>
      </c>
      <c r="G59" s="46">
        <v>79640</v>
      </c>
      <c r="H59" s="47">
        <v>2.54</v>
      </c>
      <c r="I59" s="46">
        <f t="shared" si="0"/>
        <v>202285.6</v>
      </c>
      <c r="J59" s="46" t="s">
        <v>374</v>
      </c>
      <c r="K59" s="46"/>
      <c r="L59" s="46"/>
      <c r="M59" s="47">
        <v>25501174</v>
      </c>
      <c r="N59" s="48">
        <v>4142508197</v>
      </c>
      <c r="O59" s="49">
        <v>45945</v>
      </c>
      <c r="P59" s="50">
        <v>4.0999999999999996</v>
      </c>
      <c r="Q59" s="49">
        <v>46022</v>
      </c>
      <c r="R59" s="47" t="s">
        <v>463</v>
      </c>
      <c r="S59" s="51">
        <v>46024</v>
      </c>
      <c r="T59" s="47">
        <v>1</v>
      </c>
      <c r="U59" s="47">
        <v>1</v>
      </c>
      <c r="V59" s="47">
        <v>3</v>
      </c>
      <c r="W59" s="52">
        <f>S59+T59+U59+V59</f>
        <v>46029</v>
      </c>
      <c r="X59" s="59"/>
    </row>
    <row r="60" spans="1:24" hidden="1">
      <c r="A60" s="46" t="s">
        <v>346</v>
      </c>
      <c r="B60" s="46" t="s">
        <v>455</v>
      </c>
      <c r="C60" s="47" t="s">
        <v>97</v>
      </c>
      <c r="D60" s="47" t="s">
        <v>97</v>
      </c>
      <c r="E60" s="47">
        <v>50092585</v>
      </c>
      <c r="F60" s="47" t="s">
        <v>22</v>
      </c>
      <c r="G60" s="46">
        <v>150000</v>
      </c>
      <c r="H60" s="47">
        <v>4.1100000000000003</v>
      </c>
      <c r="I60" s="46">
        <f t="shared" si="0"/>
        <v>616500</v>
      </c>
      <c r="J60" s="46" t="s">
        <v>374</v>
      </c>
      <c r="K60" s="46"/>
      <c r="L60" s="46" t="s">
        <v>477</v>
      </c>
      <c r="M60" s="47">
        <v>25501174</v>
      </c>
      <c r="N60" s="48">
        <v>4142508197</v>
      </c>
      <c r="O60" s="49">
        <v>45945</v>
      </c>
      <c r="P60" s="50">
        <v>8</v>
      </c>
      <c r="Q60" s="49">
        <v>46022</v>
      </c>
      <c r="R60" s="52" t="s">
        <v>462</v>
      </c>
      <c r="S60" s="51">
        <v>46024</v>
      </c>
      <c r="T60" s="47">
        <v>1</v>
      </c>
      <c r="U60" s="47">
        <v>1</v>
      </c>
      <c r="V60" s="47">
        <v>3</v>
      </c>
      <c r="W60" s="52">
        <f>S60+T60+U60+V60</f>
        <v>46029</v>
      </c>
      <c r="X60" s="59"/>
    </row>
    <row r="61" spans="1:24" hidden="1">
      <c r="A61" s="46" t="s">
        <v>346</v>
      </c>
      <c r="B61" s="46" t="s">
        <v>455</v>
      </c>
      <c r="C61" s="47" t="s">
        <v>7</v>
      </c>
      <c r="D61" s="47" t="s">
        <v>19</v>
      </c>
      <c r="E61" s="47">
        <v>50107463</v>
      </c>
      <c r="F61" s="47" t="s">
        <v>20</v>
      </c>
      <c r="G61" s="46">
        <v>30000</v>
      </c>
      <c r="H61" s="47">
        <v>8.7100000000000009</v>
      </c>
      <c r="I61" s="46">
        <f t="shared" si="0"/>
        <v>261300.00000000003</v>
      </c>
      <c r="J61" s="46"/>
      <c r="K61" s="46"/>
      <c r="L61" s="46"/>
      <c r="M61" s="47">
        <v>25501185</v>
      </c>
      <c r="N61" s="48">
        <v>4000317744</v>
      </c>
      <c r="O61" s="49">
        <v>45946</v>
      </c>
      <c r="P61" s="50">
        <v>1</v>
      </c>
      <c r="Q61" s="49">
        <v>46083</v>
      </c>
      <c r="R61" s="47"/>
      <c r="S61" s="47"/>
      <c r="T61" s="47">
        <v>1</v>
      </c>
      <c r="U61" s="47">
        <v>1</v>
      </c>
      <c r="V61" s="47">
        <v>3</v>
      </c>
      <c r="W61" s="52">
        <f>S61+T61+U61+V61</f>
        <v>5</v>
      </c>
      <c r="X61" s="59"/>
    </row>
    <row r="62" spans="1:24" hidden="1">
      <c r="A62" s="46" t="s">
        <v>349</v>
      </c>
      <c r="B62" s="46" t="s">
        <v>455</v>
      </c>
      <c r="C62" s="47" t="s">
        <v>99</v>
      </c>
      <c r="D62" s="47" t="s">
        <v>99</v>
      </c>
      <c r="E62" s="47">
        <v>50081723</v>
      </c>
      <c r="F62" s="47" t="s">
        <v>55</v>
      </c>
      <c r="G62" s="46">
        <v>25315</v>
      </c>
      <c r="H62" s="47">
        <v>2.73</v>
      </c>
      <c r="I62" s="46">
        <f t="shared" si="0"/>
        <v>69109.95</v>
      </c>
      <c r="J62" s="46" t="s">
        <v>374</v>
      </c>
      <c r="K62" s="46"/>
      <c r="L62" s="46" t="s">
        <v>482</v>
      </c>
      <c r="M62" s="47">
        <v>25501191</v>
      </c>
      <c r="N62" s="48">
        <v>4501607610</v>
      </c>
      <c r="O62" s="49">
        <v>45948</v>
      </c>
      <c r="P62" s="50">
        <v>1</v>
      </c>
      <c r="Q62" s="49">
        <v>46022</v>
      </c>
      <c r="R62" s="47" t="s">
        <v>463</v>
      </c>
      <c r="S62" s="51">
        <v>46025</v>
      </c>
      <c r="T62" s="47">
        <v>1</v>
      </c>
      <c r="U62" s="47">
        <v>1</v>
      </c>
      <c r="V62" s="47">
        <v>3</v>
      </c>
      <c r="W62" s="51">
        <f>S62+T62+U62+V62</f>
        <v>46030</v>
      </c>
      <c r="X62" s="60"/>
    </row>
    <row r="63" spans="1:24" hidden="1">
      <c r="A63" s="46" t="s">
        <v>349</v>
      </c>
      <c r="B63" s="46" t="s">
        <v>455</v>
      </c>
      <c r="C63" s="47" t="s">
        <v>99</v>
      </c>
      <c r="D63" s="47" t="s">
        <v>99</v>
      </c>
      <c r="E63" s="47">
        <v>50081870</v>
      </c>
      <c r="F63" s="47" t="s">
        <v>100</v>
      </c>
      <c r="G63" s="46">
        <v>25315</v>
      </c>
      <c r="H63" s="47">
        <v>3.85</v>
      </c>
      <c r="I63" s="46">
        <f t="shared" si="0"/>
        <v>97462.75</v>
      </c>
      <c r="J63" s="46" t="s">
        <v>374</v>
      </c>
      <c r="K63" s="46"/>
      <c r="L63" s="46" t="s">
        <v>482</v>
      </c>
      <c r="M63" s="47">
        <v>25501191</v>
      </c>
      <c r="N63" s="48">
        <v>4501607610</v>
      </c>
      <c r="O63" s="49">
        <v>45948</v>
      </c>
      <c r="P63" s="50">
        <v>2</v>
      </c>
      <c r="Q63" s="49">
        <v>46022</v>
      </c>
      <c r="R63" s="47" t="s">
        <v>463</v>
      </c>
      <c r="S63" s="51">
        <v>46025</v>
      </c>
      <c r="T63" s="47">
        <v>1</v>
      </c>
      <c r="U63" s="47">
        <v>1</v>
      </c>
      <c r="V63" s="47">
        <v>3</v>
      </c>
      <c r="W63" s="51">
        <f>S63+T63+U63+V63</f>
        <v>46030</v>
      </c>
      <c r="X63" s="60"/>
    </row>
    <row r="64" spans="1:24" hidden="1">
      <c r="A64" s="46" t="s">
        <v>347</v>
      </c>
      <c r="B64" s="46" t="s">
        <v>460</v>
      </c>
      <c r="C64" s="47" t="s">
        <v>335</v>
      </c>
      <c r="D64" s="47" t="s">
        <v>335</v>
      </c>
      <c r="E64" s="47">
        <v>50114184</v>
      </c>
      <c r="F64" s="47" t="s">
        <v>324</v>
      </c>
      <c r="G64" s="46">
        <f>840000-480000</f>
        <v>360000</v>
      </c>
      <c r="H64" s="47">
        <v>2.91</v>
      </c>
      <c r="I64" s="46">
        <f t="shared" si="0"/>
        <v>1047600</v>
      </c>
      <c r="J64" s="46" t="s">
        <v>375</v>
      </c>
      <c r="K64" s="46"/>
      <c r="L64" s="46"/>
      <c r="M64" s="47">
        <v>25500234</v>
      </c>
      <c r="N64" s="48">
        <v>4503501933</v>
      </c>
      <c r="O64" s="49">
        <v>46014</v>
      </c>
      <c r="P64" s="50">
        <v>1.1000000000000001</v>
      </c>
      <c r="Q64" s="49">
        <v>46029</v>
      </c>
      <c r="R64" s="47" t="s">
        <v>463</v>
      </c>
      <c r="S64" s="51">
        <v>46026</v>
      </c>
      <c r="T64" s="47">
        <v>1</v>
      </c>
      <c r="U64" s="47">
        <v>1</v>
      </c>
      <c r="V64" s="47"/>
      <c r="W64" s="52">
        <f t="shared" ref="W64:W68" si="9">S64+T64+U64</f>
        <v>46028</v>
      </c>
      <c r="X64" s="59"/>
    </row>
    <row r="65" spans="1:24" hidden="1">
      <c r="A65" s="46" t="s">
        <v>347</v>
      </c>
      <c r="B65" s="46" t="s">
        <v>460</v>
      </c>
      <c r="C65" s="47" t="s">
        <v>335</v>
      </c>
      <c r="D65" s="47" t="s">
        <v>335</v>
      </c>
      <c r="E65" s="47">
        <v>50114184</v>
      </c>
      <c r="F65" s="47" t="s">
        <v>324</v>
      </c>
      <c r="G65" s="46">
        <v>1080000</v>
      </c>
      <c r="H65" s="47">
        <v>2.91</v>
      </c>
      <c r="I65" s="46">
        <f t="shared" si="0"/>
        <v>3142800</v>
      </c>
      <c r="J65" s="46" t="s">
        <v>375</v>
      </c>
      <c r="K65" s="46"/>
      <c r="L65" s="46"/>
      <c r="M65" s="47"/>
      <c r="N65" s="48"/>
      <c r="O65" s="49"/>
      <c r="P65" s="50"/>
      <c r="Q65" s="49"/>
      <c r="R65" s="47" t="s">
        <v>463</v>
      </c>
      <c r="S65" s="51">
        <v>46026</v>
      </c>
      <c r="T65" s="47">
        <v>1</v>
      </c>
      <c r="U65" s="47">
        <v>1</v>
      </c>
      <c r="V65" s="47"/>
      <c r="W65" s="52">
        <f t="shared" si="9"/>
        <v>46028</v>
      </c>
      <c r="X65" s="59"/>
    </row>
    <row r="66" spans="1:24" hidden="1">
      <c r="A66" s="46" t="s">
        <v>347</v>
      </c>
      <c r="B66" s="46" t="s">
        <v>457</v>
      </c>
      <c r="C66" s="47" t="s">
        <v>26</v>
      </c>
      <c r="D66" s="47" t="s">
        <v>26</v>
      </c>
      <c r="E66" s="47">
        <v>50112946</v>
      </c>
      <c r="F66" s="47" t="s">
        <v>4</v>
      </c>
      <c r="G66" s="46">
        <v>700000</v>
      </c>
      <c r="H66" s="47">
        <v>2.75</v>
      </c>
      <c r="I66" s="46">
        <f t="shared" si="0"/>
        <v>1925000</v>
      </c>
      <c r="J66" s="46" t="s">
        <v>374</v>
      </c>
      <c r="K66" s="46"/>
      <c r="L66" s="46"/>
      <c r="M66" s="47">
        <v>25501312</v>
      </c>
      <c r="N66" s="48">
        <v>4501067382</v>
      </c>
      <c r="O66" s="49">
        <v>45971</v>
      </c>
      <c r="P66" s="50">
        <v>1.5</v>
      </c>
      <c r="Q66" s="49">
        <v>46008</v>
      </c>
      <c r="R66" s="47" t="s">
        <v>495</v>
      </c>
      <c r="S66" s="52">
        <v>46028</v>
      </c>
      <c r="T66" s="47">
        <v>1</v>
      </c>
      <c r="U66" s="47">
        <v>1</v>
      </c>
      <c r="V66" s="47"/>
      <c r="W66" s="52">
        <f t="shared" si="9"/>
        <v>46030</v>
      </c>
      <c r="X66" s="59"/>
    </row>
    <row r="67" spans="1:24" hidden="1">
      <c r="A67" s="46" t="s">
        <v>347</v>
      </c>
      <c r="B67" s="46" t="s">
        <v>457</v>
      </c>
      <c r="C67" s="47" t="s">
        <v>26</v>
      </c>
      <c r="D67" s="47" t="s">
        <v>26</v>
      </c>
      <c r="E67" s="47">
        <v>50112946</v>
      </c>
      <c r="F67" s="47" t="s">
        <v>4</v>
      </c>
      <c r="G67" s="46">
        <f>500000+600000</f>
        <v>1100000</v>
      </c>
      <c r="H67" s="47">
        <v>2.75</v>
      </c>
      <c r="I67" s="46">
        <f t="shared" si="0"/>
        <v>3025000</v>
      </c>
      <c r="J67" s="46" t="s">
        <v>374</v>
      </c>
      <c r="K67" s="46"/>
      <c r="L67" s="46" t="s">
        <v>482</v>
      </c>
      <c r="M67" s="47"/>
      <c r="N67" s="48"/>
      <c r="O67" s="49"/>
      <c r="P67" s="50"/>
      <c r="Q67" s="49"/>
      <c r="R67" s="47"/>
      <c r="S67" s="52">
        <v>46030</v>
      </c>
      <c r="T67" s="47">
        <v>1</v>
      </c>
      <c r="U67" s="47">
        <v>1</v>
      </c>
      <c r="V67" s="47"/>
      <c r="W67" s="52">
        <f t="shared" si="9"/>
        <v>46032</v>
      </c>
      <c r="X67" s="59"/>
    </row>
    <row r="68" spans="1:24" hidden="1">
      <c r="A68" s="46" t="s">
        <v>347</v>
      </c>
      <c r="B68" s="46" t="s">
        <v>457</v>
      </c>
      <c r="C68" s="47" t="s">
        <v>26</v>
      </c>
      <c r="D68" s="47" t="s">
        <v>26</v>
      </c>
      <c r="E68" s="47">
        <v>50112947</v>
      </c>
      <c r="F68" s="47" t="s">
        <v>131</v>
      </c>
      <c r="G68" s="46">
        <v>194000</v>
      </c>
      <c r="H68" s="47">
        <v>2.93</v>
      </c>
      <c r="I68" s="46">
        <f t="shared" ref="I68:I132" si="10">G68*H68</f>
        <v>568420</v>
      </c>
      <c r="J68" s="46"/>
      <c r="K68" s="46">
        <v>194000</v>
      </c>
      <c r="L68" s="46"/>
      <c r="M68" s="47">
        <v>25501377</v>
      </c>
      <c r="N68" s="48">
        <v>4501091393</v>
      </c>
      <c r="O68" s="49">
        <v>45979</v>
      </c>
      <c r="P68" s="50">
        <v>4</v>
      </c>
      <c r="Q68" s="49">
        <v>46013</v>
      </c>
      <c r="R68" s="47"/>
      <c r="S68" s="52">
        <v>46029</v>
      </c>
      <c r="T68" s="47">
        <v>1</v>
      </c>
      <c r="U68" s="47">
        <v>1</v>
      </c>
      <c r="V68" s="47"/>
      <c r="W68" s="52">
        <f t="shared" si="9"/>
        <v>46031</v>
      </c>
      <c r="X68" s="59"/>
    </row>
    <row r="69" spans="1:24" hidden="1">
      <c r="A69" s="46" t="s">
        <v>346</v>
      </c>
      <c r="B69" s="46" t="s">
        <v>460</v>
      </c>
      <c r="C69" s="47" t="s">
        <v>414</v>
      </c>
      <c r="D69" s="47" t="s">
        <v>112</v>
      </c>
      <c r="E69" s="47">
        <v>50104632</v>
      </c>
      <c r="F69" s="47" t="s">
        <v>113</v>
      </c>
      <c r="G69" s="46">
        <v>15000</v>
      </c>
      <c r="H69" s="47">
        <v>3.84</v>
      </c>
      <c r="I69" s="46">
        <f t="shared" si="10"/>
        <v>57600</v>
      </c>
      <c r="J69" s="46" t="s">
        <v>374</v>
      </c>
      <c r="K69" s="46"/>
      <c r="L69" s="46" t="s">
        <v>482</v>
      </c>
      <c r="M69" s="47">
        <v>25501325</v>
      </c>
      <c r="N69" s="48">
        <v>4114015386</v>
      </c>
      <c r="O69" s="49">
        <v>45972</v>
      </c>
      <c r="P69" s="50">
        <v>5</v>
      </c>
      <c r="Q69" s="49">
        <v>46022</v>
      </c>
      <c r="R69" s="47" t="s">
        <v>463</v>
      </c>
      <c r="S69" s="51">
        <v>46042</v>
      </c>
      <c r="T69" s="47">
        <v>1</v>
      </c>
      <c r="U69" s="47">
        <v>1</v>
      </c>
      <c r="V69" s="47">
        <v>3</v>
      </c>
      <c r="W69" s="52">
        <f t="shared" ref="W69:W75" si="11">S69+T69+U69+V69</f>
        <v>46047</v>
      </c>
      <c r="X69" s="59"/>
    </row>
    <row r="70" spans="1:24" hidden="1">
      <c r="A70" s="46" t="s">
        <v>351</v>
      </c>
      <c r="B70" s="46" t="s">
        <v>455</v>
      </c>
      <c r="C70" s="47" t="s">
        <v>115</v>
      </c>
      <c r="D70" s="47" t="s">
        <v>115</v>
      </c>
      <c r="E70" s="47">
        <v>50082167</v>
      </c>
      <c r="F70" s="47" t="s">
        <v>116</v>
      </c>
      <c r="G70" s="46">
        <v>100000</v>
      </c>
      <c r="H70" s="47">
        <v>2.61</v>
      </c>
      <c r="I70" s="46">
        <f t="shared" si="10"/>
        <v>261000</v>
      </c>
      <c r="J70" s="46" t="s">
        <v>374</v>
      </c>
      <c r="K70" s="46"/>
      <c r="L70" s="46" t="s">
        <v>477</v>
      </c>
      <c r="M70" s="47">
        <v>25501326</v>
      </c>
      <c r="N70" s="48" t="s">
        <v>114</v>
      </c>
      <c r="O70" s="49">
        <v>45972</v>
      </c>
      <c r="P70" s="50">
        <v>1</v>
      </c>
      <c r="Q70" s="49">
        <v>46022</v>
      </c>
      <c r="R70" s="47" t="s">
        <v>462</v>
      </c>
      <c r="S70" s="51">
        <v>46042</v>
      </c>
      <c r="T70" s="47">
        <v>1</v>
      </c>
      <c r="U70" s="47">
        <v>1</v>
      </c>
      <c r="V70" s="47">
        <v>3</v>
      </c>
      <c r="W70" s="51">
        <f t="shared" si="11"/>
        <v>46047</v>
      </c>
      <c r="X70" s="60"/>
    </row>
    <row r="71" spans="1:24" hidden="1">
      <c r="A71" s="46" t="s">
        <v>351</v>
      </c>
      <c r="B71" s="46" t="s">
        <v>455</v>
      </c>
      <c r="C71" s="47" t="s">
        <v>115</v>
      </c>
      <c r="D71" s="47" t="s">
        <v>115</v>
      </c>
      <c r="E71" s="47">
        <v>50082187</v>
      </c>
      <c r="F71" s="47" t="s">
        <v>117</v>
      </c>
      <c r="G71" s="46">
        <v>100000</v>
      </c>
      <c r="H71" s="47">
        <v>0.53</v>
      </c>
      <c r="I71" s="46">
        <f t="shared" si="10"/>
        <v>53000</v>
      </c>
      <c r="J71" s="46" t="s">
        <v>374</v>
      </c>
      <c r="K71" s="46"/>
      <c r="L71" s="46"/>
      <c r="M71" s="47">
        <v>25501326</v>
      </c>
      <c r="N71" s="48" t="s">
        <v>114</v>
      </c>
      <c r="O71" s="49">
        <v>45972</v>
      </c>
      <c r="P71" s="50">
        <v>2</v>
      </c>
      <c r="Q71" s="49">
        <v>46022</v>
      </c>
      <c r="R71" s="47" t="s">
        <v>462</v>
      </c>
      <c r="S71" s="51">
        <v>46053</v>
      </c>
      <c r="T71" s="47">
        <v>1</v>
      </c>
      <c r="U71" s="47">
        <v>1</v>
      </c>
      <c r="V71" s="47">
        <v>3</v>
      </c>
      <c r="W71" s="51">
        <f t="shared" si="11"/>
        <v>46058</v>
      </c>
      <c r="X71" s="60"/>
    </row>
    <row r="72" spans="1:24" hidden="1">
      <c r="A72" s="46" t="s">
        <v>351</v>
      </c>
      <c r="B72" s="46" t="s">
        <v>455</v>
      </c>
      <c r="C72" s="47" t="s">
        <v>115</v>
      </c>
      <c r="D72" s="47" t="s">
        <v>115</v>
      </c>
      <c r="E72" s="47">
        <v>50082078</v>
      </c>
      <c r="F72" s="47" t="s">
        <v>118</v>
      </c>
      <c r="G72" s="46">
        <v>100000</v>
      </c>
      <c r="H72" s="47">
        <v>0.15</v>
      </c>
      <c r="I72" s="46">
        <f t="shared" si="10"/>
        <v>15000</v>
      </c>
      <c r="J72" s="46" t="s">
        <v>374</v>
      </c>
      <c r="K72" s="46"/>
      <c r="L72" s="46" t="s">
        <v>477</v>
      </c>
      <c r="M72" s="47">
        <v>25501326</v>
      </c>
      <c r="N72" s="48" t="s">
        <v>114</v>
      </c>
      <c r="O72" s="49">
        <v>45972</v>
      </c>
      <c r="P72" s="50">
        <v>3</v>
      </c>
      <c r="Q72" s="49">
        <v>46022</v>
      </c>
      <c r="R72" s="47" t="s">
        <v>462</v>
      </c>
      <c r="S72" s="51">
        <v>46053</v>
      </c>
      <c r="T72" s="47">
        <v>1</v>
      </c>
      <c r="U72" s="47">
        <v>1</v>
      </c>
      <c r="V72" s="47">
        <v>3</v>
      </c>
      <c r="W72" s="51">
        <f t="shared" si="11"/>
        <v>46058</v>
      </c>
      <c r="X72" s="60"/>
    </row>
    <row r="73" spans="1:24" hidden="1">
      <c r="A73" s="46" t="s">
        <v>346</v>
      </c>
      <c r="B73" s="46" t="s">
        <v>457</v>
      </c>
      <c r="C73" s="47" t="s">
        <v>121</v>
      </c>
      <c r="D73" s="47" t="s">
        <v>121</v>
      </c>
      <c r="E73" s="47">
        <v>50083291</v>
      </c>
      <c r="F73" s="47" t="s">
        <v>25</v>
      </c>
      <c r="G73" s="46">
        <v>100000</v>
      </c>
      <c r="H73" s="47">
        <v>1.57</v>
      </c>
      <c r="I73" s="46">
        <f t="shared" si="10"/>
        <v>157000</v>
      </c>
      <c r="J73" s="46" t="s">
        <v>374</v>
      </c>
      <c r="K73" s="46"/>
      <c r="L73" s="46"/>
      <c r="M73" s="47">
        <v>25501345</v>
      </c>
      <c r="N73" s="48">
        <v>9300780604</v>
      </c>
      <c r="O73" s="49">
        <v>45975</v>
      </c>
      <c r="P73" s="50">
        <v>1</v>
      </c>
      <c r="Q73" s="49">
        <v>46006</v>
      </c>
      <c r="R73" s="47" t="s">
        <v>463</v>
      </c>
      <c r="S73" s="51">
        <v>46026</v>
      </c>
      <c r="T73" s="47">
        <v>1</v>
      </c>
      <c r="U73" s="47">
        <v>1</v>
      </c>
      <c r="V73" s="47">
        <v>3</v>
      </c>
      <c r="W73" s="52">
        <f t="shared" si="11"/>
        <v>46031</v>
      </c>
      <c r="X73" s="59"/>
    </row>
    <row r="74" spans="1:24" hidden="1">
      <c r="A74" s="46" t="s">
        <v>346</v>
      </c>
      <c r="B74" s="46" t="s">
        <v>457</v>
      </c>
      <c r="C74" s="47" t="s">
        <v>121</v>
      </c>
      <c r="D74" s="47" t="s">
        <v>121</v>
      </c>
      <c r="E74" s="47">
        <v>50081547</v>
      </c>
      <c r="F74" s="47" t="s">
        <v>122</v>
      </c>
      <c r="G74" s="46">
        <v>100000</v>
      </c>
      <c r="H74" s="47">
        <v>2.2400000000000002</v>
      </c>
      <c r="I74" s="46">
        <f t="shared" si="10"/>
        <v>224000.00000000003</v>
      </c>
      <c r="J74" s="46" t="s">
        <v>374</v>
      </c>
      <c r="K74" s="46"/>
      <c r="L74" s="46"/>
      <c r="M74" s="47">
        <v>25501345</v>
      </c>
      <c r="N74" s="48">
        <v>9300780604</v>
      </c>
      <c r="O74" s="49">
        <v>45975</v>
      </c>
      <c r="P74" s="50">
        <v>2</v>
      </c>
      <c r="Q74" s="49">
        <v>46006</v>
      </c>
      <c r="R74" s="47" t="s">
        <v>463</v>
      </c>
      <c r="S74" s="51">
        <v>46026</v>
      </c>
      <c r="T74" s="47">
        <v>1</v>
      </c>
      <c r="U74" s="47">
        <v>1</v>
      </c>
      <c r="V74" s="47">
        <v>3</v>
      </c>
      <c r="W74" s="52">
        <f t="shared" si="11"/>
        <v>46031</v>
      </c>
      <c r="X74" s="59"/>
    </row>
    <row r="75" spans="1:24" hidden="1">
      <c r="A75" s="46" t="s">
        <v>346</v>
      </c>
      <c r="B75" s="46" t="s">
        <v>457</v>
      </c>
      <c r="C75" s="47" t="s">
        <v>121</v>
      </c>
      <c r="D75" s="47" t="s">
        <v>121</v>
      </c>
      <c r="E75" s="47">
        <v>50113738</v>
      </c>
      <c r="F75" s="47" t="s">
        <v>12</v>
      </c>
      <c r="G75" s="46">
        <v>100000</v>
      </c>
      <c r="H75" s="47">
        <v>1.22</v>
      </c>
      <c r="I75" s="46">
        <f t="shared" si="10"/>
        <v>122000</v>
      </c>
      <c r="J75" s="46" t="s">
        <v>374</v>
      </c>
      <c r="K75" s="46"/>
      <c r="L75" s="46"/>
      <c r="M75" s="47">
        <v>25501345</v>
      </c>
      <c r="N75" s="48">
        <v>9300780604</v>
      </c>
      <c r="O75" s="49">
        <v>45975</v>
      </c>
      <c r="P75" s="50">
        <v>3</v>
      </c>
      <c r="Q75" s="49">
        <v>46006</v>
      </c>
      <c r="R75" s="47" t="s">
        <v>463</v>
      </c>
      <c r="S75" s="51">
        <v>46026</v>
      </c>
      <c r="T75" s="47">
        <v>1</v>
      </c>
      <c r="U75" s="47">
        <v>1</v>
      </c>
      <c r="V75" s="47">
        <v>3</v>
      </c>
      <c r="W75" s="52">
        <f t="shared" si="11"/>
        <v>46031</v>
      </c>
      <c r="X75" s="59"/>
    </row>
    <row r="76" spans="1:24" hidden="1">
      <c r="A76" s="46" t="s">
        <v>347</v>
      </c>
      <c r="B76" s="46" t="s">
        <v>457</v>
      </c>
      <c r="C76" s="47" t="s">
        <v>26</v>
      </c>
      <c r="D76" s="47" t="s">
        <v>26</v>
      </c>
      <c r="E76" s="47">
        <v>50112947</v>
      </c>
      <c r="F76" s="47" t="s">
        <v>131</v>
      </c>
      <c r="G76" s="46">
        <v>500000</v>
      </c>
      <c r="H76" s="47">
        <v>2.93</v>
      </c>
      <c r="I76" s="46">
        <f t="shared" si="10"/>
        <v>1465000</v>
      </c>
      <c r="J76" s="46"/>
      <c r="K76" s="46">
        <v>500000</v>
      </c>
      <c r="L76" s="46"/>
      <c r="M76" s="47">
        <v>25501377</v>
      </c>
      <c r="N76" s="48">
        <v>4501091393</v>
      </c>
      <c r="O76" s="49">
        <v>45979</v>
      </c>
      <c r="P76" s="50">
        <v>5</v>
      </c>
      <c r="Q76" s="49">
        <v>46033</v>
      </c>
      <c r="R76" s="47" t="s">
        <v>495</v>
      </c>
      <c r="S76" s="52">
        <v>46028</v>
      </c>
      <c r="T76" s="47">
        <v>1</v>
      </c>
      <c r="U76" s="47">
        <v>1</v>
      </c>
      <c r="V76" s="47"/>
      <c r="W76" s="52">
        <f t="shared" ref="W76:W77" si="12">S76+T76+U76</f>
        <v>46030</v>
      </c>
      <c r="X76" s="59"/>
    </row>
    <row r="77" spans="1:24" hidden="1">
      <c r="A77" s="46" t="s">
        <v>347</v>
      </c>
      <c r="B77" s="46" t="s">
        <v>457</v>
      </c>
      <c r="C77" s="47" t="s">
        <v>26</v>
      </c>
      <c r="D77" s="47" t="s">
        <v>26</v>
      </c>
      <c r="E77" s="47">
        <v>50112947</v>
      </c>
      <c r="F77" s="47" t="s">
        <v>131</v>
      </c>
      <c r="G77" s="46">
        <v>306000</v>
      </c>
      <c r="H77" s="47">
        <v>2.93</v>
      </c>
      <c r="I77" s="46">
        <f t="shared" si="10"/>
        <v>896580</v>
      </c>
      <c r="J77" s="46"/>
      <c r="K77" s="46">
        <v>306000</v>
      </c>
      <c r="L77" s="46"/>
      <c r="M77" s="47"/>
      <c r="N77" s="48"/>
      <c r="O77" s="49"/>
      <c r="P77" s="50"/>
      <c r="Q77" s="49"/>
      <c r="R77" s="47"/>
      <c r="S77" s="52">
        <v>46029</v>
      </c>
      <c r="T77" s="47">
        <v>1</v>
      </c>
      <c r="U77" s="47">
        <v>1</v>
      </c>
      <c r="V77" s="47"/>
      <c r="W77" s="52">
        <f t="shared" si="12"/>
        <v>46031</v>
      </c>
      <c r="X77" s="59"/>
    </row>
    <row r="78" spans="1:24" hidden="1">
      <c r="A78" s="46" t="s">
        <v>351</v>
      </c>
      <c r="B78" s="46" t="s">
        <v>457</v>
      </c>
      <c r="C78" s="47" t="s">
        <v>126</v>
      </c>
      <c r="D78" s="47" t="s">
        <v>126</v>
      </c>
      <c r="E78" s="47">
        <v>50082142</v>
      </c>
      <c r="F78" s="47" t="s">
        <v>127</v>
      </c>
      <c r="G78" s="46">
        <v>50000</v>
      </c>
      <c r="H78" s="47">
        <v>1.68</v>
      </c>
      <c r="I78" s="46">
        <f t="shared" si="10"/>
        <v>84000</v>
      </c>
      <c r="J78" s="46" t="s">
        <v>374</v>
      </c>
      <c r="K78" s="46"/>
      <c r="L78" s="46"/>
      <c r="M78" s="47">
        <v>25501363</v>
      </c>
      <c r="N78" s="48" t="s">
        <v>125</v>
      </c>
      <c r="O78" s="49">
        <v>45978</v>
      </c>
      <c r="P78" s="50">
        <v>1</v>
      </c>
      <c r="Q78" s="49">
        <v>46008</v>
      </c>
      <c r="R78" s="47" t="s">
        <v>462</v>
      </c>
      <c r="S78" s="51">
        <v>46049</v>
      </c>
      <c r="T78" s="47">
        <v>1</v>
      </c>
      <c r="U78" s="47">
        <v>1</v>
      </c>
      <c r="V78" s="47">
        <v>3</v>
      </c>
      <c r="W78" s="51">
        <f t="shared" ref="W78:W83" si="13">S78+T78+U78+V78</f>
        <v>46054</v>
      </c>
      <c r="X78" s="60"/>
    </row>
    <row r="79" spans="1:24" hidden="1">
      <c r="A79" s="46" t="s">
        <v>351</v>
      </c>
      <c r="B79" s="46" t="s">
        <v>457</v>
      </c>
      <c r="C79" s="47" t="s">
        <v>126</v>
      </c>
      <c r="D79" s="47" t="s">
        <v>126</v>
      </c>
      <c r="E79" s="47">
        <v>50082186</v>
      </c>
      <c r="F79" s="47" t="s">
        <v>128</v>
      </c>
      <c r="G79" s="46">
        <v>50000</v>
      </c>
      <c r="H79" s="47">
        <v>0.52400000000000002</v>
      </c>
      <c r="I79" s="46">
        <f t="shared" si="10"/>
        <v>26200</v>
      </c>
      <c r="J79" s="46" t="s">
        <v>374</v>
      </c>
      <c r="K79" s="46"/>
      <c r="L79" s="46"/>
      <c r="M79" s="47">
        <v>25501363</v>
      </c>
      <c r="N79" s="48" t="s">
        <v>125</v>
      </c>
      <c r="O79" s="49">
        <v>45978</v>
      </c>
      <c r="P79" s="50">
        <v>2</v>
      </c>
      <c r="Q79" s="49">
        <v>46008</v>
      </c>
      <c r="R79" s="47" t="s">
        <v>462</v>
      </c>
      <c r="S79" s="51">
        <v>46049</v>
      </c>
      <c r="T79" s="47">
        <v>1</v>
      </c>
      <c r="U79" s="47">
        <v>1</v>
      </c>
      <c r="V79" s="47">
        <v>3</v>
      </c>
      <c r="W79" s="51">
        <f t="shared" si="13"/>
        <v>46054</v>
      </c>
      <c r="X79" s="60"/>
    </row>
    <row r="80" spans="1:24" hidden="1">
      <c r="A80" s="46" t="s">
        <v>351</v>
      </c>
      <c r="B80" s="46" t="s">
        <v>457</v>
      </c>
      <c r="C80" s="47" t="s">
        <v>126</v>
      </c>
      <c r="D80" s="47" t="s">
        <v>126</v>
      </c>
      <c r="E80" s="47">
        <v>50082077</v>
      </c>
      <c r="F80" s="47" t="s">
        <v>59</v>
      </c>
      <c r="G80" s="46">
        <v>50000</v>
      </c>
      <c r="H80" s="47">
        <v>0.15</v>
      </c>
      <c r="I80" s="46">
        <f t="shared" si="10"/>
        <v>7500</v>
      </c>
      <c r="J80" s="46" t="s">
        <v>374</v>
      </c>
      <c r="K80" s="46"/>
      <c r="L80" s="46"/>
      <c r="M80" s="47">
        <v>25501363</v>
      </c>
      <c r="N80" s="48" t="s">
        <v>125</v>
      </c>
      <c r="O80" s="49">
        <v>45978</v>
      </c>
      <c r="P80" s="50">
        <v>3</v>
      </c>
      <c r="Q80" s="49">
        <v>46008</v>
      </c>
      <c r="R80" s="47" t="s">
        <v>462</v>
      </c>
      <c r="S80" s="51">
        <v>46049</v>
      </c>
      <c r="T80" s="47">
        <v>1</v>
      </c>
      <c r="U80" s="47">
        <v>1</v>
      </c>
      <c r="V80" s="47">
        <v>3</v>
      </c>
      <c r="W80" s="51">
        <f t="shared" si="13"/>
        <v>46054</v>
      </c>
      <c r="X80" s="60"/>
    </row>
    <row r="81" spans="1:24" hidden="1">
      <c r="A81" s="46" t="s">
        <v>351</v>
      </c>
      <c r="B81" s="46" t="s">
        <v>457</v>
      </c>
      <c r="C81" s="47" t="s">
        <v>126</v>
      </c>
      <c r="D81" s="47" t="s">
        <v>126</v>
      </c>
      <c r="E81" s="47">
        <v>50110676</v>
      </c>
      <c r="F81" s="47" t="s">
        <v>129</v>
      </c>
      <c r="G81" s="46">
        <v>20000</v>
      </c>
      <c r="H81" s="47">
        <v>1.905</v>
      </c>
      <c r="I81" s="46">
        <f t="shared" si="10"/>
        <v>38100</v>
      </c>
      <c r="J81" s="46" t="s">
        <v>374</v>
      </c>
      <c r="K81" s="46"/>
      <c r="L81" s="46"/>
      <c r="M81" s="47">
        <v>25501363</v>
      </c>
      <c r="N81" s="48" t="s">
        <v>125</v>
      </c>
      <c r="O81" s="49">
        <v>45978</v>
      </c>
      <c r="P81" s="50">
        <v>4</v>
      </c>
      <c r="Q81" s="49">
        <v>46008</v>
      </c>
      <c r="R81" s="47" t="s">
        <v>462</v>
      </c>
      <c r="S81" s="51">
        <v>46049</v>
      </c>
      <c r="T81" s="47">
        <v>1</v>
      </c>
      <c r="U81" s="47">
        <v>1</v>
      </c>
      <c r="V81" s="47">
        <v>3</v>
      </c>
      <c r="W81" s="51">
        <f t="shared" si="13"/>
        <v>46054</v>
      </c>
      <c r="X81" s="60"/>
    </row>
    <row r="82" spans="1:24" hidden="1">
      <c r="A82" s="46" t="s">
        <v>351</v>
      </c>
      <c r="B82" s="46" t="s">
        <v>457</v>
      </c>
      <c r="C82" s="47" t="s">
        <v>126</v>
      </c>
      <c r="D82" s="47" t="s">
        <v>126</v>
      </c>
      <c r="E82" s="47">
        <v>50081915</v>
      </c>
      <c r="F82" s="47" t="s">
        <v>130</v>
      </c>
      <c r="G82" s="46">
        <v>20000</v>
      </c>
      <c r="H82" s="47">
        <v>0.52400000000000002</v>
      </c>
      <c r="I82" s="46">
        <f t="shared" si="10"/>
        <v>10480</v>
      </c>
      <c r="J82" s="46" t="s">
        <v>374</v>
      </c>
      <c r="K82" s="46"/>
      <c r="L82" s="46"/>
      <c r="M82" s="47">
        <v>25501363</v>
      </c>
      <c r="N82" s="48" t="s">
        <v>125</v>
      </c>
      <c r="O82" s="49">
        <v>45978</v>
      </c>
      <c r="P82" s="50">
        <v>5.0999999999999996</v>
      </c>
      <c r="Q82" s="49">
        <v>46008</v>
      </c>
      <c r="R82" s="47" t="s">
        <v>462</v>
      </c>
      <c r="S82" s="51">
        <v>46049</v>
      </c>
      <c r="T82" s="47">
        <v>1</v>
      </c>
      <c r="U82" s="47">
        <v>1</v>
      </c>
      <c r="V82" s="47">
        <v>3</v>
      </c>
      <c r="W82" s="51">
        <f t="shared" si="13"/>
        <v>46054</v>
      </c>
      <c r="X82" s="60"/>
    </row>
    <row r="83" spans="1:24" hidden="1">
      <c r="A83" s="46" t="s">
        <v>351</v>
      </c>
      <c r="B83" s="46" t="s">
        <v>457</v>
      </c>
      <c r="C83" s="47" t="s">
        <v>126</v>
      </c>
      <c r="D83" s="47" t="s">
        <v>126</v>
      </c>
      <c r="E83" s="47">
        <v>50082077</v>
      </c>
      <c r="F83" s="47" t="s">
        <v>59</v>
      </c>
      <c r="G83" s="46">
        <v>20000</v>
      </c>
      <c r="H83" s="47">
        <v>0.15</v>
      </c>
      <c r="I83" s="46">
        <f t="shared" si="10"/>
        <v>3000</v>
      </c>
      <c r="J83" s="46" t="s">
        <v>374</v>
      </c>
      <c r="K83" s="46"/>
      <c r="L83" s="46"/>
      <c r="M83" s="47">
        <v>25501363</v>
      </c>
      <c r="N83" s="48" t="s">
        <v>125</v>
      </c>
      <c r="O83" s="49">
        <v>45978</v>
      </c>
      <c r="P83" s="50">
        <v>6.1</v>
      </c>
      <c r="Q83" s="49">
        <v>46008</v>
      </c>
      <c r="R83" s="47" t="s">
        <v>462</v>
      </c>
      <c r="S83" s="51">
        <v>46049</v>
      </c>
      <c r="T83" s="47">
        <v>1</v>
      </c>
      <c r="U83" s="47">
        <v>1</v>
      </c>
      <c r="V83" s="47">
        <v>3</v>
      </c>
      <c r="W83" s="51">
        <f t="shared" si="13"/>
        <v>46054</v>
      </c>
      <c r="X83" s="60"/>
    </row>
    <row r="84" spans="1:24" hidden="1">
      <c r="A84" s="47" t="s">
        <v>347</v>
      </c>
      <c r="B84" s="46" t="s">
        <v>457</v>
      </c>
      <c r="C84" s="47" t="s">
        <v>26</v>
      </c>
      <c r="D84" s="47" t="str">
        <f>C84</f>
        <v>GLENMARK PHARMACEUTICALS LIMIT</v>
      </c>
      <c r="E84" s="53">
        <v>50108164</v>
      </c>
      <c r="F84" s="47" t="s">
        <v>399</v>
      </c>
      <c r="G84" s="46">
        <v>150000</v>
      </c>
      <c r="H84" s="47">
        <v>2.46</v>
      </c>
      <c r="I84" s="46">
        <f t="shared" ref="I84" si="14">G84*H84</f>
        <v>369000</v>
      </c>
      <c r="J84" s="47" t="s">
        <v>374</v>
      </c>
      <c r="K84" s="47">
        <v>150000</v>
      </c>
      <c r="L84" s="47"/>
      <c r="M84" s="47"/>
      <c r="N84" s="47"/>
      <c r="O84" s="47"/>
      <c r="P84" s="47"/>
      <c r="Q84" s="49"/>
      <c r="R84" s="47" t="s">
        <v>495</v>
      </c>
      <c r="S84" s="52">
        <v>46028</v>
      </c>
      <c r="T84" s="47">
        <v>1</v>
      </c>
      <c r="U84" s="47">
        <v>1</v>
      </c>
      <c r="V84" s="47"/>
      <c r="W84" s="52">
        <f t="shared" ref="W84" si="15">S84+T84+U84</f>
        <v>46030</v>
      </c>
      <c r="X84" s="59"/>
    </row>
    <row r="85" spans="1:24" hidden="1">
      <c r="A85" s="47" t="s">
        <v>347</v>
      </c>
      <c r="B85" s="46" t="s">
        <v>457</v>
      </c>
      <c r="C85" s="47" t="s">
        <v>26</v>
      </c>
      <c r="D85" s="47" t="str">
        <f>C85</f>
        <v>GLENMARK PHARMACEUTICALS LIMIT</v>
      </c>
      <c r="E85" s="53">
        <v>50108164</v>
      </c>
      <c r="F85" s="47" t="s">
        <v>399</v>
      </c>
      <c r="G85" s="46">
        <v>150000</v>
      </c>
      <c r="H85" s="47">
        <v>2.46</v>
      </c>
      <c r="I85" s="46">
        <f t="shared" si="10"/>
        <v>369000</v>
      </c>
      <c r="J85" s="47" t="s">
        <v>401</v>
      </c>
      <c r="K85" s="47">
        <v>150000</v>
      </c>
      <c r="L85" s="47"/>
      <c r="M85" s="47"/>
      <c r="N85" s="47"/>
      <c r="O85" s="47"/>
      <c r="P85" s="47"/>
      <c r="Q85" s="49"/>
      <c r="R85" s="47" t="s">
        <v>495</v>
      </c>
      <c r="S85" s="52">
        <v>46028</v>
      </c>
      <c r="T85" s="47">
        <v>1</v>
      </c>
      <c r="U85" s="47">
        <v>1</v>
      </c>
      <c r="V85" s="47"/>
      <c r="W85" s="52">
        <f t="shared" ref="W85:W86" si="16">S85+T85+U85</f>
        <v>46030</v>
      </c>
      <c r="X85" s="59"/>
    </row>
    <row r="86" spans="1:24" hidden="1">
      <c r="A86" s="46" t="s">
        <v>347</v>
      </c>
      <c r="B86" s="46" t="s">
        <v>460</v>
      </c>
      <c r="C86" s="47" t="s">
        <v>303</v>
      </c>
      <c r="D86" s="47" t="s">
        <v>303</v>
      </c>
      <c r="E86" s="47">
        <v>50104777</v>
      </c>
      <c r="F86" s="47" t="s">
        <v>304</v>
      </c>
      <c r="G86" s="46">
        <v>476000</v>
      </c>
      <c r="H86" s="47">
        <v>1.7871999999999999</v>
      </c>
      <c r="I86" s="46">
        <f t="shared" si="10"/>
        <v>850707.2</v>
      </c>
      <c r="J86" s="46" t="s">
        <v>374</v>
      </c>
      <c r="K86" s="46">
        <v>476000</v>
      </c>
      <c r="L86" s="46"/>
      <c r="M86" s="47">
        <v>25880063</v>
      </c>
      <c r="N86" s="48">
        <v>4503695647</v>
      </c>
      <c r="O86" s="49">
        <v>45997</v>
      </c>
      <c r="P86" s="50">
        <v>1</v>
      </c>
      <c r="Q86" s="49">
        <v>46083</v>
      </c>
      <c r="R86" s="47" t="s">
        <v>495</v>
      </c>
      <c r="S86" s="52">
        <v>46028</v>
      </c>
      <c r="T86" s="47">
        <v>1</v>
      </c>
      <c r="U86" s="47">
        <v>1</v>
      </c>
      <c r="V86" s="47"/>
      <c r="W86" s="52">
        <f t="shared" si="16"/>
        <v>46030</v>
      </c>
      <c r="X86" s="59"/>
    </row>
    <row r="87" spans="1:24" hidden="1">
      <c r="A87" s="46" t="s">
        <v>346</v>
      </c>
      <c r="B87" s="46" t="s">
        <v>455</v>
      </c>
      <c r="C87" s="47" t="s">
        <v>119</v>
      </c>
      <c r="D87" s="47" t="s">
        <v>119</v>
      </c>
      <c r="E87" s="47">
        <v>50092423</v>
      </c>
      <c r="F87" s="47" t="s">
        <v>133</v>
      </c>
      <c r="G87" s="46">
        <v>60000</v>
      </c>
      <c r="H87" s="47">
        <v>3.5</v>
      </c>
      <c r="I87" s="46">
        <f t="shared" si="10"/>
        <v>210000</v>
      </c>
      <c r="J87" s="46" t="s">
        <v>504</v>
      </c>
      <c r="K87" s="46"/>
      <c r="L87" s="46"/>
      <c r="M87" s="47">
        <v>25501384</v>
      </c>
      <c r="N87" s="48">
        <v>9500160684</v>
      </c>
      <c r="O87" s="49">
        <v>45981</v>
      </c>
      <c r="P87" s="50">
        <v>1</v>
      </c>
      <c r="Q87" s="49">
        <v>46011</v>
      </c>
      <c r="R87" s="47" t="s">
        <v>463</v>
      </c>
      <c r="S87" s="52">
        <v>46024</v>
      </c>
      <c r="T87" s="47">
        <v>1</v>
      </c>
      <c r="U87" s="47">
        <v>1</v>
      </c>
      <c r="V87" s="47">
        <v>3</v>
      </c>
      <c r="W87" s="52">
        <f t="shared" ref="W87:W95" si="17">S87+T87+U87+V87</f>
        <v>46029</v>
      </c>
      <c r="X87" s="59"/>
    </row>
    <row r="88" spans="1:24" hidden="1">
      <c r="A88" s="46" t="s">
        <v>346</v>
      </c>
      <c r="B88" s="46" t="s">
        <v>455</v>
      </c>
      <c r="C88" s="47" t="s">
        <v>119</v>
      </c>
      <c r="D88" s="47" t="s">
        <v>119</v>
      </c>
      <c r="E88" s="47">
        <v>50113650</v>
      </c>
      <c r="F88" s="47" t="s">
        <v>18</v>
      </c>
      <c r="G88" s="46">
        <v>60000</v>
      </c>
      <c r="H88" s="47">
        <v>1.8</v>
      </c>
      <c r="I88" s="46">
        <f t="shared" si="10"/>
        <v>108000</v>
      </c>
      <c r="J88" s="46" t="s">
        <v>504</v>
      </c>
      <c r="K88" s="46"/>
      <c r="L88" s="46"/>
      <c r="M88" s="47">
        <v>25501384</v>
      </c>
      <c r="N88" s="48">
        <v>9500160684</v>
      </c>
      <c r="O88" s="49">
        <v>45981</v>
      </c>
      <c r="P88" s="50">
        <v>2</v>
      </c>
      <c r="Q88" s="49">
        <v>46011</v>
      </c>
      <c r="R88" s="47" t="s">
        <v>463</v>
      </c>
      <c r="S88" s="52">
        <v>46024</v>
      </c>
      <c r="T88" s="47">
        <v>1</v>
      </c>
      <c r="U88" s="47">
        <v>1</v>
      </c>
      <c r="V88" s="47">
        <v>3</v>
      </c>
      <c r="W88" s="52">
        <f t="shared" si="17"/>
        <v>46029</v>
      </c>
      <c r="X88" s="59"/>
    </row>
    <row r="89" spans="1:24" hidden="1">
      <c r="A89" s="46" t="s">
        <v>346</v>
      </c>
      <c r="B89" s="46" t="s">
        <v>455</v>
      </c>
      <c r="C89" s="47" t="s">
        <v>119</v>
      </c>
      <c r="D89" s="47" t="s">
        <v>119</v>
      </c>
      <c r="E89" s="47">
        <v>50114461</v>
      </c>
      <c r="F89" s="47" t="s">
        <v>134</v>
      </c>
      <c r="G89" s="46">
        <v>60000</v>
      </c>
      <c r="H89" s="47">
        <v>2.75</v>
      </c>
      <c r="I89" s="46">
        <f t="shared" si="10"/>
        <v>165000</v>
      </c>
      <c r="J89" s="46" t="s">
        <v>504</v>
      </c>
      <c r="K89" s="46"/>
      <c r="L89" s="46"/>
      <c r="M89" s="47">
        <v>25501384</v>
      </c>
      <c r="N89" s="48">
        <v>9500160684</v>
      </c>
      <c r="O89" s="49">
        <v>45981</v>
      </c>
      <c r="P89" s="50">
        <v>3</v>
      </c>
      <c r="Q89" s="49">
        <v>46011</v>
      </c>
      <c r="R89" s="47" t="s">
        <v>463</v>
      </c>
      <c r="S89" s="52">
        <v>46024</v>
      </c>
      <c r="T89" s="47">
        <v>1</v>
      </c>
      <c r="U89" s="47">
        <v>1</v>
      </c>
      <c r="V89" s="47">
        <v>3</v>
      </c>
      <c r="W89" s="52">
        <f t="shared" si="17"/>
        <v>46029</v>
      </c>
      <c r="X89" s="59"/>
    </row>
    <row r="90" spans="1:24" hidden="1">
      <c r="A90" s="46" t="s">
        <v>349</v>
      </c>
      <c r="B90" s="46" t="s">
        <v>457</v>
      </c>
      <c r="C90" s="47" t="s">
        <v>135</v>
      </c>
      <c r="D90" s="47" t="s">
        <v>136</v>
      </c>
      <c r="E90" s="47">
        <v>50081840</v>
      </c>
      <c r="F90" s="47" t="s">
        <v>137</v>
      </c>
      <c r="G90" s="46">
        <v>100000</v>
      </c>
      <c r="H90" s="47">
        <v>0.9</v>
      </c>
      <c r="I90" s="46">
        <f t="shared" si="10"/>
        <v>90000</v>
      </c>
      <c r="J90" s="46" t="s">
        <v>374</v>
      </c>
      <c r="K90" s="46"/>
      <c r="L90" s="46"/>
      <c r="M90" s="47">
        <v>25501388</v>
      </c>
      <c r="N90" s="48">
        <v>4100013250</v>
      </c>
      <c r="O90" s="49">
        <v>45981</v>
      </c>
      <c r="P90" s="50">
        <v>1</v>
      </c>
      <c r="Q90" s="49">
        <v>46068</v>
      </c>
      <c r="R90" s="47" t="s">
        <v>463</v>
      </c>
      <c r="S90" s="51">
        <v>46030</v>
      </c>
      <c r="T90" s="47">
        <v>1</v>
      </c>
      <c r="U90" s="47">
        <v>1</v>
      </c>
      <c r="V90" s="47">
        <v>3</v>
      </c>
      <c r="W90" s="51">
        <f t="shared" si="17"/>
        <v>46035</v>
      </c>
      <c r="X90" s="60"/>
    </row>
    <row r="91" spans="1:24" hidden="1">
      <c r="A91" s="46" t="s">
        <v>349</v>
      </c>
      <c r="B91" s="46" t="s">
        <v>457</v>
      </c>
      <c r="C91" s="47" t="s">
        <v>135</v>
      </c>
      <c r="D91" s="47" t="s">
        <v>136</v>
      </c>
      <c r="E91" s="47">
        <v>50081840</v>
      </c>
      <c r="F91" s="47" t="s">
        <v>137</v>
      </c>
      <c r="G91" s="46">
        <v>200</v>
      </c>
      <c r="H91" s="47">
        <v>0.9</v>
      </c>
      <c r="I91" s="46">
        <f t="shared" si="10"/>
        <v>180</v>
      </c>
      <c r="J91" s="46" t="s">
        <v>374</v>
      </c>
      <c r="K91" s="46"/>
      <c r="L91" s="46"/>
      <c r="M91" s="47">
        <v>25501388</v>
      </c>
      <c r="N91" s="48">
        <v>4100013250</v>
      </c>
      <c r="O91" s="49">
        <v>45981</v>
      </c>
      <c r="P91" s="50">
        <v>2</v>
      </c>
      <c r="Q91" s="49">
        <v>46068</v>
      </c>
      <c r="R91" s="47" t="s">
        <v>463</v>
      </c>
      <c r="S91" s="51">
        <v>46030</v>
      </c>
      <c r="T91" s="47">
        <v>1</v>
      </c>
      <c r="U91" s="47">
        <v>1</v>
      </c>
      <c r="V91" s="47">
        <v>3</v>
      </c>
      <c r="W91" s="51">
        <f t="shared" si="17"/>
        <v>46035</v>
      </c>
      <c r="X91" s="60"/>
    </row>
    <row r="92" spans="1:24" hidden="1">
      <c r="A92" s="46" t="s">
        <v>351</v>
      </c>
      <c r="B92" s="46" t="s">
        <v>457</v>
      </c>
      <c r="C92" s="47" t="s">
        <v>313</v>
      </c>
      <c r="D92" s="47" t="s">
        <v>313</v>
      </c>
      <c r="E92" s="47">
        <v>50082156</v>
      </c>
      <c r="F92" s="47" t="s">
        <v>138</v>
      </c>
      <c r="G92" s="46">
        <v>89529</v>
      </c>
      <c r="H92" s="47">
        <v>0.39</v>
      </c>
      <c r="I92" s="46">
        <f t="shared" si="10"/>
        <v>34916.31</v>
      </c>
      <c r="J92" s="46" t="s">
        <v>374</v>
      </c>
      <c r="K92" s="46"/>
      <c r="L92" s="46"/>
      <c r="M92" s="47">
        <v>25501389</v>
      </c>
      <c r="N92" s="48">
        <v>2500241653</v>
      </c>
      <c r="O92" s="49">
        <v>45981</v>
      </c>
      <c r="P92" s="50">
        <v>1</v>
      </c>
      <c r="Q92" s="49">
        <v>46011</v>
      </c>
      <c r="R92" s="47" t="s">
        <v>462</v>
      </c>
      <c r="S92" s="51">
        <v>46041</v>
      </c>
      <c r="T92" s="47">
        <v>1</v>
      </c>
      <c r="U92" s="47">
        <v>1</v>
      </c>
      <c r="V92" s="47">
        <v>3</v>
      </c>
      <c r="W92" s="51">
        <f t="shared" si="17"/>
        <v>46046</v>
      </c>
      <c r="X92" s="60"/>
    </row>
    <row r="93" spans="1:24" hidden="1">
      <c r="A93" s="46" t="s">
        <v>351</v>
      </c>
      <c r="B93" s="46" t="s">
        <v>457</v>
      </c>
      <c r="C93" s="47" t="s">
        <v>313</v>
      </c>
      <c r="D93" s="47" t="s">
        <v>313</v>
      </c>
      <c r="E93" s="47">
        <v>50082077</v>
      </c>
      <c r="F93" s="47" t="s">
        <v>59</v>
      </c>
      <c r="G93" s="46">
        <v>91529</v>
      </c>
      <c r="H93" s="47">
        <v>0.26</v>
      </c>
      <c r="I93" s="46">
        <f t="shared" si="10"/>
        <v>23797.54</v>
      </c>
      <c r="J93" s="46" t="s">
        <v>374</v>
      </c>
      <c r="K93" s="46"/>
      <c r="L93" s="46"/>
      <c r="M93" s="47">
        <v>25501389</v>
      </c>
      <c r="N93" s="48">
        <v>2500241653</v>
      </c>
      <c r="O93" s="49">
        <v>45981</v>
      </c>
      <c r="P93" s="50">
        <v>2</v>
      </c>
      <c r="Q93" s="49">
        <v>46011</v>
      </c>
      <c r="R93" s="47" t="s">
        <v>462</v>
      </c>
      <c r="S93" s="51">
        <v>46041</v>
      </c>
      <c r="T93" s="47">
        <v>1</v>
      </c>
      <c r="U93" s="47">
        <v>1</v>
      </c>
      <c r="V93" s="47">
        <v>3</v>
      </c>
      <c r="W93" s="51">
        <f t="shared" si="17"/>
        <v>46046</v>
      </c>
      <c r="X93" s="60"/>
    </row>
    <row r="94" spans="1:24" hidden="1">
      <c r="A94" s="46" t="s">
        <v>351</v>
      </c>
      <c r="B94" s="46" t="s">
        <v>457</v>
      </c>
      <c r="C94" s="47" t="s">
        <v>313</v>
      </c>
      <c r="D94" s="47" t="s">
        <v>313</v>
      </c>
      <c r="E94" s="47">
        <v>50082156</v>
      </c>
      <c r="F94" s="47" t="s">
        <v>138</v>
      </c>
      <c r="G94" s="46">
        <v>59752</v>
      </c>
      <c r="H94" s="47">
        <v>0.39</v>
      </c>
      <c r="I94" s="46">
        <f t="shared" si="10"/>
        <v>23303.280000000002</v>
      </c>
      <c r="J94" s="46" t="s">
        <v>374</v>
      </c>
      <c r="K94" s="46"/>
      <c r="L94" s="46"/>
      <c r="M94" s="47">
        <v>25501390</v>
      </c>
      <c r="N94" s="48">
        <v>2500240189</v>
      </c>
      <c r="O94" s="49">
        <v>45981</v>
      </c>
      <c r="P94" s="50">
        <v>1</v>
      </c>
      <c r="Q94" s="49">
        <v>46011</v>
      </c>
      <c r="R94" s="47" t="s">
        <v>462</v>
      </c>
      <c r="S94" s="51">
        <v>46041</v>
      </c>
      <c r="T94" s="47">
        <v>1</v>
      </c>
      <c r="U94" s="47">
        <v>1</v>
      </c>
      <c r="V94" s="47">
        <v>3</v>
      </c>
      <c r="W94" s="51">
        <f t="shared" si="17"/>
        <v>46046</v>
      </c>
      <c r="X94" s="60"/>
    </row>
    <row r="95" spans="1:24" hidden="1">
      <c r="A95" s="46" t="s">
        <v>351</v>
      </c>
      <c r="B95" s="46" t="s">
        <v>457</v>
      </c>
      <c r="C95" s="47" t="s">
        <v>313</v>
      </c>
      <c r="D95" s="47" t="s">
        <v>313</v>
      </c>
      <c r="E95" s="47">
        <v>50082077</v>
      </c>
      <c r="F95" s="47" t="s">
        <v>59</v>
      </c>
      <c r="G95" s="46">
        <v>63752</v>
      </c>
      <c r="H95" s="47">
        <v>0.26</v>
      </c>
      <c r="I95" s="46">
        <f t="shared" si="10"/>
        <v>16575.52</v>
      </c>
      <c r="J95" s="46" t="s">
        <v>374</v>
      </c>
      <c r="K95" s="46"/>
      <c r="L95" s="46"/>
      <c r="M95" s="47">
        <v>25501391</v>
      </c>
      <c r="N95" s="48">
        <v>2500240137</v>
      </c>
      <c r="O95" s="49">
        <v>45981</v>
      </c>
      <c r="P95" s="50">
        <v>1</v>
      </c>
      <c r="Q95" s="49">
        <v>46011</v>
      </c>
      <c r="R95" s="47" t="s">
        <v>462</v>
      </c>
      <c r="S95" s="51">
        <v>46041</v>
      </c>
      <c r="T95" s="47">
        <v>1</v>
      </c>
      <c r="U95" s="47">
        <v>1</v>
      </c>
      <c r="V95" s="47">
        <v>3</v>
      </c>
      <c r="W95" s="51">
        <f t="shared" si="17"/>
        <v>46046</v>
      </c>
      <c r="X95" s="60"/>
    </row>
    <row r="96" spans="1:24" hidden="1">
      <c r="A96" s="46" t="s">
        <v>347</v>
      </c>
      <c r="B96" s="46" t="s">
        <v>455</v>
      </c>
      <c r="C96" s="47" t="s">
        <v>149</v>
      </c>
      <c r="D96" s="47" t="s">
        <v>149</v>
      </c>
      <c r="E96" s="47">
        <v>50113314</v>
      </c>
      <c r="F96" s="47" t="s">
        <v>150</v>
      </c>
      <c r="G96" s="46">
        <v>200000</v>
      </c>
      <c r="H96" s="47">
        <v>2.6</v>
      </c>
      <c r="I96" s="46">
        <f t="shared" si="10"/>
        <v>520000</v>
      </c>
      <c r="J96" s="46" t="s">
        <v>374</v>
      </c>
      <c r="K96" s="46"/>
      <c r="L96" s="46"/>
      <c r="M96" s="47">
        <v>25501448</v>
      </c>
      <c r="N96" s="48">
        <v>9500161494</v>
      </c>
      <c r="O96" s="49">
        <v>45990</v>
      </c>
      <c r="P96" s="50">
        <v>3</v>
      </c>
      <c r="Q96" s="49">
        <v>46011</v>
      </c>
      <c r="R96" s="47"/>
      <c r="S96" s="52">
        <v>46043</v>
      </c>
      <c r="T96" s="47">
        <v>1</v>
      </c>
      <c r="U96" s="47">
        <v>1</v>
      </c>
      <c r="V96" s="47"/>
      <c r="W96" s="52">
        <f t="shared" ref="W96" si="18">S96+T96+U96</f>
        <v>46045</v>
      </c>
      <c r="X96" s="59"/>
    </row>
    <row r="97" spans="1:24" hidden="1">
      <c r="A97" s="46" t="s">
        <v>351</v>
      </c>
      <c r="B97" s="46" t="s">
        <v>457</v>
      </c>
      <c r="C97" s="47" t="s">
        <v>123</v>
      </c>
      <c r="D97" s="47" t="s">
        <v>141</v>
      </c>
      <c r="E97" s="47">
        <v>50081970</v>
      </c>
      <c r="F97" s="47" t="s">
        <v>107</v>
      </c>
      <c r="G97" s="46">
        <v>120000</v>
      </c>
      <c r="H97" s="47">
        <v>1.43</v>
      </c>
      <c r="I97" s="46">
        <f t="shared" si="10"/>
        <v>171600</v>
      </c>
      <c r="J97" s="46" t="s">
        <v>374</v>
      </c>
      <c r="K97" s="46"/>
      <c r="L97" s="46" t="s">
        <v>482</v>
      </c>
      <c r="M97" s="47">
        <v>25501416</v>
      </c>
      <c r="N97" s="48">
        <v>4100312051</v>
      </c>
      <c r="O97" s="49">
        <v>45986</v>
      </c>
      <c r="P97" s="50">
        <v>4</v>
      </c>
      <c r="Q97" s="49">
        <v>46054</v>
      </c>
      <c r="R97" s="47" t="s">
        <v>462</v>
      </c>
      <c r="S97" s="51">
        <v>46024</v>
      </c>
      <c r="T97" s="47">
        <v>1</v>
      </c>
      <c r="U97" s="47">
        <v>1</v>
      </c>
      <c r="V97" s="47">
        <v>3</v>
      </c>
      <c r="W97" s="51">
        <f t="shared" ref="W97:W112" si="19">S97+T97+U97+V97</f>
        <v>46029</v>
      </c>
      <c r="X97" s="60"/>
    </row>
    <row r="98" spans="1:24" hidden="1">
      <c r="A98" s="46" t="s">
        <v>351</v>
      </c>
      <c r="B98" s="46" t="s">
        <v>457</v>
      </c>
      <c r="C98" s="47" t="s">
        <v>123</v>
      </c>
      <c r="D98" s="47" t="s">
        <v>141</v>
      </c>
      <c r="E98" s="47">
        <v>50081808</v>
      </c>
      <c r="F98" s="47" t="s">
        <v>23</v>
      </c>
      <c r="G98" s="46">
        <v>120000</v>
      </c>
      <c r="H98" s="47">
        <v>0.55000000000000004</v>
      </c>
      <c r="I98" s="46">
        <f t="shared" si="10"/>
        <v>66000</v>
      </c>
      <c r="J98" s="46" t="s">
        <v>374</v>
      </c>
      <c r="K98" s="46"/>
      <c r="L98" s="46" t="s">
        <v>482</v>
      </c>
      <c r="M98" s="47">
        <v>25501416</v>
      </c>
      <c r="N98" s="48">
        <v>4100312051</v>
      </c>
      <c r="O98" s="49">
        <v>45986</v>
      </c>
      <c r="P98" s="50">
        <v>5</v>
      </c>
      <c r="Q98" s="49">
        <v>46054</v>
      </c>
      <c r="R98" s="47" t="s">
        <v>462</v>
      </c>
      <c r="S98" s="51">
        <v>46024</v>
      </c>
      <c r="T98" s="47">
        <v>1</v>
      </c>
      <c r="U98" s="47">
        <v>1</v>
      </c>
      <c r="V98" s="47">
        <v>3</v>
      </c>
      <c r="W98" s="51">
        <f t="shared" si="19"/>
        <v>46029</v>
      </c>
      <c r="X98" s="60"/>
    </row>
    <row r="99" spans="1:24" hidden="1">
      <c r="A99" s="46" t="s">
        <v>351</v>
      </c>
      <c r="B99" s="46" t="s">
        <v>457</v>
      </c>
      <c r="C99" s="47" t="s">
        <v>123</v>
      </c>
      <c r="D99" s="47" t="s">
        <v>141</v>
      </c>
      <c r="E99" s="47">
        <v>50111939</v>
      </c>
      <c r="F99" s="47" t="s">
        <v>39</v>
      </c>
      <c r="G99" s="46">
        <v>120000</v>
      </c>
      <c r="H99" s="47">
        <v>0.25</v>
      </c>
      <c r="I99" s="46">
        <f t="shared" si="10"/>
        <v>30000</v>
      </c>
      <c r="J99" s="46" t="s">
        <v>374</v>
      </c>
      <c r="K99" s="46"/>
      <c r="L99" s="46" t="s">
        <v>482</v>
      </c>
      <c r="M99" s="47">
        <v>25501416</v>
      </c>
      <c r="N99" s="48">
        <v>4100312051</v>
      </c>
      <c r="O99" s="49">
        <v>45986</v>
      </c>
      <c r="P99" s="50">
        <v>6</v>
      </c>
      <c r="Q99" s="49">
        <v>46054</v>
      </c>
      <c r="R99" s="47" t="s">
        <v>463</v>
      </c>
      <c r="S99" s="51">
        <v>46024</v>
      </c>
      <c r="T99" s="47">
        <v>1</v>
      </c>
      <c r="U99" s="47">
        <v>1</v>
      </c>
      <c r="V99" s="47">
        <v>3</v>
      </c>
      <c r="W99" s="51">
        <f t="shared" si="19"/>
        <v>46029</v>
      </c>
      <c r="X99" s="60"/>
    </row>
    <row r="100" spans="1:24" hidden="1">
      <c r="A100" s="46" t="s">
        <v>351</v>
      </c>
      <c r="B100" s="46" t="s">
        <v>457</v>
      </c>
      <c r="C100" s="47" t="s">
        <v>123</v>
      </c>
      <c r="D100" s="47" t="s">
        <v>141</v>
      </c>
      <c r="E100" s="47">
        <v>50081970</v>
      </c>
      <c r="F100" s="47" t="s">
        <v>107</v>
      </c>
      <c r="G100" s="46">
        <v>60000</v>
      </c>
      <c r="H100" s="47">
        <v>1.43</v>
      </c>
      <c r="I100" s="46">
        <f t="shared" si="10"/>
        <v>85800</v>
      </c>
      <c r="J100" s="46" t="s">
        <v>374</v>
      </c>
      <c r="K100" s="46"/>
      <c r="L100" s="46" t="s">
        <v>482</v>
      </c>
      <c r="M100" s="47">
        <v>25501416</v>
      </c>
      <c r="N100" s="48">
        <v>4100312051</v>
      </c>
      <c r="O100" s="49">
        <v>45986</v>
      </c>
      <c r="P100" s="50">
        <v>7</v>
      </c>
      <c r="Q100" s="49">
        <v>46054</v>
      </c>
      <c r="R100" s="47" t="s">
        <v>462</v>
      </c>
      <c r="S100" s="51">
        <v>46028</v>
      </c>
      <c r="T100" s="47">
        <v>1</v>
      </c>
      <c r="U100" s="47">
        <v>1</v>
      </c>
      <c r="V100" s="47">
        <v>3</v>
      </c>
      <c r="W100" s="51">
        <f t="shared" si="19"/>
        <v>46033</v>
      </c>
      <c r="X100" s="60"/>
    </row>
    <row r="101" spans="1:24" hidden="1">
      <c r="A101" s="46" t="s">
        <v>351</v>
      </c>
      <c r="B101" s="46" t="s">
        <v>457</v>
      </c>
      <c r="C101" s="47" t="s">
        <v>123</v>
      </c>
      <c r="D101" s="47" t="s">
        <v>141</v>
      </c>
      <c r="E101" s="47">
        <v>50108251</v>
      </c>
      <c r="F101" s="47" t="s">
        <v>142</v>
      </c>
      <c r="G101" s="46">
        <v>60000</v>
      </c>
      <c r="H101" s="47">
        <v>0.77</v>
      </c>
      <c r="I101" s="46">
        <f t="shared" si="10"/>
        <v>46200</v>
      </c>
      <c r="J101" s="46" t="s">
        <v>374</v>
      </c>
      <c r="K101" s="46"/>
      <c r="L101" s="46" t="s">
        <v>482</v>
      </c>
      <c r="M101" s="47">
        <v>25501416</v>
      </c>
      <c r="N101" s="48">
        <v>4100312051</v>
      </c>
      <c r="O101" s="49">
        <v>45986</v>
      </c>
      <c r="P101" s="50">
        <v>8</v>
      </c>
      <c r="Q101" s="49">
        <v>46054</v>
      </c>
      <c r="R101" s="47" t="s">
        <v>462</v>
      </c>
      <c r="S101" s="51">
        <v>46028</v>
      </c>
      <c r="T101" s="47">
        <v>1</v>
      </c>
      <c r="U101" s="47">
        <v>1</v>
      </c>
      <c r="V101" s="47">
        <v>3</v>
      </c>
      <c r="W101" s="51">
        <f t="shared" si="19"/>
        <v>46033</v>
      </c>
      <c r="X101" s="60"/>
    </row>
    <row r="102" spans="1:24" hidden="1">
      <c r="A102" s="46" t="s">
        <v>351</v>
      </c>
      <c r="B102" s="46" t="s">
        <v>457</v>
      </c>
      <c r="C102" s="47" t="s">
        <v>123</v>
      </c>
      <c r="D102" s="47" t="s">
        <v>141</v>
      </c>
      <c r="E102" s="47">
        <v>50111939</v>
      </c>
      <c r="F102" s="47" t="s">
        <v>39</v>
      </c>
      <c r="G102" s="46">
        <v>60000</v>
      </c>
      <c r="H102" s="47">
        <v>0.25</v>
      </c>
      <c r="I102" s="46">
        <f t="shared" si="10"/>
        <v>15000</v>
      </c>
      <c r="J102" s="46" t="s">
        <v>374</v>
      </c>
      <c r="K102" s="46"/>
      <c r="L102" s="46" t="s">
        <v>482</v>
      </c>
      <c r="M102" s="47">
        <v>25501416</v>
      </c>
      <c r="N102" s="48">
        <v>4100312051</v>
      </c>
      <c r="O102" s="49">
        <v>45986</v>
      </c>
      <c r="P102" s="50">
        <v>9</v>
      </c>
      <c r="Q102" s="49">
        <v>46054</v>
      </c>
      <c r="R102" s="47" t="s">
        <v>462</v>
      </c>
      <c r="S102" s="51">
        <v>46028</v>
      </c>
      <c r="T102" s="47">
        <v>1</v>
      </c>
      <c r="U102" s="47">
        <v>1</v>
      </c>
      <c r="V102" s="47">
        <v>3</v>
      </c>
      <c r="W102" s="51">
        <f t="shared" si="19"/>
        <v>46033</v>
      </c>
      <c r="X102" s="60"/>
    </row>
    <row r="103" spans="1:24" hidden="1">
      <c r="A103" s="46" t="s">
        <v>351</v>
      </c>
      <c r="B103" s="46" t="s">
        <v>457</v>
      </c>
      <c r="C103" s="47" t="s">
        <v>313</v>
      </c>
      <c r="D103" s="47" t="s">
        <v>313</v>
      </c>
      <c r="E103" s="47">
        <v>50082156</v>
      </c>
      <c r="F103" s="47" t="s">
        <v>138</v>
      </c>
      <c r="G103" s="46">
        <v>49921</v>
      </c>
      <c r="H103" s="47">
        <v>0.39</v>
      </c>
      <c r="I103" s="46">
        <f t="shared" si="10"/>
        <v>19469.190000000002</v>
      </c>
      <c r="J103" s="46" t="s">
        <v>374</v>
      </c>
      <c r="K103" s="46"/>
      <c r="L103" s="46"/>
      <c r="M103" s="47">
        <v>25501419</v>
      </c>
      <c r="N103" s="48">
        <v>2500243663</v>
      </c>
      <c r="O103" s="49">
        <v>45987</v>
      </c>
      <c r="P103" s="50">
        <v>1</v>
      </c>
      <c r="Q103" s="49">
        <v>46029</v>
      </c>
      <c r="R103" s="47"/>
      <c r="S103" s="51">
        <v>46041</v>
      </c>
      <c r="T103" s="47">
        <v>1</v>
      </c>
      <c r="U103" s="47">
        <v>1</v>
      </c>
      <c r="V103" s="47">
        <v>3</v>
      </c>
      <c r="W103" s="51">
        <f t="shared" si="19"/>
        <v>46046</v>
      </c>
      <c r="X103" s="60"/>
    </row>
    <row r="104" spans="1:24" hidden="1">
      <c r="A104" s="46" t="s">
        <v>351</v>
      </c>
      <c r="B104" s="46" t="s">
        <v>457</v>
      </c>
      <c r="C104" s="47" t="s">
        <v>313</v>
      </c>
      <c r="D104" s="47" t="s">
        <v>313</v>
      </c>
      <c r="E104" s="47">
        <v>50082077</v>
      </c>
      <c r="F104" s="47" t="s">
        <v>59</v>
      </c>
      <c r="G104" s="46">
        <v>49921</v>
      </c>
      <c r="H104" s="47">
        <v>0.26</v>
      </c>
      <c r="I104" s="46">
        <f t="shared" si="10"/>
        <v>12979.460000000001</v>
      </c>
      <c r="J104" s="46" t="s">
        <v>374</v>
      </c>
      <c r="K104" s="46"/>
      <c r="L104" s="46"/>
      <c r="M104" s="47">
        <v>25501420</v>
      </c>
      <c r="N104" s="48">
        <v>2500243615</v>
      </c>
      <c r="O104" s="49">
        <v>45987</v>
      </c>
      <c r="P104" s="50">
        <v>1</v>
      </c>
      <c r="Q104" s="49">
        <v>46029</v>
      </c>
      <c r="R104" s="47"/>
      <c r="S104" s="51">
        <v>46041</v>
      </c>
      <c r="T104" s="47">
        <v>1</v>
      </c>
      <c r="U104" s="47">
        <v>1</v>
      </c>
      <c r="V104" s="47">
        <v>3</v>
      </c>
      <c r="W104" s="51">
        <f t="shared" si="19"/>
        <v>46046</v>
      </c>
      <c r="X104" s="60"/>
    </row>
    <row r="105" spans="1:24" hidden="1">
      <c r="A105" s="46" t="s">
        <v>349</v>
      </c>
      <c r="B105" s="46" t="s">
        <v>457</v>
      </c>
      <c r="C105" s="47" t="s">
        <v>135</v>
      </c>
      <c r="D105" s="47" t="s">
        <v>136</v>
      </c>
      <c r="E105" s="47">
        <v>50114364</v>
      </c>
      <c r="F105" s="47" t="s">
        <v>143</v>
      </c>
      <c r="G105" s="46">
        <v>59800</v>
      </c>
      <c r="H105" s="47">
        <v>3</v>
      </c>
      <c r="I105" s="46">
        <f t="shared" si="10"/>
        <v>179400</v>
      </c>
      <c r="J105" s="46" t="s">
        <v>374</v>
      </c>
      <c r="K105" s="46"/>
      <c r="L105" s="46"/>
      <c r="M105" s="47">
        <v>25501424</v>
      </c>
      <c r="N105" s="48">
        <v>4100013623</v>
      </c>
      <c r="O105" s="49">
        <v>45988</v>
      </c>
      <c r="P105" s="50">
        <v>3</v>
      </c>
      <c r="Q105" s="49">
        <v>46068</v>
      </c>
      <c r="R105" s="47" t="s">
        <v>463</v>
      </c>
      <c r="S105" s="51">
        <v>46030</v>
      </c>
      <c r="T105" s="47">
        <v>1</v>
      </c>
      <c r="U105" s="47">
        <v>1</v>
      </c>
      <c r="V105" s="47">
        <v>3</v>
      </c>
      <c r="W105" s="51">
        <f t="shared" si="19"/>
        <v>46035</v>
      </c>
      <c r="X105" s="60"/>
    </row>
    <row r="106" spans="1:24" hidden="1">
      <c r="A106" s="46" t="s">
        <v>349</v>
      </c>
      <c r="B106" s="46" t="s">
        <v>457</v>
      </c>
      <c r="C106" s="47" t="s">
        <v>135</v>
      </c>
      <c r="D106" s="47" t="s">
        <v>136</v>
      </c>
      <c r="E106" s="47">
        <v>50114364</v>
      </c>
      <c r="F106" s="47" t="s">
        <v>143</v>
      </c>
      <c r="G106" s="46">
        <v>200</v>
      </c>
      <c r="H106" s="47">
        <v>3</v>
      </c>
      <c r="I106" s="46">
        <f t="shared" si="10"/>
        <v>600</v>
      </c>
      <c r="J106" s="46" t="s">
        <v>374</v>
      </c>
      <c r="K106" s="46"/>
      <c r="L106" s="46"/>
      <c r="M106" s="47">
        <v>25501424</v>
      </c>
      <c r="N106" s="48">
        <v>4100013623</v>
      </c>
      <c r="O106" s="49">
        <v>45988</v>
      </c>
      <c r="P106" s="50">
        <v>4</v>
      </c>
      <c r="Q106" s="49">
        <v>46068</v>
      </c>
      <c r="R106" s="47" t="s">
        <v>463</v>
      </c>
      <c r="S106" s="51">
        <v>46030</v>
      </c>
      <c r="T106" s="47">
        <v>1</v>
      </c>
      <c r="U106" s="47">
        <v>1</v>
      </c>
      <c r="V106" s="47">
        <v>3</v>
      </c>
      <c r="W106" s="51">
        <f t="shared" si="19"/>
        <v>46035</v>
      </c>
      <c r="X106" s="60"/>
    </row>
    <row r="107" spans="1:24" hidden="1">
      <c r="A107" s="46" t="s">
        <v>351</v>
      </c>
      <c r="B107" s="46" t="s">
        <v>457</v>
      </c>
      <c r="C107" s="47" t="s">
        <v>144</v>
      </c>
      <c r="D107" s="47" t="s">
        <v>144</v>
      </c>
      <c r="E107" s="47">
        <v>50114370</v>
      </c>
      <c r="F107" s="47" t="s">
        <v>146</v>
      </c>
      <c r="G107" s="46">
        <v>60000</v>
      </c>
      <c r="H107" s="47">
        <v>1.62</v>
      </c>
      <c r="I107" s="46">
        <f t="shared" si="10"/>
        <v>97200</v>
      </c>
      <c r="J107" s="46" t="s">
        <v>374</v>
      </c>
      <c r="K107" s="46"/>
      <c r="L107" s="46" t="s">
        <v>482</v>
      </c>
      <c r="M107" s="47">
        <v>25501443</v>
      </c>
      <c r="N107" s="48">
        <v>4100312384</v>
      </c>
      <c r="O107" s="49">
        <v>45990</v>
      </c>
      <c r="P107" s="50">
        <v>4</v>
      </c>
      <c r="Q107" s="49">
        <v>46023</v>
      </c>
      <c r="R107" s="47" t="s">
        <v>462</v>
      </c>
      <c r="S107" s="51">
        <v>46032</v>
      </c>
      <c r="T107" s="47">
        <v>1</v>
      </c>
      <c r="U107" s="47">
        <v>1</v>
      </c>
      <c r="V107" s="47">
        <v>3</v>
      </c>
      <c r="W107" s="51">
        <f t="shared" si="19"/>
        <v>46037</v>
      </c>
      <c r="X107" s="60"/>
    </row>
    <row r="108" spans="1:24" hidden="1">
      <c r="A108" s="46" t="s">
        <v>351</v>
      </c>
      <c r="B108" s="46" t="s">
        <v>457</v>
      </c>
      <c r="C108" s="47" t="s">
        <v>144</v>
      </c>
      <c r="D108" s="47" t="s">
        <v>144</v>
      </c>
      <c r="E108" s="47">
        <v>50114592</v>
      </c>
      <c r="F108" s="47" t="s">
        <v>147</v>
      </c>
      <c r="G108" s="46">
        <v>60000</v>
      </c>
      <c r="H108" s="47">
        <v>0.77</v>
      </c>
      <c r="I108" s="46">
        <f t="shared" si="10"/>
        <v>46200</v>
      </c>
      <c r="J108" s="46" t="s">
        <v>374</v>
      </c>
      <c r="K108" s="46"/>
      <c r="L108" s="46" t="s">
        <v>482</v>
      </c>
      <c r="M108" s="47">
        <v>25501443</v>
      </c>
      <c r="N108" s="48">
        <v>4100312384</v>
      </c>
      <c r="O108" s="49">
        <v>45990</v>
      </c>
      <c r="P108" s="50">
        <v>5</v>
      </c>
      <c r="Q108" s="49">
        <v>46023</v>
      </c>
      <c r="R108" s="47" t="s">
        <v>463</v>
      </c>
      <c r="S108" s="51">
        <v>46032</v>
      </c>
      <c r="T108" s="47">
        <v>1</v>
      </c>
      <c r="U108" s="47">
        <v>1</v>
      </c>
      <c r="V108" s="47">
        <v>3</v>
      </c>
      <c r="W108" s="51">
        <f t="shared" si="19"/>
        <v>46037</v>
      </c>
      <c r="X108" s="60"/>
    </row>
    <row r="109" spans="1:24" hidden="1">
      <c r="A109" s="46" t="s">
        <v>351</v>
      </c>
      <c r="B109" s="46" t="s">
        <v>457</v>
      </c>
      <c r="C109" s="47" t="s">
        <v>144</v>
      </c>
      <c r="D109" s="47" t="s">
        <v>144</v>
      </c>
      <c r="E109" s="47">
        <v>50081947</v>
      </c>
      <c r="F109" s="47" t="s">
        <v>148</v>
      </c>
      <c r="G109" s="46">
        <v>60000</v>
      </c>
      <c r="H109" s="47">
        <v>0.27</v>
      </c>
      <c r="I109" s="46">
        <f t="shared" si="10"/>
        <v>16200.000000000002</v>
      </c>
      <c r="J109" s="46" t="s">
        <v>374</v>
      </c>
      <c r="K109" s="46"/>
      <c r="L109" s="46" t="s">
        <v>482</v>
      </c>
      <c r="M109" s="47">
        <v>25501443</v>
      </c>
      <c r="N109" s="48">
        <v>4100312384</v>
      </c>
      <c r="O109" s="49">
        <v>45990</v>
      </c>
      <c r="P109" s="50">
        <v>6</v>
      </c>
      <c r="Q109" s="49">
        <v>46023</v>
      </c>
      <c r="R109" s="47" t="s">
        <v>463</v>
      </c>
      <c r="S109" s="51">
        <v>46032</v>
      </c>
      <c r="T109" s="47">
        <v>1</v>
      </c>
      <c r="U109" s="47">
        <v>1</v>
      </c>
      <c r="V109" s="47">
        <v>3</v>
      </c>
      <c r="W109" s="51">
        <f t="shared" si="19"/>
        <v>46037</v>
      </c>
      <c r="X109" s="60"/>
    </row>
    <row r="110" spans="1:24" hidden="1">
      <c r="A110" s="46" t="s">
        <v>351</v>
      </c>
      <c r="B110" s="46" t="s">
        <v>457</v>
      </c>
      <c r="C110" s="47" t="s">
        <v>144</v>
      </c>
      <c r="D110" s="47" t="s">
        <v>144</v>
      </c>
      <c r="E110" s="47">
        <v>50109736</v>
      </c>
      <c r="F110" s="47" t="s">
        <v>145</v>
      </c>
      <c r="G110" s="46">
        <v>120000</v>
      </c>
      <c r="H110" s="47">
        <v>1.5</v>
      </c>
      <c r="I110" s="46">
        <f t="shared" si="10"/>
        <v>180000</v>
      </c>
      <c r="J110" s="46" t="s">
        <v>374</v>
      </c>
      <c r="K110" s="46"/>
      <c r="L110" s="46"/>
      <c r="M110" s="47">
        <v>25501446</v>
      </c>
      <c r="N110" s="48">
        <v>4100312386</v>
      </c>
      <c r="O110" s="49">
        <v>45990</v>
      </c>
      <c r="P110" s="50">
        <v>1</v>
      </c>
      <c r="Q110" s="49">
        <v>46023</v>
      </c>
      <c r="R110" s="47" t="s">
        <v>462</v>
      </c>
      <c r="S110" s="51">
        <v>46032</v>
      </c>
      <c r="T110" s="47">
        <v>1</v>
      </c>
      <c r="U110" s="47">
        <v>1</v>
      </c>
      <c r="V110" s="47">
        <v>3</v>
      </c>
      <c r="W110" s="51">
        <f t="shared" si="19"/>
        <v>46037</v>
      </c>
      <c r="X110" s="60"/>
    </row>
    <row r="111" spans="1:24" hidden="1">
      <c r="A111" s="46" t="s">
        <v>351</v>
      </c>
      <c r="B111" s="46" t="s">
        <v>457</v>
      </c>
      <c r="C111" s="47" t="s">
        <v>144</v>
      </c>
      <c r="D111" s="47" t="s">
        <v>144</v>
      </c>
      <c r="E111" s="47">
        <v>50081808</v>
      </c>
      <c r="F111" s="47" t="s">
        <v>23</v>
      </c>
      <c r="G111" s="46">
        <v>120000</v>
      </c>
      <c r="H111" s="47">
        <v>0.56000000000000005</v>
      </c>
      <c r="I111" s="46">
        <f t="shared" si="10"/>
        <v>67200</v>
      </c>
      <c r="J111" s="46" t="s">
        <v>374</v>
      </c>
      <c r="K111" s="46"/>
      <c r="L111" s="46"/>
      <c r="M111" s="47">
        <v>25501446</v>
      </c>
      <c r="N111" s="48">
        <v>4100312386</v>
      </c>
      <c r="O111" s="49">
        <v>45990</v>
      </c>
      <c r="P111" s="50">
        <v>2</v>
      </c>
      <c r="Q111" s="49">
        <v>46023</v>
      </c>
      <c r="R111" s="47" t="s">
        <v>462</v>
      </c>
      <c r="S111" s="51">
        <v>46032</v>
      </c>
      <c r="T111" s="47">
        <v>1</v>
      </c>
      <c r="U111" s="47">
        <v>1</v>
      </c>
      <c r="V111" s="47">
        <v>3</v>
      </c>
      <c r="W111" s="51">
        <f t="shared" si="19"/>
        <v>46037</v>
      </c>
      <c r="X111" s="60"/>
    </row>
    <row r="112" spans="1:24" hidden="1">
      <c r="A112" s="46" t="s">
        <v>351</v>
      </c>
      <c r="B112" s="46" t="s">
        <v>457</v>
      </c>
      <c r="C112" s="47" t="s">
        <v>144</v>
      </c>
      <c r="D112" s="47" t="s">
        <v>144</v>
      </c>
      <c r="E112" s="47">
        <v>50111939</v>
      </c>
      <c r="F112" s="47" t="s">
        <v>39</v>
      </c>
      <c r="G112" s="46">
        <v>120000</v>
      </c>
      <c r="H112" s="47">
        <v>0.26</v>
      </c>
      <c r="I112" s="46">
        <f t="shared" si="10"/>
        <v>31200</v>
      </c>
      <c r="J112" s="46" t="s">
        <v>374</v>
      </c>
      <c r="K112" s="46"/>
      <c r="L112" s="46"/>
      <c r="M112" s="47">
        <v>25501446</v>
      </c>
      <c r="N112" s="48">
        <v>4100312386</v>
      </c>
      <c r="O112" s="49">
        <v>45990</v>
      </c>
      <c r="P112" s="50">
        <v>3</v>
      </c>
      <c r="Q112" s="49">
        <v>46023</v>
      </c>
      <c r="R112" s="47" t="s">
        <v>463</v>
      </c>
      <c r="S112" s="51">
        <v>46032</v>
      </c>
      <c r="T112" s="47">
        <v>1</v>
      </c>
      <c r="U112" s="47">
        <v>1</v>
      </c>
      <c r="V112" s="47">
        <v>3</v>
      </c>
      <c r="W112" s="51">
        <f t="shared" si="19"/>
        <v>46037</v>
      </c>
      <c r="X112" s="60"/>
    </row>
    <row r="113" spans="1:24" hidden="1">
      <c r="A113" s="46" t="s">
        <v>347</v>
      </c>
      <c r="B113" s="46" t="s">
        <v>455</v>
      </c>
      <c r="C113" s="47" t="s">
        <v>149</v>
      </c>
      <c r="D113" s="47" t="s">
        <v>149</v>
      </c>
      <c r="E113" s="47">
        <v>50113314</v>
      </c>
      <c r="F113" s="47" t="s">
        <v>150</v>
      </c>
      <c r="G113" s="46">
        <v>300000</v>
      </c>
      <c r="H113" s="47">
        <v>2.6</v>
      </c>
      <c r="I113" s="46">
        <f t="shared" si="10"/>
        <v>780000</v>
      </c>
      <c r="J113" s="46" t="s">
        <v>401</v>
      </c>
      <c r="K113" s="46"/>
      <c r="L113" s="46"/>
      <c r="M113" s="47">
        <v>25501448</v>
      </c>
      <c r="N113" s="48">
        <v>9500161494</v>
      </c>
      <c r="O113" s="49">
        <v>45990</v>
      </c>
      <c r="P113" s="50">
        <v>3</v>
      </c>
      <c r="Q113" s="49">
        <v>46011</v>
      </c>
      <c r="R113" s="47"/>
      <c r="S113" s="52">
        <v>46043</v>
      </c>
      <c r="T113" s="47">
        <v>1</v>
      </c>
      <c r="U113" s="47">
        <v>1</v>
      </c>
      <c r="V113" s="47"/>
      <c r="W113" s="52">
        <f>S113+T113+U113</f>
        <v>46045</v>
      </c>
      <c r="X113" s="59"/>
    </row>
    <row r="114" spans="1:24" hidden="1">
      <c r="A114" s="46" t="s">
        <v>346</v>
      </c>
      <c r="B114" s="46" t="s">
        <v>455</v>
      </c>
      <c r="C114" s="47" t="s">
        <v>151</v>
      </c>
      <c r="D114" s="47" t="s">
        <v>151</v>
      </c>
      <c r="E114" s="47">
        <v>50113649</v>
      </c>
      <c r="F114" s="47" t="s">
        <v>56</v>
      </c>
      <c r="G114" s="46">
        <v>700000</v>
      </c>
      <c r="H114" s="47">
        <v>1.64</v>
      </c>
      <c r="I114" s="46">
        <f t="shared" si="10"/>
        <v>1148000</v>
      </c>
      <c r="J114" s="46" t="s">
        <v>374</v>
      </c>
      <c r="K114" s="46"/>
      <c r="L114" s="46" t="s">
        <v>482</v>
      </c>
      <c r="M114" s="47">
        <v>25501457</v>
      </c>
      <c r="N114" s="48">
        <v>4300009560</v>
      </c>
      <c r="O114" s="49">
        <v>45993</v>
      </c>
      <c r="P114" s="50">
        <v>1</v>
      </c>
      <c r="Q114" s="49">
        <v>46037</v>
      </c>
      <c r="R114" s="47" t="s">
        <v>462</v>
      </c>
      <c r="S114" s="52">
        <v>46024</v>
      </c>
      <c r="T114" s="47">
        <v>1</v>
      </c>
      <c r="U114" s="47">
        <v>1</v>
      </c>
      <c r="V114" s="47">
        <v>3</v>
      </c>
      <c r="W114" s="52">
        <f>S114+T114+U114+V114</f>
        <v>46029</v>
      </c>
      <c r="X114" s="59"/>
    </row>
    <row r="115" spans="1:24" hidden="1">
      <c r="A115" s="46" t="s">
        <v>351</v>
      </c>
      <c r="B115" s="46" t="s">
        <v>457</v>
      </c>
      <c r="C115" s="47" t="s">
        <v>141</v>
      </c>
      <c r="D115" s="47" t="s">
        <v>141</v>
      </c>
      <c r="E115" s="47">
        <v>50081866</v>
      </c>
      <c r="F115" s="47" t="s">
        <v>153</v>
      </c>
      <c r="G115" s="46">
        <v>87700</v>
      </c>
      <c r="H115" s="47">
        <v>1.48</v>
      </c>
      <c r="I115" s="46">
        <f t="shared" si="10"/>
        <v>129796</v>
      </c>
      <c r="J115" s="46" t="s">
        <v>374</v>
      </c>
      <c r="K115" s="46"/>
      <c r="L115" s="46" t="s">
        <v>482</v>
      </c>
      <c r="M115" s="47">
        <v>25501463</v>
      </c>
      <c r="N115" s="48" t="s">
        <v>152</v>
      </c>
      <c r="O115" s="49">
        <v>45993</v>
      </c>
      <c r="P115" s="50">
        <v>1</v>
      </c>
      <c r="Q115" s="49">
        <v>46024</v>
      </c>
      <c r="R115" s="47" t="s">
        <v>462</v>
      </c>
      <c r="S115" s="51">
        <v>46034</v>
      </c>
      <c r="T115" s="47">
        <v>1</v>
      </c>
      <c r="U115" s="47">
        <v>1</v>
      </c>
      <c r="V115" s="47">
        <v>3</v>
      </c>
      <c r="W115" s="51">
        <f>S115+T115+U115+V115</f>
        <v>46039</v>
      </c>
      <c r="X115" s="60"/>
    </row>
    <row r="116" spans="1:24" hidden="1">
      <c r="A116" s="46" t="s">
        <v>351</v>
      </c>
      <c r="B116" s="46" t="s">
        <v>457</v>
      </c>
      <c r="C116" s="47" t="s">
        <v>141</v>
      </c>
      <c r="D116" s="47" t="s">
        <v>141</v>
      </c>
      <c r="E116" s="47">
        <v>50082011</v>
      </c>
      <c r="F116" s="47" t="s">
        <v>154</v>
      </c>
      <c r="G116" s="46">
        <v>46200</v>
      </c>
      <c r="H116" s="47">
        <v>0.6</v>
      </c>
      <c r="I116" s="46">
        <f t="shared" si="10"/>
        <v>27720</v>
      </c>
      <c r="J116" s="46" t="s">
        <v>374</v>
      </c>
      <c r="K116" s="46"/>
      <c r="L116" s="46" t="s">
        <v>482</v>
      </c>
      <c r="M116" s="47">
        <v>25501463</v>
      </c>
      <c r="N116" s="48" t="s">
        <v>152</v>
      </c>
      <c r="O116" s="49">
        <v>45993</v>
      </c>
      <c r="P116" s="50">
        <v>2</v>
      </c>
      <c r="Q116" s="49">
        <v>46024</v>
      </c>
      <c r="R116" s="47" t="s">
        <v>462</v>
      </c>
      <c r="S116" s="51">
        <v>46034</v>
      </c>
      <c r="T116" s="47">
        <v>1</v>
      </c>
      <c r="U116" s="47">
        <v>1</v>
      </c>
      <c r="V116" s="47">
        <v>3</v>
      </c>
      <c r="W116" s="51">
        <f>S116+T116+U116+V116</f>
        <v>46039</v>
      </c>
      <c r="X116" s="60"/>
    </row>
    <row r="117" spans="1:24" hidden="1">
      <c r="A117" s="46" t="s">
        <v>351</v>
      </c>
      <c r="B117" s="46" t="s">
        <v>457</v>
      </c>
      <c r="C117" s="47" t="s">
        <v>141</v>
      </c>
      <c r="D117" s="47" t="s">
        <v>141</v>
      </c>
      <c r="E117" s="47">
        <v>50105010</v>
      </c>
      <c r="F117" s="47" t="s">
        <v>155</v>
      </c>
      <c r="G117" s="46">
        <v>87700</v>
      </c>
      <c r="H117" s="47">
        <v>0.27</v>
      </c>
      <c r="I117" s="46">
        <f t="shared" si="10"/>
        <v>23679</v>
      </c>
      <c r="J117" s="46" t="s">
        <v>374</v>
      </c>
      <c r="K117" s="46"/>
      <c r="L117" s="46" t="s">
        <v>482</v>
      </c>
      <c r="M117" s="47">
        <v>25501463</v>
      </c>
      <c r="N117" s="48" t="s">
        <v>152</v>
      </c>
      <c r="O117" s="49">
        <v>45993</v>
      </c>
      <c r="P117" s="50">
        <v>3</v>
      </c>
      <c r="Q117" s="49">
        <v>46024</v>
      </c>
      <c r="R117" s="47" t="s">
        <v>462</v>
      </c>
      <c r="S117" s="51">
        <v>46034</v>
      </c>
      <c r="T117" s="47">
        <v>1</v>
      </c>
      <c r="U117" s="47">
        <v>1</v>
      </c>
      <c r="V117" s="47">
        <v>3</v>
      </c>
      <c r="W117" s="51">
        <f>S117+T117+U117+V117</f>
        <v>46039</v>
      </c>
      <c r="X117" s="60"/>
    </row>
    <row r="118" spans="1:24" hidden="1">
      <c r="A118" s="46" t="s">
        <v>351</v>
      </c>
      <c r="B118" s="46" t="s">
        <v>457</v>
      </c>
      <c r="C118" s="47" t="s">
        <v>141</v>
      </c>
      <c r="D118" s="47" t="s">
        <v>141</v>
      </c>
      <c r="E118" s="47">
        <v>50115676</v>
      </c>
      <c r="F118" s="47" t="s">
        <v>156</v>
      </c>
      <c r="G118" s="46">
        <v>42100</v>
      </c>
      <c r="H118" s="47">
        <v>0.6</v>
      </c>
      <c r="I118" s="46">
        <f t="shared" si="10"/>
        <v>25260</v>
      </c>
      <c r="J118" s="46" t="s">
        <v>374</v>
      </c>
      <c r="K118" s="46"/>
      <c r="L118" s="46" t="s">
        <v>482</v>
      </c>
      <c r="M118" s="47">
        <v>25501463</v>
      </c>
      <c r="N118" s="48" t="s">
        <v>152</v>
      </c>
      <c r="O118" s="49">
        <v>45993</v>
      </c>
      <c r="P118" s="50">
        <v>4</v>
      </c>
      <c r="Q118" s="49">
        <v>46024</v>
      </c>
      <c r="R118" s="47" t="s">
        <v>462</v>
      </c>
      <c r="S118" s="51">
        <v>46034</v>
      </c>
      <c r="T118" s="47">
        <v>1</v>
      </c>
      <c r="U118" s="47">
        <v>1</v>
      </c>
      <c r="V118" s="47">
        <v>3</v>
      </c>
      <c r="W118" s="51">
        <f>S118+T118+U118+V118</f>
        <v>46039</v>
      </c>
      <c r="X118" s="60"/>
    </row>
    <row r="119" spans="1:24" hidden="1">
      <c r="A119" s="46" t="s">
        <v>347</v>
      </c>
      <c r="B119" s="46" t="s">
        <v>455</v>
      </c>
      <c r="C119" s="47" t="s">
        <v>149</v>
      </c>
      <c r="D119" s="47" t="s">
        <v>149</v>
      </c>
      <c r="E119" s="47">
        <v>50113313</v>
      </c>
      <c r="F119" s="47" t="s">
        <v>471</v>
      </c>
      <c r="G119" s="46">
        <v>500000</v>
      </c>
      <c r="H119" s="47">
        <v>2.6</v>
      </c>
      <c r="I119" s="46">
        <f t="shared" si="10"/>
        <v>1300000</v>
      </c>
      <c r="J119" s="46" t="s">
        <v>374</v>
      </c>
      <c r="K119" s="46">
        <v>500000</v>
      </c>
      <c r="L119" s="46"/>
      <c r="M119" s="47">
        <v>25501448</v>
      </c>
      <c r="N119" s="48">
        <v>9500161494</v>
      </c>
      <c r="O119" s="49">
        <v>45990</v>
      </c>
      <c r="P119" s="50">
        <v>3</v>
      </c>
      <c r="Q119" s="49">
        <v>46011</v>
      </c>
      <c r="R119" s="47" t="s">
        <v>495</v>
      </c>
      <c r="S119" s="52">
        <v>46028</v>
      </c>
      <c r="T119" s="47">
        <v>1</v>
      </c>
      <c r="U119" s="47">
        <v>1</v>
      </c>
      <c r="V119" s="47"/>
      <c r="W119" s="52">
        <f t="shared" ref="W119:W120" si="20">S119+T119+U119</f>
        <v>46030</v>
      </c>
      <c r="X119" s="59"/>
    </row>
    <row r="120" spans="1:24" hidden="1">
      <c r="A120" s="46" t="s">
        <v>347</v>
      </c>
      <c r="B120" s="46" t="s">
        <v>455</v>
      </c>
      <c r="C120" s="47" t="s">
        <v>96</v>
      </c>
      <c r="D120" s="47" t="s">
        <v>96</v>
      </c>
      <c r="E120" s="47">
        <v>50101134</v>
      </c>
      <c r="F120" s="47" t="s">
        <v>27</v>
      </c>
      <c r="G120" s="46">
        <v>500000</v>
      </c>
      <c r="H120" s="47">
        <v>2.38</v>
      </c>
      <c r="I120" s="46">
        <f t="shared" si="10"/>
        <v>1190000</v>
      </c>
      <c r="J120" s="46" t="s">
        <v>374</v>
      </c>
      <c r="K120" s="46">
        <v>410000</v>
      </c>
      <c r="L120" s="46"/>
      <c r="M120" s="47">
        <v>25501634</v>
      </c>
      <c r="N120" s="48">
        <v>1000130474</v>
      </c>
      <c r="O120" s="49">
        <v>46013</v>
      </c>
      <c r="P120" s="50">
        <v>1</v>
      </c>
      <c r="Q120" s="49">
        <v>46018</v>
      </c>
      <c r="R120" s="47"/>
      <c r="S120" s="52">
        <v>46035</v>
      </c>
      <c r="T120" s="47">
        <v>1</v>
      </c>
      <c r="U120" s="47">
        <v>1</v>
      </c>
      <c r="V120" s="47"/>
      <c r="W120" s="52">
        <f t="shared" si="20"/>
        <v>46037</v>
      </c>
      <c r="X120" s="59"/>
    </row>
    <row r="121" spans="1:24" hidden="1">
      <c r="A121" s="46" t="s">
        <v>346</v>
      </c>
      <c r="B121" s="46" t="s">
        <v>457</v>
      </c>
      <c r="C121" s="47" t="s">
        <v>161</v>
      </c>
      <c r="D121" s="47" t="s">
        <v>161</v>
      </c>
      <c r="E121" s="47">
        <v>50114359</v>
      </c>
      <c r="F121" s="47" t="s">
        <v>21</v>
      </c>
      <c r="G121" s="46">
        <v>12000</v>
      </c>
      <c r="H121" s="47">
        <v>3.75</v>
      </c>
      <c r="I121" s="46">
        <f t="shared" si="10"/>
        <v>45000</v>
      </c>
      <c r="J121" s="46" t="s">
        <v>374</v>
      </c>
      <c r="K121" s="46"/>
      <c r="L121" s="46"/>
      <c r="M121" s="47">
        <v>25501484</v>
      </c>
      <c r="N121" s="48" t="s">
        <v>160</v>
      </c>
      <c r="O121" s="49">
        <v>45994</v>
      </c>
      <c r="P121" s="50">
        <v>11</v>
      </c>
      <c r="Q121" s="49">
        <v>46022</v>
      </c>
      <c r="R121" s="47" t="s">
        <v>463</v>
      </c>
      <c r="S121" s="51">
        <v>46027</v>
      </c>
      <c r="T121" s="47">
        <v>1</v>
      </c>
      <c r="U121" s="47">
        <v>1</v>
      </c>
      <c r="V121" s="47">
        <v>3</v>
      </c>
      <c r="W121" s="52">
        <f t="shared" ref="W121:W129" si="21">S121+T121+U121+V121</f>
        <v>46032</v>
      </c>
      <c r="X121" s="59"/>
    </row>
    <row r="122" spans="1:24" hidden="1">
      <c r="A122" s="46" t="s">
        <v>346</v>
      </c>
      <c r="B122" s="46" t="s">
        <v>457</v>
      </c>
      <c r="C122" s="47" t="s">
        <v>161</v>
      </c>
      <c r="D122" s="47" t="s">
        <v>161</v>
      </c>
      <c r="E122" s="47">
        <v>50113739</v>
      </c>
      <c r="F122" s="47" t="s">
        <v>162</v>
      </c>
      <c r="G122" s="46">
        <v>12000</v>
      </c>
      <c r="H122" s="47">
        <v>3.23</v>
      </c>
      <c r="I122" s="46">
        <f t="shared" si="10"/>
        <v>38760</v>
      </c>
      <c r="J122" s="46" t="s">
        <v>374</v>
      </c>
      <c r="K122" s="46"/>
      <c r="L122" s="46"/>
      <c r="M122" s="47">
        <v>25501484</v>
      </c>
      <c r="N122" s="48" t="s">
        <v>160</v>
      </c>
      <c r="O122" s="49">
        <v>45994</v>
      </c>
      <c r="P122" s="50">
        <v>12</v>
      </c>
      <c r="Q122" s="49">
        <v>46022</v>
      </c>
      <c r="R122" s="47" t="s">
        <v>463</v>
      </c>
      <c r="S122" s="51">
        <v>46027</v>
      </c>
      <c r="T122" s="47">
        <v>1</v>
      </c>
      <c r="U122" s="47">
        <v>1</v>
      </c>
      <c r="V122" s="47">
        <v>3</v>
      </c>
      <c r="W122" s="52">
        <f t="shared" si="21"/>
        <v>46032</v>
      </c>
      <c r="X122" s="59"/>
    </row>
    <row r="123" spans="1:24" hidden="1">
      <c r="A123" s="46" t="s">
        <v>346</v>
      </c>
      <c r="B123" s="46" t="s">
        <v>457</v>
      </c>
      <c r="C123" s="47" t="s">
        <v>161</v>
      </c>
      <c r="D123" s="47" t="s">
        <v>161</v>
      </c>
      <c r="E123" s="47">
        <v>50106206</v>
      </c>
      <c r="F123" s="47" t="s">
        <v>163</v>
      </c>
      <c r="G123" s="46">
        <v>12000</v>
      </c>
      <c r="H123" s="47">
        <v>2.93</v>
      </c>
      <c r="I123" s="46">
        <f t="shared" si="10"/>
        <v>35160</v>
      </c>
      <c r="J123" s="46" t="s">
        <v>374</v>
      </c>
      <c r="K123" s="46"/>
      <c r="L123" s="46"/>
      <c r="M123" s="47">
        <v>25501484</v>
      </c>
      <c r="N123" s="48" t="s">
        <v>160</v>
      </c>
      <c r="O123" s="49">
        <v>45994</v>
      </c>
      <c r="P123" s="50">
        <v>13</v>
      </c>
      <c r="Q123" s="49">
        <v>46022</v>
      </c>
      <c r="R123" s="47" t="s">
        <v>463</v>
      </c>
      <c r="S123" s="51">
        <v>46027</v>
      </c>
      <c r="T123" s="47">
        <v>1</v>
      </c>
      <c r="U123" s="47">
        <v>1</v>
      </c>
      <c r="V123" s="47">
        <v>3</v>
      </c>
      <c r="W123" s="52">
        <f t="shared" si="21"/>
        <v>46032</v>
      </c>
      <c r="X123" s="59"/>
    </row>
    <row r="124" spans="1:24" hidden="1">
      <c r="A124" s="46" t="s">
        <v>346</v>
      </c>
      <c r="B124" s="46" t="s">
        <v>457</v>
      </c>
      <c r="C124" s="47" t="s">
        <v>161</v>
      </c>
      <c r="D124" s="47" t="s">
        <v>161</v>
      </c>
      <c r="E124" s="47">
        <v>50114359</v>
      </c>
      <c r="F124" s="47" t="s">
        <v>21</v>
      </c>
      <c r="G124" s="46">
        <v>12000</v>
      </c>
      <c r="H124" s="47">
        <v>3.75</v>
      </c>
      <c r="I124" s="46">
        <f t="shared" si="10"/>
        <v>45000</v>
      </c>
      <c r="J124" s="46" t="s">
        <v>374</v>
      </c>
      <c r="K124" s="46"/>
      <c r="L124" s="46"/>
      <c r="M124" s="47">
        <v>25501484</v>
      </c>
      <c r="N124" s="48" t="s">
        <v>160</v>
      </c>
      <c r="O124" s="49">
        <v>45994</v>
      </c>
      <c r="P124" s="50">
        <v>14</v>
      </c>
      <c r="Q124" s="49">
        <v>46022</v>
      </c>
      <c r="R124" s="47" t="s">
        <v>463</v>
      </c>
      <c r="S124" s="51">
        <v>46027</v>
      </c>
      <c r="T124" s="47">
        <v>1</v>
      </c>
      <c r="U124" s="47">
        <v>1</v>
      </c>
      <c r="V124" s="47">
        <v>3</v>
      </c>
      <c r="W124" s="52">
        <f t="shared" si="21"/>
        <v>46032</v>
      </c>
      <c r="X124" s="59"/>
    </row>
    <row r="125" spans="1:24" hidden="1">
      <c r="A125" s="46" t="s">
        <v>346</v>
      </c>
      <c r="B125" s="46" t="s">
        <v>457</v>
      </c>
      <c r="C125" s="47" t="s">
        <v>161</v>
      </c>
      <c r="D125" s="47" t="s">
        <v>161</v>
      </c>
      <c r="E125" s="47">
        <v>50113739</v>
      </c>
      <c r="F125" s="47" t="s">
        <v>162</v>
      </c>
      <c r="G125" s="46">
        <v>12000</v>
      </c>
      <c r="H125" s="47">
        <v>3.23</v>
      </c>
      <c r="I125" s="46">
        <f t="shared" si="10"/>
        <v>38760</v>
      </c>
      <c r="J125" s="46" t="s">
        <v>374</v>
      </c>
      <c r="K125" s="46"/>
      <c r="L125" s="46"/>
      <c r="M125" s="47">
        <v>25501484</v>
      </c>
      <c r="N125" s="48" t="s">
        <v>160</v>
      </c>
      <c r="O125" s="49">
        <v>45994</v>
      </c>
      <c r="P125" s="50">
        <v>15</v>
      </c>
      <c r="Q125" s="49">
        <v>46022</v>
      </c>
      <c r="R125" s="47" t="s">
        <v>463</v>
      </c>
      <c r="S125" s="51">
        <v>46027</v>
      </c>
      <c r="T125" s="47">
        <v>1</v>
      </c>
      <c r="U125" s="47">
        <v>1</v>
      </c>
      <c r="V125" s="47">
        <v>3</v>
      </c>
      <c r="W125" s="52">
        <f t="shared" si="21"/>
        <v>46032</v>
      </c>
      <c r="X125" s="59"/>
    </row>
    <row r="126" spans="1:24" hidden="1">
      <c r="A126" s="46" t="s">
        <v>346</v>
      </c>
      <c r="B126" s="46" t="s">
        <v>457</v>
      </c>
      <c r="C126" s="47" t="s">
        <v>161</v>
      </c>
      <c r="D126" s="47" t="s">
        <v>161</v>
      </c>
      <c r="E126" s="47">
        <v>50106206</v>
      </c>
      <c r="F126" s="47" t="s">
        <v>163</v>
      </c>
      <c r="G126" s="46">
        <v>12000</v>
      </c>
      <c r="H126" s="47">
        <v>2.93</v>
      </c>
      <c r="I126" s="46">
        <f t="shared" si="10"/>
        <v>35160</v>
      </c>
      <c r="J126" s="46" t="s">
        <v>374</v>
      </c>
      <c r="K126" s="46"/>
      <c r="L126" s="46"/>
      <c r="M126" s="47">
        <v>25501484</v>
      </c>
      <c r="N126" s="48" t="s">
        <v>160</v>
      </c>
      <c r="O126" s="49">
        <v>45994</v>
      </c>
      <c r="P126" s="50">
        <v>16</v>
      </c>
      <c r="Q126" s="49">
        <v>46022</v>
      </c>
      <c r="R126" s="47" t="s">
        <v>463</v>
      </c>
      <c r="S126" s="51">
        <v>46027</v>
      </c>
      <c r="T126" s="47">
        <v>1</v>
      </c>
      <c r="U126" s="47">
        <v>1</v>
      </c>
      <c r="V126" s="47">
        <v>3</v>
      </c>
      <c r="W126" s="52">
        <f t="shared" si="21"/>
        <v>46032</v>
      </c>
      <c r="X126" s="59"/>
    </row>
    <row r="127" spans="1:24" hidden="1">
      <c r="A127" s="46" t="s">
        <v>346</v>
      </c>
      <c r="B127" s="46" t="s">
        <v>457</v>
      </c>
      <c r="C127" s="47" t="s">
        <v>161</v>
      </c>
      <c r="D127" s="47" t="s">
        <v>161</v>
      </c>
      <c r="E127" s="47">
        <v>50114359</v>
      </c>
      <c r="F127" s="47" t="s">
        <v>21</v>
      </c>
      <c r="G127" s="46">
        <v>12000</v>
      </c>
      <c r="H127" s="47">
        <v>3.75</v>
      </c>
      <c r="I127" s="46">
        <f t="shared" si="10"/>
        <v>45000</v>
      </c>
      <c r="J127" s="46" t="s">
        <v>374</v>
      </c>
      <c r="K127" s="46"/>
      <c r="L127" s="46"/>
      <c r="M127" s="47">
        <v>25501484</v>
      </c>
      <c r="N127" s="48" t="s">
        <v>160</v>
      </c>
      <c r="O127" s="49">
        <v>45994</v>
      </c>
      <c r="P127" s="50">
        <v>17</v>
      </c>
      <c r="Q127" s="49">
        <v>46022</v>
      </c>
      <c r="R127" s="47" t="s">
        <v>463</v>
      </c>
      <c r="S127" s="51">
        <v>46027</v>
      </c>
      <c r="T127" s="47">
        <v>1</v>
      </c>
      <c r="U127" s="47">
        <v>1</v>
      </c>
      <c r="V127" s="47">
        <v>3</v>
      </c>
      <c r="W127" s="52">
        <f t="shared" si="21"/>
        <v>46032</v>
      </c>
      <c r="X127" s="59"/>
    </row>
    <row r="128" spans="1:24" hidden="1">
      <c r="A128" s="46" t="s">
        <v>346</v>
      </c>
      <c r="B128" s="46" t="s">
        <v>457</v>
      </c>
      <c r="C128" s="47" t="s">
        <v>161</v>
      </c>
      <c r="D128" s="47" t="s">
        <v>161</v>
      </c>
      <c r="E128" s="47">
        <v>50113739</v>
      </c>
      <c r="F128" s="47" t="s">
        <v>162</v>
      </c>
      <c r="G128" s="46">
        <v>12000</v>
      </c>
      <c r="H128" s="47">
        <v>3.23</v>
      </c>
      <c r="I128" s="46">
        <f t="shared" si="10"/>
        <v>38760</v>
      </c>
      <c r="J128" s="46" t="s">
        <v>374</v>
      </c>
      <c r="K128" s="46"/>
      <c r="L128" s="46"/>
      <c r="M128" s="47">
        <v>25501484</v>
      </c>
      <c r="N128" s="48" t="s">
        <v>160</v>
      </c>
      <c r="O128" s="49">
        <v>45994</v>
      </c>
      <c r="P128" s="50">
        <v>18</v>
      </c>
      <c r="Q128" s="49">
        <v>46022</v>
      </c>
      <c r="R128" s="47" t="s">
        <v>463</v>
      </c>
      <c r="S128" s="51">
        <v>46027</v>
      </c>
      <c r="T128" s="47">
        <v>1</v>
      </c>
      <c r="U128" s="47">
        <v>1</v>
      </c>
      <c r="V128" s="47">
        <v>3</v>
      </c>
      <c r="W128" s="52">
        <f t="shared" si="21"/>
        <v>46032</v>
      </c>
      <c r="X128" s="59"/>
    </row>
    <row r="129" spans="1:24" hidden="1">
      <c r="A129" s="46" t="s">
        <v>346</v>
      </c>
      <c r="B129" s="46" t="s">
        <v>457</v>
      </c>
      <c r="C129" s="47" t="s">
        <v>161</v>
      </c>
      <c r="D129" s="47" t="s">
        <v>161</v>
      </c>
      <c r="E129" s="47">
        <v>50106206</v>
      </c>
      <c r="F129" s="47" t="s">
        <v>163</v>
      </c>
      <c r="G129" s="46">
        <v>12000</v>
      </c>
      <c r="H129" s="47">
        <v>2.93</v>
      </c>
      <c r="I129" s="46">
        <f t="shared" si="10"/>
        <v>35160</v>
      </c>
      <c r="J129" s="46" t="s">
        <v>374</v>
      </c>
      <c r="K129" s="46"/>
      <c r="L129" s="46"/>
      <c r="M129" s="47">
        <v>25501484</v>
      </c>
      <c r="N129" s="48" t="s">
        <v>160</v>
      </c>
      <c r="O129" s="49">
        <v>45994</v>
      </c>
      <c r="P129" s="50">
        <v>19</v>
      </c>
      <c r="Q129" s="49">
        <v>46022</v>
      </c>
      <c r="R129" s="47" t="s">
        <v>463</v>
      </c>
      <c r="S129" s="51">
        <v>46027</v>
      </c>
      <c r="T129" s="47">
        <v>1</v>
      </c>
      <c r="U129" s="47">
        <v>1</v>
      </c>
      <c r="V129" s="47">
        <v>3</v>
      </c>
      <c r="W129" s="52">
        <f t="shared" si="21"/>
        <v>46032</v>
      </c>
      <c r="X129" s="59"/>
    </row>
    <row r="130" spans="1:24" hidden="1">
      <c r="A130" s="46" t="s">
        <v>347</v>
      </c>
      <c r="B130" s="46" t="s">
        <v>455</v>
      </c>
      <c r="C130" s="47" t="s">
        <v>96</v>
      </c>
      <c r="D130" s="47" t="s">
        <v>96</v>
      </c>
      <c r="E130" s="47">
        <v>50101133</v>
      </c>
      <c r="F130" s="47" t="s">
        <v>6</v>
      </c>
      <c r="G130" s="46">
        <v>300000</v>
      </c>
      <c r="H130" s="47">
        <v>2.2200000000000002</v>
      </c>
      <c r="I130" s="46">
        <f t="shared" si="10"/>
        <v>666000.00000000012</v>
      </c>
      <c r="J130" s="46" t="s">
        <v>374</v>
      </c>
      <c r="K130" s="46">
        <v>300000</v>
      </c>
      <c r="L130" s="46"/>
      <c r="M130" s="47">
        <v>25501143</v>
      </c>
      <c r="N130" s="48">
        <v>1000129588</v>
      </c>
      <c r="O130" s="49">
        <v>45941</v>
      </c>
      <c r="P130" s="50">
        <v>2.1</v>
      </c>
      <c r="Q130" s="49">
        <v>46022</v>
      </c>
      <c r="R130" s="47" t="s">
        <v>495</v>
      </c>
      <c r="S130" s="52">
        <v>46028</v>
      </c>
      <c r="T130" s="47">
        <v>1</v>
      </c>
      <c r="U130" s="47">
        <v>1</v>
      </c>
      <c r="V130" s="47"/>
      <c r="W130" s="52">
        <f>S130+T130+U130</f>
        <v>46030</v>
      </c>
      <c r="X130" s="59"/>
    </row>
    <row r="131" spans="1:24" hidden="1">
      <c r="A131" s="46" t="s">
        <v>351</v>
      </c>
      <c r="B131" s="46" t="s">
        <v>457</v>
      </c>
      <c r="C131" s="47" t="s">
        <v>85</v>
      </c>
      <c r="D131" s="47" t="s">
        <v>86</v>
      </c>
      <c r="E131" s="47">
        <v>50081947</v>
      </c>
      <c r="F131" s="47" t="s">
        <v>148</v>
      </c>
      <c r="G131" s="46">
        <v>200000</v>
      </c>
      <c r="H131" s="47">
        <v>0.19</v>
      </c>
      <c r="I131" s="46">
        <f t="shared" si="10"/>
        <v>38000</v>
      </c>
      <c r="J131" s="46" t="s">
        <v>374</v>
      </c>
      <c r="K131" s="46"/>
      <c r="L131" s="46"/>
      <c r="M131" s="47">
        <v>25501488</v>
      </c>
      <c r="N131" s="48" t="s">
        <v>164</v>
      </c>
      <c r="O131" s="49">
        <v>45995</v>
      </c>
      <c r="P131" s="50">
        <v>3</v>
      </c>
      <c r="Q131" s="49">
        <v>46020</v>
      </c>
      <c r="R131" s="47" t="s">
        <v>462</v>
      </c>
      <c r="S131" s="51">
        <v>46045</v>
      </c>
      <c r="T131" s="47">
        <v>1</v>
      </c>
      <c r="U131" s="47">
        <v>1</v>
      </c>
      <c r="V131" s="47">
        <v>3</v>
      </c>
      <c r="W131" s="51">
        <f t="shared" ref="W131:W160" si="22">S131+T131+U131+V131</f>
        <v>46050</v>
      </c>
      <c r="X131" s="60"/>
    </row>
    <row r="132" spans="1:24" hidden="1">
      <c r="A132" s="46" t="s">
        <v>351</v>
      </c>
      <c r="B132" s="46" t="s">
        <v>457</v>
      </c>
      <c r="C132" s="47" t="s">
        <v>85</v>
      </c>
      <c r="D132" s="47" t="s">
        <v>86</v>
      </c>
      <c r="E132" s="47">
        <v>50114370</v>
      </c>
      <c r="F132" s="47" t="s">
        <v>146</v>
      </c>
      <c r="G132" s="46">
        <v>200000</v>
      </c>
      <c r="H132" s="47">
        <v>2.39</v>
      </c>
      <c r="I132" s="46">
        <f t="shared" si="10"/>
        <v>478000</v>
      </c>
      <c r="J132" s="46" t="s">
        <v>374</v>
      </c>
      <c r="K132" s="46"/>
      <c r="L132" s="46" t="s">
        <v>477</v>
      </c>
      <c r="M132" s="47">
        <v>25501488</v>
      </c>
      <c r="N132" s="48" t="s">
        <v>164</v>
      </c>
      <c r="O132" s="49">
        <v>45995</v>
      </c>
      <c r="P132" s="50">
        <v>4</v>
      </c>
      <c r="Q132" s="49">
        <v>46020</v>
      </c>
      <c r="R132" s="47" t="s">
        <v>462</v>
      </c>
      <c r="S132" s="51">
        <v>46045</v>
      </c>
      <c r="T132" s="47">
        <v>1</v>
      </c>
      <c r="U132" s="47">
        <v>1</v>
      </c>
      <c r="V132" s="47">
        <v>3</v>
      </c>
      <c r="W132" s="51">
        <f t="shared" si="22"/>
        <v>46050</v>
      </c>
      <c r="X132" s="60"/>
    </row>
    <row r="133" spans="1:24" hidden="1">
      <c r="A133" s="46" t="s">
        <v>351</v>
      </c>
      <c r="B133" s="46" t="s">
        <v>457</v>
      </c>
      <c r="C133" s="47" t="s">
        <v>85</v>
      </c>
      <c r="D133" s="47" t="s">
        <v>86</v>
      </c>
      <c r="E133" s="47">
        <v>50081947</v>
      </c>
      <c r="F133" s="47" t="s">
        <v>148</v>
      </c>
      <c r="G133" s="46">
        <v>300000</v>
      </c>
      <c r="H133" s="47">
        <v>0.19</v>
      </c>
      <c r="I133" s="46">
        <f t="shared" ref="I133:I197" si="23">G133*H133</f>
        <v>57000</v>
      </c>
      <c r="J133" s="46" t="s">
        <v>374</v>
      </c>
      <c r="K133" s="46"/>
      <c r="L133" s="46"/>
      <c r="M133" s="47">
        <v>25501488</v>
      </c>
      <c r="N133" s="48" t="s">
        <v>164</v>
      </c>
      <c r="O133" s="49">
        <v>45995</v>
      </c>
      <c r="P133" s="50">
        <v>5</v>
      </c>
      <c r="Q133" s="49">
        <v>46037</v>
      </c>
      <c r="R133" s="47" t="s">
        <v>462</v>
      </c>
      <c r="S133" s="51">
        <v>46045</v>
      </c>
      <c r="T133" s="47">
        <v>1</v>
      </c>
      <c r="U133" s="47">
        <v>1</v>
      </c>
      <c r="V133" s="47">
        <v>3</v>
      </c>
      <c r="W133" s="51">
        <f t="shared" si="22"/>
        <v>46050</v>
      </c>
      <c r="X133" s="60"/>
    </row>
    <row r="134" spans="1:24" hidden="1">
      <c r="A134" s="46" t="s">
        <v>351</v>
      </c>
      <c r="B134" s="46" t="s">
        <v>457</v>
      </c>
      <c r="C134" s="47" t="s">
        <v>85</v>
      </c>
      <c r="D134" s="47" t="s">
        <v>86</v>
      </c>
      <c r="E134" s="47">
        <v>50114370</v>
      </c>
      <c r="F134" s="47" t="s">
        <v>146</v>
      </c>
      <c r="G134" s="46">
        <v>300000</v>
      </c>
      <c r="H134" s="47">
        <v>2.39</v>
      </c>
      <c r="I134" s="46">
        <f t="shared" si="23"/>
        <v>717000</v>
      </c>
      <c r="J134" s="46" t="s">
        <v>374</v>
      </c>
      <c r="K134" s="46"/>
      <c r="L134" s="46" t="s">
        <v>477</v>
      </c>
      <c r="M134" s="47">
        <v>25501488</v>
      </c>
      <c r="N134" s="48" t="s">
        <v>164</v>
      </c>
      <c r="O134" s="49">
        <v>45995</v>
      </c>
      <c r="P134" s="50">
        <v>6</v>
      </c>
      <c r="Q134" s="49">
        <v>46037</v>
      </c>
      <c r="R134" s="47" t="s">
        <v>462</v>
      </c>
      <c r="S134" s="51">
        <v>46045</v>
      </c>
      <c r="T134" s="47">
        <v>1</v>
      </c>
      <c r="U134" s="47">
        <v>1</v>
      </c>
      <c r="V134" s="47">
        <v>3</v>
      </c>
      <c r="W134" s="51">
        <f t="shared" si="22"/>
        <v>46050</v>
      </c>
      <c r="X134" s="60"/>
    </row>
    <row r="135" spans="1:24" hidden="1">
      <c r="A135" s="46" t="s">
        <v>351</v>
      </c>
      <c r="B135" s="46" t="s">
        <v>457</v>
      </c>
      <c r="C135" s="47" t="s">
        <v>85</v>
      </c>
      <c r="D135" s="47" t="s">
        <v>86</v>
      </c>
      <c r="E135" s="47">
        <v>50081947</v>
      </c>
      <c r="F135" s="47" t="s">
        <v>148</v>
      </c>
      <c r="G135" s="46">
        <v>200000</v>
      </c>
      <c r="H135" s="47">
        <v>0.19</v>
      </c>
      <c r="I135" s="46">
        <f t="shared" si="23"/>
        <v>38000</v>
      </c>
      <c r="J135" s="46" t="s">
        <v>374</v>
      </c>
      <c r="K135" s="46"/>
      <c r="L135" s="46"/>
      <c r="M135" s="47">
        <v>25501488</v>
      </c>
      <c r="N135" s="48" t="s">
        <v>164</v>
      </c>
      <c r="O135" s="49">
        <v>45995</v>
      </c>
      <c r="P135" s="50">
        <v>7</v>
      </c>
      <c r="Q135" s="49">
        <v>46053</v>
      </c>
      <c r="R135" s="47" t="s">
        <v>462</v>
      </c>
      <c r="S135" s="51">
        <v>46045</v>
      </c>
      <c r="T135" s="47">
        <v>1</v>
      </c>
      <c r="U135" s="47">
        <v>1</v>
      </c>
      <c r="V135" s="47">
        <v>3</v>
      </c>
      <c r="W135" s="51">
        <f t="shared" si="22"/>
        <v>46050</v>
      </c>
      <c r="X135" s="60"/>
    </row>
    <row r="136" spans="1:24" hidden="1">
      <c r="A136" s="46" t="s">
        <v>351</v>
      </c>
      <c r="B136" s="46" t="s">
        <v>457</v>
      </c>
      <c r="C136" s="47" t="s">
        <v>85</v>
      </c>
      <c r="D136" s="47" t="s">
        <v>86</v>
      </c>
      <c r="E136" s="47">
        <v>50114370</v>
      </c>
      <c r="F136" s="47" t="s">
        <v>146</v>
      </c>
      <c r="G136" s="46">
        <v>200000</v>
      </c>
      <c r="H136" s="47">
        <v>2.39</v>
      </c>
      <c r="I136" s="46">
        <f t="shared" si="23"/>
        <v>478000</v>
      </c>
      <c r="J136" s="46" t="s">
        <v>374</v>
      </c>
      <c r="K136" s="46"/>
      <c r="L136" s="46" t="s">
        <v>477</v>
      </c>
      <c r="M136" s="47">
        <v>25501488</v>
      </c>
      <c r="N136" s="48" t="s">
        <v>164</v>
      </c>
      <c r="O136" s="49">
        <v>45995</v>
      </c>
      <c r="P136" s="50">
        <v>8</v>
      </c>
      <c r="Q136" s="49">
        <v>46053</v>
      </c>
      <c r="R136" s="47" t="s">
        <v>462</v>
      </c>
      <c r="S136" s="51">
        <v>46045</v>
      </c>
      <c r="T136" s="47">
        <v>1</v>
      </c>
      <c r="U136" s="47">
        <v>1</v>
      </c>
      <c r="V136" s="47">
        <v>3</v>
      </c>
      <c r="W136" s="51">
        <f t="shared" si="22"/>
        <v>46050</v>
      </c>
      <c r="X136" s="60"/>
    </row>
    <row r="137" spans="1:24" hidden="1">
      <c r="A137" s="46" t="s">
        <v>351</v>
      </c>
      <c r="B137" s="46" t="s">
        <v>457</v>
      </c>
      <c r="C137" s="47" t="s">
        <v>85</v>
      </c>
      <c r="D137" s="47" t="s">
        <v>86</v>
      </c>
      <c r="E137" s="47">
        <v>50115432</v>
      </c>
      <c r="F137" s="47" t="s">
        <v>166</v>
      </c>
      <c r="G137" s="46">
        <v>100000</v>
      </c>
      <c r="H137" s="47">
        <v>2.41</v>
      </c>
      <c r="I137" s="46">
        <f t="shared" si="23"/>
        <v>241000</v>
      </c>
      <c r="J137" s="46" t="s">
        <v>374</v>
      </c>
      <c r="K137" s="46"/>
      <c r="L137" s="46"/>
      <c r="M137" s="47">
        <v>25501489</v>
      </c>
      <c r="N137" s="48" t="s">
        <v>165</v>
      </c>
      <c r="O137" s="49">
        <v>45995</v>
      </c>
      <c r="P137" s="50">
        <v>3</v>
      </c>
      <c r="Q137" s="49">
        <v>46039</v>
      </c>
      <c r="R137" s="47" t="s">
        <v>462</v>
      </c>
      <c r="S137" s="51">
        <v>46047</v>
      </c>
      <c r="T137" s="47">
        <v>1</v>
      </c>
      <c r="U137" s="47">
        <v>1</v>
      </c>
      <c r="V137" s="47">
        <v>3</v>
      </c>
      <c r="W137" s="51">
        <f t="shared" si="22"/>
        <v>46052</v>
      </c>
      <c r="X137" s="60"/>
    </row>
    <row r="138" spans="1:24" hidden="1">
      <c r="A138" s="46" t="s">
        <v>351</v>
      </c>
      <c r="B138" s="46" t="s">
        <v>457</v>
      </c>
      <c r="C138" s="47" t="s">
        <v>85</v>
      </c>
      <c r="D138" s="47" t="s">
        <v>86</v>
      </c>
      <c r="E138" s="47">
        <v>50081947</v>
      </c>
      <c r="F138" s="47" t="s">
        <v>148</v>
      </c>
      <c r="G138" s="46">
        <v>100000</v>
      </c>
      <c r="H138" s="47">
        <v>0.19</v>
      </c>
      <c r="I138" s="46">
        <f t="shared" si="23"/>
        <v>19000</v>
      </c>
      <c r="J138" s="46" t="s">
        <v>374</v>
      </c>
      <c r="K138" s="46"/>
      <c r="L138" s="46"/>
      <c r="M138" s="47">
        <v>25501489</v>
      </c>
      <c r="N138" s="48" t="s">
        <v>165</v>
      </c>
      <c r="O138" s="49">
        <v>45995</v>
      </c>
      <c r="P138" s="50">
        <v>4</v>
      </c>
      <c r="Q138" s="49">
        <v>46039</v>
      </c>
      <c r="R138" s="47" t="s">
        <v>462</v>
      </c>
      <c r="S138" s="51">
        <v>46047</v>
      </c>
      <c r="T138" s="47">
        <v>1</v>
      </c>
      <c r="U138" s="47">
        <v>1</v>
      </c>
      <c r="V138" s="47">
        <v>3</v>
      </c>
      <c r="W138" s="51">
        <f t="shared" si="22"/>
        <v>46052</v>
      </c>
      <c r="X138" s="60"/>
    </row>
    <row r="139" spans="1:24" hidden="1">
      <c r="A139" s="46" t="s">
        <v>351</v>
      </c>
      <c r="B139" s="46" t="s">
        <v>457</v>
      </c>
      <c r="C139" s="47" t="s">
        <v>85</v>
      </c>
      <c r="D139" s="47" t="s">
        <v>86</v>
      </c>
      <c r="E139" s="47">
        <v>50083266</v>
      </c>
      <c r="F139" s="47" t="s">
        <v>73</v>
      </c>
      <c r="G139" s="46">
        <v>200000</v>
      </c>
      <c r="H139" s="47">
        <v>2.1800000000000002</v>
      </c>
      <c r="I139" s="46">
        <f t="shared" si="23"/>
        <v>436000.00000000006</v>
      </c>
      <c r="J139" s="46" t="s">
        <v>374</v>
      </c>
      <c r="K139" s="46"/>
      <c r="L139" s="46" t="s">
        <v>477</v>
      </c>
      <c r="M139" s="47">
        <v>25501490</v>
      </c>
      <c r="N139" s="48" t="s">
        <v>167</v>
      </c>
      <c r="O139" s="49">
        <v>45995</v>
      </c>
      <c r="P139" s="50">
        <v>3</v>
      </c>
      <c r="Q139" s="49">
        <v>46042</v>
      </c>
      <c r="R139" s="47"/>
      <c r="S139" s="51">
        <v>46032</v>
      </c>
      <c r="T139" s="47">
        <v>1</v>
      </c>
      <c r="U139" s="47">
        <v>1</v>
      </c>
      <c r="V139" s="47">
        <v>3</v>
      </c>
      <c r="W139" s="51">
        <f t="shared" si="22"/>
        <v>46037</v>
      </c>
      <c r="X139" s="60"/>
    </row>
    <row r="140" spans="1:24" hidden="1">
      <c r="A140" s="46" t="s">
        <v>351</v>
      </c>
      <c r="B140" s="46" t="s">
        <v>457</v>
      </c>
      <c r="C140" s="47" t="s">
        <v>85</v>
      </c>
      <c r="D140" s="47" t="s">
        <v>86</v>
      </c>
      <c r="E140" s="47">
        <v>50082077</v>
      </c>
      <c r="F140" s="47" t="s">
        <v>59</v>
      </c>
      <c r="G140" s="46">
        <v>200000</v>
      </c>
      <c r="H140" s="47">
        <v>0.15</v>
      </c>
      <c r="I140" s="46">
        <f t="shared" si="23"/>
        <v>30000</v>
      </c>
      <c r="J140" s="46" t="s">
        <v>374</v>
      </c>
      <c r="K140" s="46"/>
      <c r="L140" s="46" t="s">
        <v>477</v>
      </c>
      <c r="M140" s="47">
        <v>25501490</v>
      </c>
      <c r="N140" s="48" t="s">
        <v>167</v>
      </c>
      <c r="O140" s="49">
        <v>45995</v>
      </c>
      <c r="P140" s="50">
        <v>4</v>
      </c>
      <c r="Q140" s="49">
        <v>46042</v>
      </c>
      <c r="R140" s="47"/>
      <c r="S140" s="51">
        <v>46032</v>
      </c>
      <c r="T140" s="47">
        <v>1</v>
      </c>
      <c r="U140" s="47">
        <v>1</v>
      </c>
      <c r="V140" s="47">
        <v>3</v>
      </c>
      <c r="W140" s="51">
        <f t="shared" si="22"/>
        <v>46037</v>
      </c>
      <c r="X140" s="60"/>
    </row>
    <row r="141" spans="1:24" hidden="1">
      <c r="A141" s="46" t="s">
        <v>351</v>
      </c>
      <c r="B141" s="46" t="s">
        <v>457</v>
      </c>
      <c r="C141" s="47" t="s">
        <v>85</v>
      </c>
      <c r="D141" s="47" t="s">
        <v>86</v>
      </c>
      <c r="E141" s="47">
        <v>50083266</v>
      </c>
      <c r="F141" s="47" t="s">
        <v>73</v>
      </c>
      <c r="G141" s="46">
        <v>300000</v>
      </c>
      <c r="H141" s="47">
        <v>2.1800000000000002</v>
      </c>
      <c r="I141" s="46">
        <f t="shared" si="23"/>
        <v>654000</v>
      </c>
      <c r="J141" s="46" t="s">
        <v>374</v>
      </c>
      <c r="K141" s="46"/>
      <c r="L141" s="46"/>
      <c r="M141" s="47">
        <v>25501490</v>
      </c>
      <c r="N141" s="48" t="s">
        <v>167</v>
      </c>
      <c r="O141" s="49">
        <v>45995</v>
      </c>
      <c r="P141" s="50">
        <v>5</v>
      </c>
      <c r="Q141" s="49">
        <v>46053</v>
      </c>
      <c r="R141" s="47"/>
      <c r="S141" s="51">
        <v>46047</v>
      </c>
      <c r="T141" s="47">
        <v>1</v>
      </c>
      <c r="U141" s="47">
        <v>1</v>
      </c>
      <c r="V141" s="47">
        <v>3</v>
      </c>
      <c r="W141" s="51">
        <f t="shared" si="22"/>
        <v>46052</v>
      </c>
      <c r="X141" s="60"/>
    </row>
    <row r="142" spans="1:24" hidden="1">
      <c r="A142" s="46" t="s">
        <v>351</v>
      </c>
      <c r="B142" s="46" t="s">
        <v>457</v>
      </c>
      <c r="C142" s="47" t="s">
        <v>85</v>
      </c>
      <c r="D142" s="47" t="s">
        <v>86</v>
      </c>
      <c r="E142" s="47">
        <v>50082077</v>
      </c>
      <c r="F142" s="47" t="s">
        <v>59</v>
      </c>
      <c r="G142" s="46">
        <v>300000</v>
      </c>
      <c r="H142" s="47">
        <v>0.15</v>
      </c>
      <c r="I142" s="46">
        <f t="shared" si="23"/>
        <v>45000</v>
      </c>
      <c r="J142" s="46" t="s">
        <v>374</v>
      </c>
      <c r="K142" s="46"/>
      <c r="L142" s="46"/>
      <c r="M142" s="47">
        <v>25501490</v>
      </c>
      <c r="N142" s="48" t="s">
        <v>167</v>
      </c>
      <c r="O142" s="49">
        <v>45995</v>
      </c>
      <c r="P142" s="50">
        <v>6</v>
      </c>
      <c r="Q142" s="49">
        <v>46053</v>
      </c>
      <c r="R142" s="47"/>
      <c r="S142" s="51">
        <v>46047</v>
      </c>
      <c r="T142" s="47">
        <v>1</v>
      </c>
      <c r="U142" s="47">
        <v>1</v>
      </c>
      <c r="V142" s="47">
        <v>3</v>
      </c>
      <c r="W142" s="51">
        <f t="shared" si="22"/>
        <v>46052</v>
      </c>
      <c r="X142" s="60"/>
    </row>
    <row r="143" spans="1:24" hidden="1">
      <c r="A143" s="46" t="s">
        <v>349</v>
      </c>
      <c r="B143" s="46" t="s">
        <v>457</v>
      </c>
      <c r="C143" s="47" t="s">
        <v>404</v>
      </c>
      <c r="D143" s="47" t="s">
        <v>168</v>
      </c>
      <c r="E143" s="47">
        <v>50114671</v>
      </c>
      <c r="F143" s="47" t="s">
        <v>29</v>
      </c>
      <c r="G143" s="46">
        <v>160000</v>
      </c>
      <c r="H143" s="47">
        <v>2.92</v>
      </c>
      <c r="I143" s="46">
        <f t="shared" si="23"/>
        <v>467200</v>
      </c>
      <c r="J143" s="46" t="s">
        <v>374</v>
      </c>
      <c r="K143" s="46"/>
      <c r="L143" s="46" t="s">
        <v>482</v>
      </c>
      <c r="M143" s="47">
        <v>25501491</v>
      </c>
      <c r="N143" s="48">
        <v>4510684792</v>
      </c>
      <c r="O143" s="49">
        <v>45997</v>
      </c>
      <c r="P143" s="50">
        <v>2</v>
      </c>
      <c r="Q143" s="49">
        <v>46016</v>
      </c>
      <c r="R143" s="47" t="s">
        <v>463</v>
      </c>
      <c r="S143" s="51">
        <v>46026</v>
      </c>
      <c r="T143" s="47">
        <v>1</v>
      </c>
      <c r="U143" s="47">
        <v>1</v>
      </c>
      <c r="V143" s="47">
        <v>3</v>
      </c>
      <c r="W143" s="51">
        <f t="shared" si="22"/>
        <v>46031</v>
      </c>
      <c r="X143" s="60"/>
    </row>
    <row r="144" spans="1:24" hidden="1">
      <c r="A144" s="46" t="s">
        <v>349</v>
      </c>
      <c r="B144" s="46" t="s">
        <v>457</v>
      </c>
      <c r="C144" s="47" t="s">
        <v>404</v>
      </c>
      <c r="D144" s="47" t="s">
        <v>168</v>
      </c>
      <c r="E144" s="47">
        <v>50081723</v>
      </c>
      <c r="F144" s="47" t="s">
        <v>55</v>
      </c>
      <c r="G144" s="46">
        <v>155000</v>
      </c>
      <c r="H144" s="47">
        <v>1.49</v>
      </c>
      <c r="I144" s="46">
        <f t="shared" si="23"/>
        <v>230950</v>
      </c>
      <c r="J144" s="46" t="s">
        <v>374</v>
      </c>
      <c r="K144" s="46"/>
      <c r="L144" s="46" t="s">
        <v>482</v>
      </c>
      <c r="M144" s="47">
        <v>25501491</v>
      </c>
      <c r="N144" s="48">
        <v>4510684792</v>
      </c>
      <c r="O144" s="49">
        <v>45997</v>
      </c>
      <c r="P144" s="50">
        <v>3</v>
      </c>
      <c r="Q144" s="49">
        <v>46016</v>
      </c>
      <c r="R144" s="47" t="s">
        <v>463</v>
      </c>
      <c r="S144" s="51">
        <v>46026</v>
      </c>
      <c r="T144" s="47">
        <v>1</v>
      </c>
      <c r="U144" s="47">
        <v>1</v>
      </c>
      <c r="V144" s="47">
        <v>3</v>
      </c>
      <c r="W144" s="51">
        <f t="shared" si="22"/>
        <v>46031</v>
      </c>
      <c r="X144" s="60"/>
    </row>
    <row r="145" spans="1:24" hidden="1">
      <c r="A145" s="46" t="s">
        <v>349</v>
      </c>
      <c r="B145" s="46" t="s">
        <v>457</v>
      </c>
      <c r="C145" s="47" t="s">
        <v>404</v>
      </c>
      <c r="D145" s="47" t="s">
        <v>168</v>
      </c>
      <c r="E145" s="47">
        <v>50081840</v>
      </c>
      <c r="F145" s="47" t="s">
        <v>137</v>
      </c>
      <c r="G145" s="46">
        <v>160000</v>
      </c>
      <c r="H145" s="47">
        <v>1.1599999999999999</v>
      </c>
      <c r="I145" s="46">
        <f t="shared" si="23"/>
        <v>185600</v>
      </c>
      <c r="J145" s="46" t="s">
        <v>374</v>
      </c>
      <c r="K145" s="46"/>
      <c r="L145" s="46" t="s">
        <v>482</v>
      </c>
      <c r="M145" s="47">
        <v>25501491</v>
      </c>
      <c r="N145" s="48">
        <v>4510684792</v>
      </c>
      <c r="O145" s="49">
        <v>45997</v>
      </c>
      <c r="P145" s="50">
        <v>4</v>
      </c>
      <c r="Q145" s="49">
        <v>46016</v>
      </c>
      <c r="R145" s="47" t="s">
        <v>463</v>
      </c>
      <c r="S145" s="51">
        <v>46026</v>
      </c>
      <c r="T145" s="47">
        <v>1</v>
      </c>
      <c r="U145" s="47">
        <v>1</v>
      </c>
      <c r="V145" s="47">
        <v>3</v>
      </c>
      <c r="W145" s="51">
        <f t="shared" si="22"/>
        <v>46031</v>
      </c>
      <c r="X145" s="60"/>
    </row>
    <row r="146" spans="1:24" hidden="1">
      <c r="A146" s="46" t="s">
        <v>351</v>
      </c>
      <c r="B146" s="46" t="s">
        <v>457</v>
      </c>
      <c r="C146" s="47" t="s">
        <v>123</v>
      </c>
      <c r="D146" s="47" t="s">
        <v>169</v>
      </c>
      <c r="E146" s="47">
        <v>50081970</v>
      </c>
      <c r="F146" s="47" t="s">
        <v>107</v>
      </c>
      <c r="G146" s="46">
        <v>60000</v>
      </c>
      <c r="H146" s="47">
        <v>1.43</v>
      </c>
      <c r="I146" s="46">
        <f t="shared" si="23"/>
        <v>85800</v>
      </c>
      <c r="J146" s="46" t="s">
        <v>374</v>
      </c>
      <c r="K146" s="46"/>
      <c r="L146" s="46" t="s">
        <v>482</v>
      </c>
      <c r="M146" s="47">
        <v>25501494</v>
      </c>
      <c r="N146" s="48">
        <v>4100313344</v>
      </c>
      <c r="O146" s="49">
        <v>45997</v>
      </c>
      <c r="P146" s="50">
        <v>1</v>
      </c>
      <c r="Q146" s="49">
        <v>46016</v>
      </c>
      <c r="R146" s="47" t="s">
        <v>462</v>
      </c>
      <c r="S146" s="51">
        <v>46029</v>
      </c>
      <c r="T146" s="47">
        <v>1</v>
      </c>
      <c r="U146" s="47">
        <v>1</v>
      </c>
      <c r="V146" s="47">
        <v>3</v>
      </c>
      <c r="W146" s="51">
        <f t="shared" si="22"/>
        <v>46034</v>
      </c>
      <c r="X146" s="60"/>
    </row>
    <row r="147" spans="1:24" hidden="1">
      <c r="A147" s="46" t="s">
        <v>351</v>
      </c>
      <c r="B147" s="46" t="s">
        <v>457</v>
      </c>
      <c r="C147" s="47" t="s">
        <v>123</v>
      </c>
      <c r="D147" s="47" t="s">
        <v>169</v>
      </c>
      <c r="E147" s="47">
        <v>50081808</v>
      </c>
      <c r="F147" s="47" t="s">
        <v>23</v>
      </c>
      <c r="G147" s="46">
        <v>60000</v>
      </c>
      <c r="H147" s="47">
        <v>0.55000000000000004</v>
      </c>
      <c r="I147" s="46">
        <f t="shared" si="23"/>
        <v>33000</v>
      </c>
      <c r="J147" s="46" t="s">
        <v>374</v>
      </c>
      <c r="K147" s="46"/>
      <c r="L147" s="46" t="s">
        <v>482</v>
      </c>
      <c r="M147" s="47">
        <v>25501494</v>
      </c>
      <c r="N147" s="48">
        <v>4100313344</v>
      </c>
      <c r="O147" s="49">
        <v>45997</v>
      </c>
      <c r="P147" s="50">
        <v>2</v>
      </c>
      <c r="Q147" s="49">
        <v>46016</v>
      </c>
      <c r="R147" s="47" t="s">
        <v>462</v>
      </c>
      <c r="S147" s="51">
        <v>46029</v>
      </c>
      <c r="T147" s="47">
        <v>1</v>
      </c>
      <c r="U147" s="47">
        <v>1</v>
      </c>
      <c r="V147" s="47">
        <v>3</v>
      </c>
      <c r="W147" s="51">
        <f t="shared" si="22"/>
        <v>46034</v>
      </c>
      <c r="X147" s="60"/>
    </row>
    <row r="148" spans="1:24" hidden="1">
      <c r="A148" s="46" t="s">
        <v>351</v>
      </c>
      <c r="B148" s="46" t="s">
        <v>457</v>
      </c>
      <c r="C148" s="47" t="s">
        <v>123</v>
      </c>
      <c r="D148" s="47" t="s">
        <v>169</v>
      </c>
      <c r="E148" s="47">
        <v>50111939</v>
      </c>
      <c r="F148" s="47" t="s">
        <v>39</v>
      </c>
      <c r="G148" s="46">
        <v>60000</v>
      </c>
      <c r="H148" s="47">
        <v>0.25</v>
      </c>
      <c r="I148" s="46">
        <f t="shared" si="23"/>
        <v>15000</v>
      </c>
      <c r="J148" s="46" t="s">
        <v>374</v>
      </c>
      <c r="K148" s="46"/>
      <c r="L148" s="46" t="s">
        <v>482</v>
      </c>
      <c r="M148" s="47">
        <v>25501494</v>
      </c>
      <c r="N148" s="48">
        <v>4100313344</v>
      </c>
      <c r="O148" s="49">
        <v>45997</v>
      </c>
      <c r="P148" s="50">
        <v>3</v>
      </c>
      <c r="Q148" s="49">
        <v>46016</v>
      </c>
      <c r="R148" s="47" t="s">
        <v>463</v>
      </c>
      <c r="S148" s="51">
        <v>46029</v>
      </c>
      <c r="T148" s="47">
        <v>1</v>
      </c>
      <c r="U148" s="47">
        <v>1</v>
      </c>
      <c r="V148" s="47">
        <v>3</v>
      </c>
      <c r="W148" s="51">
        <f t="shared" si="22"/>
        <v>46034</v>
      </c>
      <c r="X148" s="60"/>
    </row>
    <row r="149" spans="1:24" hidden="1">
      <c r="A149" s="46" t="s">
        <v>346</v>
      </c>
      <c r="B149" s="46" t="s">
        <v>455</v>
      </c>
      <c r="C149" s="47" t="s">
        <v>151</v>
      </c>
      <c r="D149" s="47" t="s">
        <v>151</v>
      </c>
      <c r="E149" s="47">
        <v>50114361</v>
      </c>
      <c r="F149" s="47" t="s">
        <v>61</v>
      </c>
      <c r="G149" s="46">
        <v>300000</v>
      </c>
      <c r="H149" s="47">
        <v>2.96</v>
      </c>
      <c r="I149" s="46">
        <f t="shared" si="23"/>
        <v>888000</v>
      </c>
      <c r="J149" s="46" t="s">
        <v>374</v>
      </c>
      <c r="K149" s="46"/>
      <c r="L149" s="46" t="s">
        <v>482</v>
      </c>
      <c r="M149" s="47">
        <v>25501496</v>
      </c>
      <c r="N149" s="48">
        <v>4300009633</v>
      </c>
      <c r="O149" s="49">
        <v>45997</v>
      </c>
      <c r="P149" s="50">
        <v>4</v>
      </c>
      <c r="Q149" s="49">
        <v>46037</v>
      </c>
      <c r="R149" s="47" t="s">
        <v>463</v>
      </c>
      <c r="S149" s="52">
        <v>46024</v>
      </c>
      <c r="T149" s="47">
        <v>1</v>
      </c>
      <c r="U149" s="47">
        <v>1</v>
      </c>
      <c r="V149" s="47">
        <v>3</v>
      </c>
      <c r="W149" s="52">
        <f t="shared" si="22"/>
        <v>46029</v>
      </c>
      <c r="X149" s="59"/>
    </row>
    <row r="150" spans="1:24" hidden="1">
      <c r="A150" s="46" t="s">
        <v>351</v>
      </c>
      <c r="B150" s="46" t="s">
        <v>457</v>
      </c>
      <c r="C150" s="47" t="s">
        <v>141</v>
      </c>
      <c r="D150" s="47" t="s">
        <v>141</v>
      </c>
      <c r="E150" s="47">
        <v>50081866</v>
      </c>
      <c r="F150" s="47" t="s">
        <v>153</v>
      </c>
      <c r="G150" s="46">
        <v>134300</v>
      </c>
      <c r="H150" s="47">
        <v>1.48</v>
      </c>
      <c r="I150" s="46">
        <f t="shared" si="23"/>
        <v>198764</v>
      </c>
      <c r="J150" s="46" t="s">
        <v>374</v>
      </c>
      <c r="K150" s="46"/>
      <c r="L150" s="46" t="s">
        <v>482</v>
      </c>
      <c r="M150" s="47">
        <v>25501497</v>
      </c>
      <c r="N150" s="48" t="s">
        <v>171</v>
      </c>
      <c r="O150" s="49">
        <v>45997</v>
      </c>
      <c r="P150" s="50">
        <v>1</v>
      </c>
      <c r="Q150" s="49">
        <v>46028</v>
      </c>
      <c r="R150" s="47" t="s">
        <v>462</v>
      </c>
      <c r="S150" s="51">
        <v>46035</v>
      </c>
      <c r="T150" s="47">
        <v>1</v>
      </c>
      <c r="U150" s="47">
        <v>1</v>
      </c>
      <c r="V150" s="47">
        <v>3</v>
      </c>
      <c r="W150" s="51">
        <f t="shared" si="22"/>
        <v>46040</v>
      </c>
      <c r="X150" s="60"/>
    </row>
    <row r="151" spans="1:24" hidden="1">
      <c r="A151" s="46" t="s">
        <v>351</v>
      </c>
      <c r="B151" s="46" t="s">
        <v>457</v>
      </c>
      <c r="C151" s="47" t="s">
        <v>141</v>
      </c>
      <c r="D151" s="47" t="s">
        <v>141</v>
      </c>
      <c r="E151" s="47">
        <v>50082011</v>
      </c>
      <c r="F151" s="47" t="s">
        <v>154</v>
      </c>
      <c r="G151" s="46">
        <v>134300</v>
      </c>
      <c r="H151" s="47">
        <v>0.6</v>
      </c>
      <c r="I151" s="46">
        <f t="shared" si="23"/>
        <v>80580</v>
      </c>
      <c r="J151" s="46" t="s">
        <v>374</v>
      </c>
      <c r="K151" s="46"/>
      <c r="L151" s="46" t="s">
        <v>482</v>
      </c>
      <c r="M151" s="47">
        <v>25501497</v>
      </c>
      <c r="N151" s="48" t="s">
        <v>171</v>
      </c>
      <c r="O151" s="49">
        <v>45997</v>
      </c>
      <c r="P151" s="50">
        <v>2</v>
      </c>
      <c r="Q151" s="49">
        <v>46028</v>
      </c>
      <c r="R151" s="47" t="s">
        <v>462</v>
      </c>
      <c r="S151" s="51">
        <v>46035</v>
      </c>
      <c r="T151" s="47">
        <v>1</v>
      </c>
      <c r="U151" s="47">
        <v>1</v>
      </c>
      <c r="V151" s="47">
        <v>3</v>
      </c>
      <c r="W151" s="51">
        <f t="shared" si="22"/>
        <v>46040</v>
      </c>
      <c r="X151" s="60"/>
    </row>
    <row r="152" spans="1:24" hidden="1">
      <c r="A152" s="46" t="s">
        <v>351</v>
      </c>
      <c r="B152" s="46" t="s">
        <v>457</v>
      </c>
      <c r="C152" s="47" t="s">
        <v>141</v>
      </c>
      <c r="D152" s="47" t="s">
        <v>141</v>
      </c>
      <c r="E152" s="47">
        <v>50105010</v>
      </c>
      <c r="F152" s="47" t="s">
        <v>155</v>
      </c>
      <c r="G152" s="46">
        <v>134300</v>
      </c>
      <c r="H152" s="47">
        <v>0.27</v>
      </c>
      <c r="I152" s="46">
        <f t="shared" si="23"/>
        <v>36261</v>
      </c>
      <c r="J152" s="46" t="s">
        <v>374</v>
      </c>
      <c r="K152" s="46"/>
      <c r="L152" s="46" t="s">
        <v>482</v>
      </c>
      <c r="M152" s="47">
        <v>25501497</v>
      </c>
      <c r="N152" s="48" t="s">
        <v>171</v>
      </c>
      <c r="O152" s="49">
        <v>45997</v>
      </c>
      <c r="P152" s="50">
        <v>3</v>
      </c>
      <c r="Q152" s="49">
        <v>46028</v>
      </c>
      <c r="R152" s="47" t="s">
        <v>462</v>
      </c>
      <c r="S152" s="51">
        <v>46035</v>
      </c>
      <c r="T152" s="47">
        <v>1</v>
      </c>
      <c r="U152" s="47">
        <v>1</v>
      </c>
      <c r="V152" s="47">
        <v>3</v>
      </c>
      <c r="W152" s="51">
        <f t="shared" si="22"/>
        <v>46040</v>
      </c>
      <c r="X152" s="60"/>
    </row>
    <row r="153" spans="1:24" hidden="1">
      <c r="A153" s="46" t="s">
        <v>349</v>
      </c>
      <c r="B153" s="46" t="s">
        <v>457</v>
      </c>
      <c r="C153" s="47" t="s">
        <v>404</v>
      </c>
      <c r="D153" s="47" t="s">
        <v>174</v>
      </c>
      <c r="E153" s="47">
        <v>50115491</v>
      </c>
      <c r="F153" s="47" t="s">
        <v>175</v>
      </c>
      <c r="G153" s="46">
        <v>100239</v>
      </c>
      <c r="H153" s="47">
        <v>2.6</v>
      </c>
      <c r="I153" s="46">
        <f t="shared" si="23"/>
        <v>260621.40000000002</v>
      </c>
      <c r="J153" s="46" t="s">
        <v>374</v>
      </c>
      <c r="K153" s="46"/>
      <c r="L153" s="46" t="s">
        <v>482</v>
      </c>
      <c r="M153" s="47">
        <v>25501504</v>
      </c>
      <c r="N153" s="48">
        <v>4510685034</v>
      </c>
      <c r="O153" s="49">
        <v>45997</v>
      </c>
      <c r="P153" s="50">
        <v>1</v>
      </c>
      <c r="Q153" s="49">
        <v>46049</v>
      </c>
      <c r="R153" s="47" t="s">
        <v>463</v>
      </c>
      <c r="S153" s="52">
        <v>46024</v>
      </c>
      <c r="T153" s="47">
        <v>1</v>
      </c>
      <c r="U153" s="47">
        <v>1</v>
      </c>
      <c r="V153" s="47">
        <v>3</v>
      </c>
      <c r="W153" s="51">
        <f t="shared" si="22"/>
        <v>46029</v>
      </c>
      <c r="X153" s="60"/>
    </row>
    <row r="154" spans="1:24" hidden="1">
      <c r="A154" s="46" t="s">
        <v>349</v>
      </c>
      <c r="B154" s="46" t="s">
        <v>457</v>
      </c>
      <c r="C154" s="47" t="s">
        <v>404</v>
      </c>
      <c r="D154" s="47" t="s">
        <v>174</v>
      </c>
      <c r="E154" s="47">
        <v>50081670</v>
      </c>
      <c r="F154" s="47" t="s">
        <v>30</v>
      </c>
      <c r="G154" s="46">
        <v>166333</v>
      </c>
      <c r="H154" s="47">
        <v>1.49</v>
      </c>
      <c r="I154" s="46">
        <f t="shared" si="23"/>
        <v>247836.17</v>
      </c>
      <c r="J154" s="46" t="s">
        <v>374</v>
      </c>
      <c r="K154" s="46"/>
      <c r="L154" s="46" t="s">
        <v>482</v>
      </c>
      <c r="M154" s="47">
        <v>25501504</v>
      </c>
      <c r="N154" s="48">
        <v>4510685034</v>
      </c>
      <c r="O154" s="49">
        <v>45997</v>
      </c>
      <c r="P154" s="50">
        <v>2</v>
      </c>
      <c r="Q154" s="49">
        <v>46049</v>
      </c>
      <c r="R154" s="47" t="s">
        <v>463</v>
      </c>
      <c r="S154" s="52">
        <v>46024</v>
      </c>
      <c r="T154" s="47">
        <v>1</v>
      </c>
      <c r="U154" s="47">
        <v>1</v>
      </c>
      <c r="V154" s="47">
        <v>3</v>
      </c>
      <c r="W154" s="51">
        <f t="shared" si="22"/>
        <v>46029</v>
      </c>
      <c r="X154" s="60"/>
    </row>
    <row r="155" spans="1:24" hidden="1">
      <c r="A155" s="46" t="s">
        <v>349</v>
      </c>
      <c r="B155" s="46" t="s">
        <v>457</v>
      </c>
      <c r="C155" s="47" t="s">
        <v>404</v>
      </c>
      <c r="D155" s="47" t="s">
        <v>174</v>
      </c>
      <c r="E155" s="47">
        <v>50081840</v>
      </c>
      <c r="F155" s="47" t="s">
        <v>137</v>
      </c>
      <c r="G155" s="46">
        <v>164544</v>
      </c>
      <c r="H155" s="47">
        <v>1.1599999999999999</v>
      </c>
      <c r="I155" s="46">
        <f t="shared" si="23"/>
        <v>190871.03999999998</v>
      </c>
      <c r="J155" s="46" t="s">
        <v>374</v>
      </c>
      <c r="K155" s="46"/>
      <c r="L155" s="46" t="s">
        <v>482</v>
      </c>
      <c r="M155" s="47">
        <v>25501504</v>
      </c>
      <c r="N155" s="48">
        <v>4510685034</v>
      </c>
      <c r="O155" s="49">
        <v>45997</v>
      </c>
      <c r="P155" s="50">
        <v>3</v>
      </c>
      <c r="Q155" s="49">
        <v>46049</v>
      </c>
      <c r="R155" s="47" t="s">
        <v>463</v>
      </c>
      <c r="S155" s="52">
        <v>46024</v>
      </c>
      <c r="T155" s="47">
        <v>1</v>
      </c>
      <c r="U155" s="47">
        <v>1</v>
      </c>
      <c r="V155" s="47">
        <v>3</v>
      </c>
      <c r="W155" s="51">
        <f t="shared" si="22"/>
        <v>46029</v>
      </c>
      <c r="X155" s="60"/>
    </row>
    <row r="156" spans="1:24" hidden="1">
      <c r="A156" s="46" t="s">
        <v>346</v>
      </c>
      <c r="B156" s="46" t="s">
        <v>455</v>
      </c>
      <c r="C156" s="47" t="s">
        <v>97</v>
      </c>
      <c r="D156" s="47" t="s">
        <v>97</v>
      </c>
      <c r="E156" s="47">
        <v>50091672</v>
      </c>
      <c r="F156" s="47" t="s">
        <v>108</v>
      </c>
      <c r="G156" s="46">
        <v>5000</v>
      </c>
      <c r="H156" s="47">
        <v>3.63</v>
      </c>
      <c r="I156" s="46">
        <f t="shared" si="23"/>
        <v>18150</v>
      </c>
      <c r="J156" s="46" t="s">
        <v>374</v>
      </c>
      <c r="K156" s="46"/>
      <c r="L156" s="46"/>
      <c r="M156" s="47">
        <v>25501507</v>
      </c>
      <c r="N156" s="48">
        <v>4242501751</v>
      </c>
      <c r="O156" s="49">
        <v>45997</v>
      </c>
      <c r="P156" s="50">
        <v>1</v>
      </c>
      <c r="Q156" s="49">
        <v>46021</v>
      </c>
      <c r="R156" s="47" t="s">
        <v>463</v>
      </c>
      <c r="S156" s="51">
        <v>46024</v>
      </c>
      <c r="T156" s="47">
        <v>1</v>
      </c>
      <c r="U156" s="47">
        <v>1</v>
      </c>
      <c r="V156" s="47">
        <v>3</v>
      </c>
      <c r="W156" s="52">
        <f t="shared" si="22"/>
        <v>46029</v>
      </c>
      <c r="X156" s="59"/>
    </row>
    <row r="157" spans="1:24" hidden="1">
      <c r="A157" s="46" t="s">
        <v>346</v>
      </c>
      <c r="B157" s="46" t="s">
        <v>455</v>
      </c>
      <c r="C157" s="47" t="s">
        <v>97</v>
      </c>
      <c r="D157" s="47" t="s">
        <v>97</v>
      </c>
      <c r="E157" s="47">
        <v>50092585</v>
      </c>
      <c r="F157" s="47" t="s">
        <v>22</v>
      </c>
      <c r="G157" s="46">
        <v>5000</v>
      </c>
      <c r="H157" s="47">
        <v>4.1100000000000003</v>
      </c>
      <c r="I157" s="46">
        <f t="shared" si="23"/>
        <v>20550</v>
      </c>
      <c r="J157" s="46" t="s">
        <v>374</v>
      </c>
      <c r="K157" s="46"/>
      <c r="L157" s="46"/>
      <c r="M157" s="47">
        <v>25501507</v>
      </c>
      <c r="N157" s="48">
        <v>4242501751</v>
      </c>
      <c r="O157" s="49">
        <v>45997</v>
      </c>
      <c r="P157" s="50">
        <v>2</v>
      </c>
      <c r="Q157" s="49">
        <v>46021</v>
      </c>
      <c r="R157" s="47" t="s">
        <v>463</v>
      </c>
      <c r="S157" s="51">
        <v>46024</v>
      </c>
      <c r="T157" s="47">
        <v>1</v>
      </c>
      <c r="U157" s="47">
        <v>1</v>
      </c>
      <c r="V157" s="47">
        <v>3</v>
      </c>
      <c r="W157" s="52">
        <f t="shared" si="22"/>
        <v>46029</v>
      </c>
      <c r="X157" s="59"/>
    </row>
    <row r="158" spans="1:24" hidden="1">
      <c r="A158" s="46" t="s">
        <v>346</v>
      </c>
      <c r="B158" s="46" t="s">
        <v>455</v>
      </c>
      <c r="C158" s="47" t="s">
        <v>97</v>
      </c>
      <c r="D158" s="47" t="s">
        <v>97</v>
      </c>
      <c r="E158" s="47">
        <v>50113743</v>
      </c>
      <c r="F158" s="47" t="s">
        <v>170</v>
      </c>
      <c r="G158" s="46">
        <v>5000</v>
      </c>
      <c r="H158" s="47">
        <v>1.98</v>
      </c>
      <c r="I158" s="46">
        <f t="shared" si="23"/>
        <v>9900</v>
      </c>
      <c r="J158" s="46" t="s">
        <v>374</v>
      </c>
      <c r="K158" s="46"/>
      <c r="L158" s="46"/>
      <c r="M158" s="47">
        <v>25501507</v>
      </c>
      <c r="N158" s="48">
        <v>4242501751</v>
      </c>
      <c r="O158" s="49">
        <v>45997</v>
      </c>
      <c r="P158" s="50">
        <v>3</v>
      </c>
      <c r="Q158" s="49">
        <v>46021</v>
      </c>
      <c r="R158" s="47" t="s">
        <v>463</v>
      </c>
      <c r="S158" s="51">
        <v>46024</v>
      </c>
      <c r="T158" s="47">
        <v>1</v>
      </c>
      <c r="U158" s="47">
        <v>1</v>
      </c>
      <c r="V158" s="47">
        <v>3</v>
      </c>
      <c r="W158" s="52">
        <f t="shared" si="22"/>
        <v>46029</v>
      </c>
      <c r="X158" s="59"/>
    </row>
    <row r="159" spans="1:24" hidden="1">
      <c r="A159" s="46" t="s">
        <v>346</v>
      </c>
      <c r="B159" s="46" t="s">
        <v>455</v>
      </c>
      <c r="C159" s="47" t="s">
        <v>97</v>
      </c>
      <c r="D159" s="47" t="s">
        <v>97</v>
      </c>
      <c r="E159" s="47">
        <v>50113750</v>
      </c>
      <c r="F159" s="47" t="s">
        <v>176</v>
      </c>
      <c r="G159" s="46">
        <v>5000</v>
      </c>
      <c r="H159" s="47">
        <v>1.98</v>
      </c>
      <c r="I159" s="46">
        <f t="shared" si="23"/>
        <v>9900</v>
      </c>
      <c r="J159" s="46" t="s">
        <v>374</v>
      </c>
      <c r="K159" s="46"/>
      <c r="L159" s="46"/>
      <c r="M159" s="47">
        <v>25501507</v>
      </c>
      <c r="N159" s="48">
        <v>4242501751</v>
      </c>
      <c r="O159" s="49">
        <v>45997</v>
      </c>
      <c r="P159" s="50">
        <v>4</v>
      </c>
      <c r="Q159" s="49">
        <v>46021</v>
      </c>
      <c r="R159" s="47" t="s">
        <v>463</v>
      </c>
      <c r="S159" s="51">
        <v>46024</v>
      </c>
      <c r="T159" s="47">
        <v>1</v>
      </c>
      <c r="U159" s="47">
        <v>1</v>
      </c>
      <c r="V159" s="47">
        <v>3</v>
      </c>
      <c r="W159" s="52">
        <f t="shared" si="22"/>
        <v>46029</v>
      </c>
      <c r="X159" s="59"/>
    </row>
    <row r="160" spans="1:24" hidden="1">
      <c r="A160" s="46" t="s">
        <v>346</v>
      </c>
      <c r="B160" s="46" t="s">
        <v>455</v>
      </c>
      <c r="C160" s="47" t="s">
        <v>97</v>
      </c>
      <c r="D160" s="47" t="s">
        <v>97</v>
      </c>
      <c r="E160" s="47">
        <v>50105704</v>
      </c>
      <c r="F160" s="47" t="s">
        <v>177</v>
      </c>
      <c r="G160" s="46">
        <v>11000</v>
      </c>
      <c r="H160" s="47">
        <v>1.61</v>
      </c>
      <c r="I160" s="46">
        <f t="shared" si="23"/>
        <v>17710</v>
      </c>
      <c r="J160" s="46" t="s">
        <v>374</v>
      </c>
      <c r="K160" s="46"/>
      <c r="L160" s="46"/>
      <c r="M160" s="47">
        <v>25501507</v>
      </c>
      <c r="N160" s="48">
        <v>4242501751</v>
      </c>
      <c r="O160" s="49">
        <v>45997</v>
      </c>
      <c r="P160" s="50">
        <v>5</v>
      </c>
      <c r="Q160" s="49">
        <v>46021</v>
      </c>
      <c r="R160" s="47" t="s">
        <v>463</v>
      </c>
      <c r="S160" s="51">
        <v>46024</v>
      </c>
      <c r="T160" s="47">
        <v>1</v>
      </c>
      <c r="U160" s="47">
        <v>1</v>
      </c>
      <c r="V160" s="47">
        <v>3</v>
      </c>
      <c r="W160" s="52">
        <f t="shared" si="22"/>
        <v>46029</v>
      </c>
      <c r="X160" s="59"/>
    </row>
    <row r="161" spans="1:24" hidden="1">
      <c r="A161" s="46" t="s">
        <v>348</v>
      </c>
      <c r="B161" s="46" t="s">
        <v>457</v>
      </c>
      <c r="C161" s="47" t="s">
        <v>397</v>
      </c>
      <c r="D161" s="47" t="s">
        <v>158</v>
      </c>
      <c r="E161" s="47">
        <v>50101361</v>
      </c>
      <c r="F161" s="47" t="s">
        <v>159</v>
      </c>
      <c r="G161" s="46">
        <v>34000</v>
      </c>
      <c r="H161" s="47">
        <v>2.6</v>
      </c>
      <c r="I161" s="46">
        <f t="shared" si="23"/>
        <v>88400</v>
      </c>
      <c r="J161" s="46" t="s">
        <v>374</v>
      </c>
      <c r="K161" s="46"/>
      <c r="L161" s="46"/>
      <c r="M161" s="47">
        <v>25501477</v>
      </c>
      <c r="N161" s="48">
        <v>3000452093</v>
      </c>
      <c r="O161" s="49">
        <v>45994</v>
      </c>
      <c r="P161" s="50">
        <v>1</v>
      </c>
      <c r="Q161" s="49">
        <v>46034</v>
      </c>
      <c r="R161" s="47"/>
      <c r="S161" s="52">
        <v>46039</v>
      </c>
      <c r="T161" s="47">
        <v>1</v>
      </c>
      <c r="U161" s="47">
        <v>1</v>
      </c>
      <c r="V161" s="47"/>
      <c r="W161" s="52">
        <f t="shared" ref="W161:W164" si="24">S161+T161+U161</f>
        <v>46041</v>
      </c>
      <c r="X161" s="59"/>
    </row>
    <row r="162" spans="1:24" hidden="1">
      <c r="A162" s="46" t="s">
        <v>347</v>
      </c>
      <c r="B162" s="46" t="s">
        <v>457</v>
      </c>
      <c r="C162" s="47" t="s">
        <v>397</v>
      </c>
      <c r="D162" s="47" t="s">
        <v>104</v>
      </c>
      <c r="E162" s="47">
        <v>50113729</v>
      </c>
      <c r="F162" s="47" t="s">
        <v>105</v>
      </c>
      <c r="G162" s="46">
        <v>180000</v>
      </c>
      <c r="H162" s="47">
        <v>2.42</v>
      </c>
      <c r="I162" s="46">
        <f t="shared" si="23"/>
        <v>435600</v>
      </c>
      <c r="J162" s="46" t="s">
        <v>374</v>
      </c>
      <c r="K162" s="46"/>
      <c r="L162" s="46"/>
      <c r="M162" s="47">
        <v>25501232</v>
      </c>
      <c r="N162" s="48">
        <v>3000449603</v>
      </c>
      <c r="O162" s="49">
        <v>45958</v>
      </c>
      <c r="P162" s="50">
        <v>1</v>
      </c>
      <c r="Q162" s="49">
        <v>46032</v>
      </c>
      <c r="R162" s="47"/>
      <c r="S162" s="52">
        <v>46041</v>
      </c>
      <c r="T162" s="47">
        <v>1</v>
      </c>
      <c r="U162" s="47">
        <v>1</v>
      </c>
      <c r="V162" s="47"/>
      <c r="W162" s="52">
        <f t="shared" si="24"/>
        <v>46043</v>
      </c>
      <c r="X162" s="59"/>
    </row>
    <row r="163" spans="1:24" hidden="1">
      <c r="A163" s="46" t="s">
        <v>347</v>
      </c>
      <c r="B163" s="46" t="s">
        <v>457</v>
      </c>
      <c r="C163" s="47" t="s">
        <v>397</v>
      </c>
      <c r="D163" s="47" t="s">
        <v>139</v>
      </c>
      <c r="E163" s="47">
        <v>50110828</v>
      </c>
      <c r="F163" s="47" t="s">
        <v>140</v>
      </c>
      <c r="G163" s="46">
        <v>360000</v>
      </c>
      <c r="H163" s="47">
        <v>2.72</v>
      </c>
      <c r="I163" s="46">
        <f t="shared" si="23"/>
        <v>979200.00000000012</v>
      </c>
      <c r="J163" s="46" t="s">
        <v>374</v>
      </c>
      <c r="K163" s="46"/>
      <c r="L163" s="46"/>
      <c r="M163" s="47">
        <v>25501410</v>
      </c>
      <c r="N163" s="48">
        <v>3000450978</v>
      </c>
      <c r="O163" s="49">
        <v>45986</v>
      </c>
      <c r="P163" s="50">
        <v>1</v>
      </c>
      <c r="Q163" s="49">
        <v>46016</v>
      </c>
      <c r="R163" s="47"/>
      <c r="S163" s="52">
        <v>46042</v>
      </c>
      <c r="T163" s="47">
        <v>1</v>
      </c>
      <c r="U163" s="47">
        <v>1</v>
      </c>
      <c r="V163" s="47"/>
      <c r="W163" s="52">
        <f t="shared" si="24"/>
        <v>46044</v>
      </c>
      <c r="X163" s="59"/>
    </row>
    <row r="164" spans="1:24" hidden="1">
      <c r="A164" s="46" t="s">
        <v>347</v>
      </c>
      <c r="B164" s="46" t="s">
        <v>457</v>
      </c>
      <c r="C164" s="47" t="s">
        <v>397</v>
      </c>
      <c r="D164" s="47" t="s">
        <v>139</v>
      </c>
      <c r="E164" s="47">
        <v>50110828</v>
      </c>
      <c r="F164" s="47" t="s">
        <v>140</v>
      </c>
      <c r="G164" s="46">
        <v>360000</v>
      </c>
      <c r="H164" s="47">
        <v>2.72</v>
      </c>
      <c r="I164" s="46">
        <f t="shared" si="23"/>
        <v>979200.00000000012</v>
      </c>
      <c r="J164" s="46" t="s">
        <v>374</v>
      </c>
      <c r="K164" s="46"/>
      <c r="L164" s="46"/>
      <c r="M164" s="47">
        <v>25501411</v>
      </c>
      <c r="N164" s="48">
        <v>3000450979</v>
      </c>
      <c r="O164" s="49">
        <v>45986</v>
      </c>
      <c r="P164" s="50">
        <v>1</v>
      </c>
      <c r="Q164" s="49">
        <v>46016</v>
      </c>
      <c r="R164" s="47"/>
      <c r="S164" s="52">
        <v>46042</v>
      </c>
      <c r="T164" s="47">
        <v>1</v>
      </c>
      <c r="U164" s="47">
        <v>1</v>
      </c>
      <c r="V164" s="47"/>
      <c r="W164" s="52">
        <f t="shared" si="24"/>
        <v>46044</v>
      </c>
      <c r="X164" s="59"/>
    </row>
    <row r="165" spans="1:24" hidden="1">
      <c r="A165" s="46" t="s">
        <v>350</v>
      </c>
      <c r="B165" s="46" t="s">
        <v>457</v>
      </c>
      <c r="C165" s="47" t="s">
        <v>13</v>
      </c>
      <c r="D165" s="47" t="s">
        <v>13</v>
      </c>
      <c r="E165" s="47">
        <v>50115862</v>
      </c>
      <c r="F165" s="47" t="s">
        <v>183</v>
      </c>
      <c r="G165" s="46">
        <v>16632</v>
      </c>
      <c r="H165" s="47">
        <v>85.78</v>
      </c>
      <c r="I165" s="46">
        <f t="shared" ref="I165" si="25">G165*H165</f>
        <v>1426692.96</v>
      </c>
      <c r="J165" s="46" t="s">
        <v>374</v>
      </c>
      <c r="K165" s="46"/>
      <c r="L165" s="46" t="s">
        <v>482</v>
      </c>
      <c r="M165" s="47">
        <v>25501519</v>
      </c>
      <c r="N165" s="48">
        <v>4700000605</v>
      </c>
      <c r="O165" s="49">
        <v>46001</v>
      </c>
      <c r="P165" s="50">
        <v>2.1</v>
      </c>
      <c r="Q165" s="49">
        <v>46081</v>
      </c>
      <c r="R165" s="47"/>
      <c r="S165" s="52">
        <v>46048</v>
      </c>
      <c r="T165" s="47"/>
      <c r="U165" s="47"/>
      <c r="V165" s="47"/>
      <c r="W165" s="47"/>
    </row>
    <row r="166" spans="1:24" hidden="1">
      <c r="A166" s="46" t="s">
        <v>350</v>
      </c>
      <c r="B166" s="46" t="s">
        <v>457</v>
      </c>
      <c r="C166" s="47" t="s">
        <v>13</v>
      </c>
      <c r="D166" s="47" t="s">
        <v>13</v>
      </c>
      <c r="E166" s="47">
        <v>50115862</v>
      </c>
      <c r="F166" s="47" t="s">
        <v>183</v>
      </c>
      <c r="G166" s="46">
        <f>25000-16632</f>
        <v>8368</v>
      </c>
      <c r="H166" s="47">
        <v>85.78</v>
      </c>
      <c r="I166" s="46">
        <f t="shared" si="23"/>
        <v>717807.04</v>
      </c>
      <c r="J166" s="46" t="s">
        <v>374</v>
      </c>
      <c r="K166" s="46"/>
      <c r="L166" s="46"/>
      <c r="M166" s="47">
        <v>25501519</v>
      </c>
      <c r="N166" s="48">
        <v>4700000605</v>
      </c>
      <c r="O166" s="49">
        <v>46001</v>
      </c>
      <c r="P166" s="50">
        <v>2.1</v>
      </c>
      <c r="Q166" s="49">
        <v>46081</v>
      </c>
      <c r="R166" s="47"/>
      <c r="S166" s="52">
        <v>46048</v>
      </c>
      <c r="T166" s="47"/>
      <c r="U166" s="47"/>
      <c r="V166" s="47"/>
      <c r="W166" s="47"/>
    </row>
    <row r="167" spans="1:24" hidden="1">
      <c r="A167" s="46" t="s">
        <v>350</v>
      </c>
      <c r="B167" s="46" t="s">
        <v>457</v>
      </c>
      <c r="C167" s="47" t="s">
        <v>13</v>
      </c>
      <c r="D167" s="47" t="s">
        <v>13</v>
      </c>
      <c r="E167" s="47">
        <v>50115862</v>
      </c>
      <c r="F167" s="47" t="s">
        <v>183</v>
      </c>
      <c r="G167" s="46">
        <v>25000</v>
      </c>
      <c r="H167" s="47">
        <v>85.78</v>
      </c>
      <c r="I167" s="46">
        <f t="shared" si="23"/>
        <v>2144500</v>
      </c>
      <c r="J167" s="46" t="s">
        <v>374</v>
      </c>
      <c r="K167" s="46"/>
      <c r="L167" s="46"/>
      <c r="M167" s="47">
        <v>25501519</v>
      </c>
      <c r="N167" s="48">
        <v>4700000605</v>
      </c>
      <c r="O167" s="49">
        <v>46001</v>
      </c>
      <c r="P167" s="50">
        <v>2.1</v>
      </c>
      <c r="Q167" s="49">
        <v>46081</v>
      </c>
      <c r="R167" s="47"/>
      <c r="S167" s="52">
        <v>46048</v>
      </c>
      <c r="T167" s="47"/>
      <c r="U167" s="47"/>
      <c r="V167" s="47"/>
      <c r="W167" s="47"/>
    </row>
    <row r="168" spans="1:24" hidden="1">
      <c r="A168" s="46" t="s">
        <v>351</v>
      </c>
      <c r="B168" s="46" t="s">
        <v>457</v>
      </c>
      <c r="C168" s="47" t="s">
        <v>313</v>
      </c>
      <c r="D168" s="47" t="s">
        <v>313</v>
      </c>
      <c r="E168" s="47">
        <v>50082077</v>
      </c>
      <c r="F168" s="47" t="s">
        <v>59</v>
      </c>
      <c r="G168" s="46">
        <v>5000</v>
      </c>
      <c r="H168" s="47">
        <v>0.26</v>
      </c>
      <c r="I168" s="46">
        <f t="shared" si="23"/>
        <v>1300</v>
      </c>
      <c r="J168" s="46" t="s">
        <v>374</v>
      </c>
      <c r="K168" s="46"/>
      <c r="L168" s="46"/>
      <c r="M168" s="47">
        <v>25501522</v>
      </c>
      <c r="N168" s="48">
        <v>2500244134</v>
      </c>
      <c r="O168" s="49">
        <v>46001</v>
      </c>
      <c r="P168" s="50">
        <v>2</v>
      </c>
      <c r="Q168" s="49">
        <v>46036</v>
      </c>
      <c r="R168" s="47" t="s">
        <v>462</v>
      </c>
      <c r="S168" s="51">
        <v>46041</v>
      </c>
      <c r="T168" s="47">
        <v>1</v>
      </c>
      <c r="U168" s="47">
        <v>1</v>
      </c>
      <c r="V168" s="47">
        <v>3</v>
      </c>
      <c r="W168" s="51">
        <f t="shared" ref="W168:W188" si="26">S168+T168+U168+V168</f>
        <v>46046</v>
      </c>
      <c r="X168" s="60"/>
    </row>
    <row r="169" spans="1:24" hidden="1">
      <c r="A169" s="46" t="s">
        <v>349</v>
      </c>
      <c r="B169" s="46" t="s">
        <v>457</v>
      </c>
      <c r="C169" s="47" t="s">
        <v>404</v>
      </c>
      <c r="D169" s="47" t="s">
        <v>168</v>
      </c>
      <c r="E169" s="47">
        <v>50081723</v>
      </c>
      <c r="F169" s="47" t="s">
        <v>55</v>
      </c>
      <c r="G169" s="46">
        <v>80000</v>
      </c>
      <c r="H169" s="47">
        <v>1.49</v>
      </c>
      <c r="I169" s="46">
        <f t="shared" si="23"/>
        <v>119200</v>
      </c>
      <c r="J169" s="46" t="s">
        <v>374</v>
      </c>
      <c r="K169" s="46"/>
      <c r="L169" s="46"/>
      <c r="M169" s="47">
        <v>25501524</v>
      </c>
      <c r="N169" s="48">
        <v>4510685276</v>
      </c>
      <c r="O169" s="49">
        <v>46001</v>
      </c>
      <c r="P169" s="50">
        <v>1</v>
      </c>
      <c r="Q169" s="49">
        <v>46016</v>
      </c>
      <c r="R169" s="47" t="s">
        <v>463</v>
      </c>
      <c r="S169" s="52">
        <v>46024</v>
      </c>
      <c r="T169" s="47">
        <v>1</v>
      </c>
      <c r="U169" s="47">
        <v>1</v>
      </c>
      <c r="V169" s="47">
        <v>3</v>
      </c>
      <c r="W169" s="51">
        <f t="shared" si="26"/>
        <v>46029</v>
      </c>
      <c r="X169" s="60"/>
    </row>
    <row r="170" spans="1:24" hidden="1">
      <c r="A170" s="46" t="s">
        <v>349</v>
      </c>
      <c r="B170" s="46" t="s">
        <v>457</v>
      </c>
      <c r="C170" s="47" t="s">
        <v>404</v>
      </c>
      <c r="D170" s="47" t="s">
        <v>168</v>
      </c>
      <c r="E170" s="47">
        <v>50081840</v>
      </c>
      <c r="F170" s="47" t="s">
        <v>137</v>
      </c>
      <c r="G170" s="46">
        <v>80000</v>
      </c>
      <c r="H170" s="47">
        <v>1.1599999999999999</v>
      </c>
      <c r="I170" s="46">
        <f t="shared" si="23"/>
        <v>92800</v>
      </c>
      <c r="J170" s="46" t="s">
        <v>374</v>
      </c>
      <c r="K170" s="46"/>
      <c r="L170" s="46"/>
      <c r="M170" s="47">
        <v>25501525</v>
      </c>
      <c r="N170" s="48">
        <v>4510685274</v>
      </c>
      <c r="O170" s="49">
        <v>46001</v>
      </c>
      <c r="P170" s="50">
        <v>1</v>
      </c>
      <c r="Q170" s="49">
        <v>46016</v>
      </c>
      <c r="R170" s="47" t="s">
        <v>463</v>
      </c>
      <c r="S170" s="52">
        <v>46024</v>
      </c>
      <c r="T170" s="47">
        <v>1</v>
      </c>
      <c r="U170" s="47">
        <v>1</v>
      </c>
      <c r="V170" s="47">
        <v>3</v>
      </c>
      <c r="W170" s="51">
        <f t="shared" si="26"/>
        <v>46029</v>
      </c>
      <c r="X170" s="60"/>
    </row>
    <row r="171" spans="1:24">
      <c r="A171" s="46" t="s">
        <v>351</v>
      </c>
      <c r="B171" s="46" t="s">
        <v>460</v>
      </c>
      <c r="C171" s="47" t="s">
        <v>185</v>
      </c>
      <c r="D171" s="47" t="s">
        <v>186</v>
      </c>
      <c r="E171" s="47">
        <v>50081867</v>
      </c>
      <c r="F171" s="47" t="s">
        <v>187</v>
      </c>
      <c r="G171" s="46">
        <v>39000</v>
      </c>
      <c r="H171" s="47">
        <v>1.73</v>
      </c>
      <c r="I171" s="46">
        <f t="shared" si="23"/>
        <v>67470</v>
      </c>
      <c r="J171" s="46" t="s">
        <v>374</v>
      </c>
      <c r="K171" s="46"/>
      <c r="L171" s="46" t="s">
        <v>482</v>
      </c>
      <c r="M171" s="47">
        <v>25501534</v>
      </c>
      <c r="N171" s="48">
        <v>7600053059</v>
      </c>
      <c r="O171" s="49">
        <v>46002</v>
      </c>
      <c r="P171" s="50">
        <v>4</v>
      </c>
      <c r="Q171" s="49">
        <v>46033</v>
      </c>
      <c r="R171" s="47" t="s">
        <v>462</v>
      </c>
      <c r="S171" s="51">
        <v>46027</v>
      </c>
      <c r="T171" s="47">
        <v>1</v>
      </c>
      <c r="U171" s="47">
        <v>1</v>
      </c>
      <c r="V171" s="47">
        <v>3</v>
      </c>
      <c r="W171" s="51">
        <f t="shared" si="26"/>
        <v>46032</v>
      </c>
      <c r="X171" s="60"/>
    </row>
    <row r="172" spans="1:24">
      <c r="A172" s="46" t="s">
        <v>351</v>
      </c>
      <c r="B172" s="46" t="s">
        <v>460</v>
      </c>
      <c r="C172" s="47" t="s">
        <v>185</v>
      </c>
      <c r="D172" s="47" t="s">
        <v>186</v>
      </c>
      <c r="E172" s="47">
        <v>50082012</v>
      </c>
      <c r="F172" s="47" t="s">
        <v>110</v>
      </c>
      <c r="G172" s="46">
        <v>42000</v>
      </c>
      <c r="H172" s="47">
        <v>0.81</v>
      </c>
      <c r="I172" s="46">
        <f t="shared" si="23"/>
        <v>34020</v>
      </c>
      <c r="J172" s="46" t="s">
        <v>374</v>
      </c>
      <c r="K172" s="46"/>
      <c r="L172" s="46" t="s">
        <v>482</v>
      </c>
      <c r="M172" s="47">
        <v>25501534</v>
      </c>
      <c r="N172" s="48">
        <v>7600053059</v>
      </c>
      <c r="O172" s="49">
        <v>46002</v>
      </c>
      <c r="P172" s="50">
        <v>5</v>
      </c>
      <c r="Q172" s="49">
        <v>46033</v>
      </c>
      <c r="R172" s="47" t="s">
        <v>463</v>
      </c>
      <c r="S172" s="51">
        <v>46027</v>
      </c>
      <c r="T172" s="47">
        <v>1</v>
      </c>
      <c r="U172" s="47">
        <v>1</v>
      </c>
      <c r="V172" s="47">
        <v>3</v>
      </c>
      <c r="W172" s="51">
        <f t="shared" si="26"/>
        <v>46032</v>
      </c>
      <c r="X172" s="60"/>
    </row>
    <row r="173" spans="1:24">
      <c r="A173" s="46" t="s">
        <v>351</v>
      </c>
      <c r="B173" s="46" t="s">
        <v>460</v>
      </c>
      <c r="C173" s="47" t="s">
        <v>185</v>
      </c>
      <c r="D173" s="47" t="s">
        <v>186</v>
      </c>
      <c r="E173" s="47">
        <v>50082078</v>
      </c>
      <c r="F173" s="47" t="s">
        <v>118</v>
      </c>
      <c r="G173" s="46">
        <v>40000</v>
      </c>
      <c r="H173" s="47">
        <v>0.46</v>
      </c>
      <c r="I173" s="46">
        <f t="shared" si="23"/>
        <v>18400</v>
      </c>
      <c r="J173" s="46" t="s">
        <v>374</v>
      </c>
      <c r="K173" s="46"/>
      <c r="L173" s="46" t="s">
        <v>482</v>
      </c>
      <c r="M173" s="47">
        <v>25501534</v>
      </c>
      <c r="N173" s="48">
        <v>7600053059</v>
      </c>
      <c r="O173" s="49">
        <v>46002</v>
      </c>
      <c r="P173" s="50">
        <v>6</v>
      </c>
      <c r="Q173" s="49">
        <v>46033</v>
      </c>
      <c r="R173" s="47" t="s">
        <v>463</v>
      </c>
      <c r="S173" s="51">
        <v>46027</v>
      </c>
      <c r="T173" s="47">
        <v>1</v>
      </c>
      <c r="U173" s="47">
        <v>1</v>
      </c>
      <c r="V173" s="47">
        <v>3</v>
      </c>
      <c r="W173" s="51">
        <f t="shared" si="26"/>
        <v>46032</v>
      </c>
      <c r="X173" s="60"/>
    </row>
    <row r="174" spans="1:24" hidden="1">
      <c r="A174" s="46" t="s">
        <v>351</v>
      </c>
      <c r="B174" s="46" t="s">
        <v>455</v>
      </c>
      <c r="C174" s="47" t="s">
        <v>74</v>
      </c>
      <c r="D174" s="47" t="s">
        <v>74</v>
      </c>
      <c r="E174" s="47">
        <v>50110679</v>
      </c>
      <c r="F174" s="47" t="s">
        <v>47</v>
      </c>
      <c r="G174" s="46">
        <v>426400</v>
      </c>
      <c r="H174" s="47">
        <v>1.92</v>
      </c>
      <c r="I174" s="46">
        <f t="shared" si="23"/>
        <v>818688</v>
      </c>
      <c r="J174" s="46"/>
      <c r="K174" s="46"/>
      <c r="L174" s="46"/>
      <c r="M174" s="47">
        <v>25501535</v>
      </c>
      <c r="N174" s="48">
        <v>4521003576</v>
      </c>
      <c r="O174" s="49">
        <v>46002</v>
      </c>
      <c r="P174" s="50">
        <v>1</v>
      </c>
      <c r="Q174" s="49">
        <v>46042</v>
      </c>
      <c r="R174" s="47" t="s">
        <v>462</v>
      </c>
      <c r="S174" s="51">
        <v>46050</v>
      </c>
      <c r="T174" s="47">
        <v>1</v>
      </c>
      <c r="U174" s="47">
        <v>1</v>
      </c>
      <c r="V174" s="47">
        <v>3</v>
      </c>
      <c r="W174" s="51">
        <f t="shared" si="26"/>
        <v>46055</v>
      </c>
      <c r="X174" s="60"/>
    </row>
    <row r="175" spans="1:24" hidden="1">
      <c r="A175" s="46" t="s">
        <v>351</v>
      </c>
      <c r="B175" s="46" t="s">
        <v>455</v>
      </c>
      <c r="C175" s="47" t="s">
        <v>74</v>
      </c>
      <c r="D175" s="47" t="s">
        <v>74</v>
      </c>
      <c r="E175" s="47">
        <v>50081903</v>
      </c>
      <c r="F175" s="47" t="s">
        <v>50</v>
      </c>
      <c r="G175" s="46">
        <v>426400</v>
      </c>
      <c r="H175" s="47">
        <v>0.72</v>
      </c>
      <c r="I175" s="46">
        <f t="shared" si="23"/>
        <v>307008</v>
      </c>
      <c r="J175" s="46"/>
      <c r="K175" s="46"/>
      <c r="L175" s="46"/>
      <c r="M175" s="47">
        <v>25501535</v>
      </c>
      <c r="N175" s="48">
        <v>4521003576</v>
      </c>
      <c r="O175" s="49">
        <v>46002</v>
      </c>
      <c r="P175" s="50">
        <v>2</v>
      </c>
      <c r="Q175" s="49">
        <v>46042</v>
      </c>
      <c r="R175" s="47" t="s">
        <v>463</v>
      </c>
      <c r="S175" s="51">
        <v>46050</v>
      </c>
      <c r="T175" s="47">
        <v>1</v>
      </c>
      <c r="U175" s="47">
        <v>1</v>
      </c>
      <c r="V175" s="47">
        <v>3</v>
      </c>
      <c r="W175" s="51">
        <f t="shared" si="26"/>
        <v>46055</v>
      </c>
      <c r="X175" s="60"/>
    </row>
    <row r="176" spans="1:24" hidden="1">
      <c r="A176" s="46" t="s">
        <v>351</v>
      </c>
      <c r="B176" s="46" t="s">
        <v>455</v>
      </c>
      <c r="C176" s="47" t="s">
        <v>74</v>
      </c>
      <c r="D176" s="47" t="s">
        <v>74</v>
      </c>
      <c r="E176" s="47">
        <v>50082096</v>
      </c>
      <c r="F176" s="47" t="s">
        <v>76</v>
      </c>
      <c r="G176" s="46">
        <v>426400</v>
      </c>
      <c r="H176" s="47">
        <v>0.25</v>
      </c>
      <c r="I176" s="46">
        <f t="shared" si="23"/>
        <v>106600</v>
      </c>
      <c r="J176" s="46"/>
      <c r="K176" s="46"/>
      <c r="L176" s="46"/>
      <c r="M176" s="47">
        <v>25501535</v>
      </c>
      <c r="N176" s="48">
        <v>4521003576</v>
      </c>
      <c r="O176" s="49">
        <v>46002</v>
      </c>
      <c r="P176" s="50">
        <v>3</v>
      </c>
      <c r="Q176" s="49">
        <v>46042</v>
      </c>
      <c r="R176" s="47" t="s">
        <v>463</v>
      </c>
      <c r="S176" s="51">
        <v>46050</v>
      </c>
      <c r="T176" s="47">
        <v>1</v>
      </c>
      <c r="U176" s="47">
        <v>1</v>
      </c>
      <c r="V176" s="47">
        <v>3</v>
      </c>
      <c r="W176" s="51">
        <f t="shared" si="26"/>
        <v>46055</v>
      </c>
      <c r="X176" s="60"/>
    </row>
    <row r="177" spans="1:24" hidden="1">
      <c r="A177" s="46" t="s">
        <v>346</v>
      </c>
      <c r="B177" s="46" t="s">
        <v>457</v>
      </c>
      <c r="C177" s="47" t="s">
        <v>37</v>
      </c>
      <c r="D177" s="47" t="s">
        <v>37</v>
      </c>
      <c r="E177" s="47">
        <v>50114358</v>
      </c>
      <c r="F177" s="47" t="s">
        <v>60</v>
      </c>
      <c r="G177" s="46">
        <v>100000</v>
      </c>
      <c r="H177" s="47">
        <v>2.8</v>
      </c>
      <c r="I177" s="46">
        <f t="shared" si="23"/>
        <v>280000</v>
      </c>
      <c r="J177" s="46" t="s">
        <v>374</v>
      </c>
      <c r="K177" s="46"/>
      <c r="L177" s="46"/>
      <c r="M177" s="47">
        <v>25501536</v>
      </c>
      <c r="N177" s="48">
        <v>3100130424</v>
      </c>
      <c r="O177" s="49">
        <v>46002</v>
      </c>
      <c r="P177" s="50">
        <v>1</v>
      </c>
      <c r="Q177" s="49">
        <v>46063</v>
      </c>
      <c r="R177" s="47" t="s">
        <v>463</v>
      </c>
      <c r="S177" s="52">
        <v>46024</v>
      </c>
      <c r="T177" s="47">
        <v>1</v>
      </c>
      <c r="U177" s="47">
        <v>1</v>
      </c>
      <c r="V177" s="47">
        <v>3</v>
      </c>
      <c r="W177" s="52">
        <f t="shared" si="26"/>
        <v>46029</v>
      </c>
      <c r="X177" s="59"/>
    </row>
    <row r="178" spans="1:24" hidden="1">
      <c r="A178" s="46" t="s">
        <v>346</v>
      </c>
      <c r="B178" s="46" t="s">
        <v>457</v>
      </c>
      <c r="C178" s="47" t="s">
        <v>37</v>
      </c>
      <c r="D178" s="47" t="s">
        <v>37</v>
      </c>
      <c r="E178" s="47">
        <v>50091672</v>
      </c>
      <c r="F178" s="47" t="s">
        <v>108</v>
      </c>
      <c r="G178" s="46">
        <v>200000</v>
      </c>
      <c r="H178" s="47">
        <v>3.31</v>
      </c>
      <c r="I178" s="46">
        <f t="shared" si="23"/>
        <v>662000</v>
      </c>
      <c r="J178" s="46" t="s">
        <v>374</v>
      </c>
      <c r="K178" s="46"/>
      <c r="L178" s="46"/>
      <c r="M178" s="47">
        <v>25501536</v>
      </c>
      <c r="N178" s="48">
        <v>3100130424</v>
      </c>
      <c r="O178" s="49">
        <v>46002</v>
      </c>
      <c r="P178" s="50">
        <v>2</v>
      </c>
      <c r="Q178" s="49">
        <v>46063</v>
      </c>
      <c r="R178" s="47" t="s">
        <v>463</v>
      </c>
      <c r="S178" s="52">
        <v>46024</v>
      </c>
      <c r="T178" s="47">
        <v>1</v>
      </c>
      <c r="U178" s="47">
        <v>1</v>
      </c>
      <c r="V178" s="47">
        <v>3</v>
      </c>
      <c r="W178" s="52">
        <f t="shared" si="26"/>
        <v>46029</v>
      </c>
      <c r="X178" s="59"/>
    </row>
    <row r="179" spans="1:24" hidden="1">
      <c r="A179" s="46" t="s">
        <v>346</v>
      </c>
      <c r="B179" s="46" t="s">
        <v>457</v>
      </c>
      <c r="C179" s="47" t="s">
        <v>37</v>
      </c>
      <c r="D179" s="47" t="s">
        <v>37</v>
      </c>
      <c r="E179" s="47">
        <v>50114041</v>
      </c>
      <c r="F179" s="47" t="s">
        <v>188</v>
      </c>
      <c r="G179" s="46">
        <v>200000</v>
      </c>
      <c r="H179" s="47">
        <v>2.37</v>
      </c>
      <c r="I179" s="46">
        <f t="shared" si="23"/>
        <v>474000</v>
      </c>
      <c r="J179" s="46" t="s">
        <v>374</v>
      </c>
      <c r="K179" s="46"/>
      <c r="L179" s="46"/>
      <c r="M179" s="47">
        <v>25501536</v>
      </c>
      <c r="N179" s="48">
        <v>3100130424</v>
      </c>
      <c r="O179" s="49">
        <v>46002</v>
      </c>
      <c r="P179" s="50">
        <v>3</v>
      </c>
      <c r="Q179" s="49">
        <v>46063</v>
      </c>
      <c r="R179" s="47" t="s">
        <v>463</v>
      </c>
      <c r="S179" s="52">
        <v>46024</v>
      </c>
      <c r="T179" s="47">
        <v>1</v>
      </c>
      <c r="U179" s="47">
        <v>1</v>
      </c>
      <c r="V179" s="47">
        <v>3</v>
      </c>
      <c r="W179" s="52">
        <f t="shared" si="26"/>
        <v>46029</v>
      </c>
      <c r="X179" s="59"/>
    </row>
    <row r="180" spans="1:24" hidden="1">
      <c r="A180" s="46" t="s">
        <v>346</v>
      </c>
      <c r="B180" s="46" t="s">
        <v>457</v>
      </c>
      <c r="C180" s="47" t="s">
        <v>37</v>
      </c>
      <c r="D180" s="47" t="s">
        <v>37</v>
      </c>
      <c r="E180" s="47">
        <v>50114341</v>
      </c>
      <c r="F180" s="47" t="s">
        <v>180</v>
      </c>
      <c r="G180" s="46">
        <v>300000</v>
      </c>
      <c r="H180" s="47">
        <v>2.4300000000000002</v>
      </c>
      <c r="I180" s="46">
        <f t="shared" si="23"/>
        <v>729000</v>
      </c>
      <c r="J180" s="46" t="s">
        <v>374</v>
      </c>
      <c r="K180" s="46"/>
      <c r="L180" s="46"/>
      <c r="M180" s="47">
        <v>25501536</v>
      </c>
      <c r="N180" s="48">
        <v>3100130424</v>
      </c>
      <c r="O180" s="49">
        <v>46002</v>
      </c>
      <c r="P180" s="50">
        <v>4</v>
      </c>
      <c r="Q180" s="49">
        <v>46063</v>
      </c>
      <c r="R180" s="47" t="s">
        <v>463</v>
      </c>
      <c r="S180" s="52">
        <v>46024</v>
      </c>
      <c r="T180" s="47">
        <v>1</v>
      </c>
      <c r="U180" s="47">
        <v>1</v>
      </c>
      <c r="V180" s="47">
        <v>3</v>
      </c>
      <c r="W180" s="52">
        <f t="shared" si="26"/>
        <v>46029</v>
      </c>
      <c r="X180" s="59"/>
    </row>
    <row r="181" spans="1:24" hidden="1">
      <c r="A181" s="46" t="s">
        <v>346</v>
      </c>
      <c r="B181" s="46" t="s">
        <v>457</v>
      </c>
      <c r="C181" s="47" t="s">
        <v>190</v>
      </c>
      <c r="D181" s="47" t="s">
        <v>191</v>
      </c>
      <c r="E181" s="47">
        <v>50114358</v>
      </c>
      <c r="F181" s="47" t="s">
        <v>60</v>
      </c>
      <c r="G181" s="46">
        <v>2500</v>
      </c>
      <c r="H181" s="47">
        <v>2.98</v>
      </c>
      <c r="I181" s="46">
        <f t="shared" si="23"/>
        <v>7450</v>
      </c>
      <c r="J181" s="46" t="s">
        <v>374</v>
      </c>
      <c r="K181" s="46"/>
      <c r="L181" s="46"/>
      <c r="M181" s="47">
        <v>25501537</v>
      </c>
      <c r="N181" s="48" t="s">
        <v>189</v>
      </c>
      <c r="O181" s="49">
        <v>46002</v>
      </c>
      <c r="P181" s="50">
        <v>1</v>
      </c>
      <c r="Q181" s="49">
        <v>46033</v>
      </c>
      <c r="R181" s="47" t="s">
        <v>463</v>
      </c>
      <c r="S181" s="51">
        <v>46032</v>
      </c>
      <c r="T181" s="47">
        <v>1</v>
      </c>
      <c r="U181" s="47">
        <v>1</v>
      </c>
      <c r="V181" s="47">
        <v>3</v>
      </c>
      <c r="W181" s="52">
        <f t="shared" si="26"/>
        <v>46037</v>
      </c>
      <c r="X181" s="59"/>
    </row>
    <row r="182" spans="1:24" hidden="1">
      <c r="A182" s="46" t="s">
        <v>346</v>
      </c>
      <c r="B182" s="46" t="s">
        <v>457</v>
      </c>
      <c r="C182" s="47" t="s">
        <v>190</v>
      </c>
      <c r="D182" s="47" t="s">
        <v>191</v>
      </c>
      <c r="E182" s="47">
        <v>50091672</v>
      </c>
      <c r="F182" s="47" t="s">
        <v>108</v>
      </c>
      <c r="G182" s="46">
        <v>1500</v>
      </c>
      <c r="H182" s="47">
        <v>3.41</v>
      </c>
      <c r="I182" s="46">
        <f t="shared" si="23"/>
        <v>5115</v>
      </c>
      <c r="J182" s="46" t="s">
        <v>374</v>
      </c>
      <c r="K182" s="46"/>
      <c r="L182" s="46"/>
      <c r="M182" s="47">
        <v>25501537</v>
      </c>
      <c r="N182" s="48" t="s">
        <v>189</v>
      </c>
      <c r="O182" s="49">
        <v>46002</v>
      </c>
      <c r="P182" s="50">
        <v>2</v>
      </c>
      <c r="Q182" s="49">
        <v>46033</v>
      </c>
      <c r="R182" s="47" t="s">
        <v>463</v>
      </c>
      <c r="S182" s="51">
        <v>46032</v>
      </c>
      <c r="T182" s="47">
        <v>1</v>
      </c>
      <c r="U182" s="47">
        <v>1</v>
      </c>
      <c r="V182" s="47">
        <v>3</v>
      </c>
      <c r="W182" s="52">
        <f t="shared" si="26"/>
        <v>46037</v>
      </c>
      <c r="X182" s="59"/>
    </row>
    <row r="183" spans="1:24" hidden="1">
      <c r="A183" s="46" t="s">
        <v>346</v>
      </c>
      <c r="B183" s="46" t="s">
        <v>457</v>
      </c>
      <c r="C183" s="47" t="s">
        <v>190</v>
      </c>
      <c r="D183" s="47" t="s">
        <v>191</v>
      </c>
      <c r="E183" s="47">
        <v>50092554</v>
      </c>
      <c r="F183" s="47" t="s">
        <v>120</v>
      </c>
      <c r="G183" s="46">
        <v>500</v>
      </c>
      <c r="H183" s="47">
        <v>4.7</v>
      </c>
      <c r="I183" s="46">
        <f t="shared" si="23"/>
        <v>2350</v>
      </c>
      <c r="J183" s="46" t="s">
        <v>374</v>
      </c>
      <c r="K183" s="46"/>
      <c r="L183" s="46"/>
      <c r="M183" s="47">
        <v>25501537</v>
      </c>
      <c r="N183" s="48" t="s">
        <v>189</v>
      </c>
      <c r="O183" s="49">
        <v>46002</v>
      </c>
      <c r="P183" s="50">
        <v>3</v>
      </c>
      <c r="Q183" s="49">
        <v>46033</v>
      </c>
      <c r="R183" s="47" t="s">
        <v>463</v>
      </c>
      <c r="S183" s="51">
        <v>46032</v>
      </c>
      <c r="T183" s="47">
        <v>1</v>
      </c>
      <c r="U183" s="47">
        <v>1</v>
      </c>
      <c r="V183" s="47">
        <v>3</v>
      </c>
      <c r="W183" s="52">
        <f t="shared" si="26"/>
        <v>46037</v>
      </c>
      <c r="X183" s="59"/>
    </row>
    <row r="184" spans="1:24" hidden="1">
      <c r="A184" s="46" t="s">
        <v>346</v>
      </c>
      <c r="B184" s="46" t="s">
        <v>457</v>
      </c>
      <c r="C184" s="47" t="s">
        <v>190</v>
      </c>
      <c r="D184" s="47" t="s">
        <v>191</v>
      </c>
      <c r="E184" s="47">
        <v>50113738</v>
      </c>
      <c r="F184" s="47" t="s">
        <v>12</v>
      </c>
      <c r="G184" s="46">
        <v>4500</v>
      </c>
      <c r="H184" s="47">
        <v>2.4900000000000002</v>
      </c>
      <c r="I184" s="46">
        <f t="shared" si="23"/>
        <v>11205.000000000002</v>
      </c>
      <c r="J184" s="46" t="s">
        <v>374</v>
      </c>
      <c r="K184" s="46"/>
      <c r="L184" s="46"/>
      <c r="M184" s="47">
        <v>25501537</v>
      </c>
      <c r="N184" s="48" t="s">
        <v>189</v>
      </c>
      <c r="O184" s="49">
        <v>46002</v>
      </c>
      <c r="P184" s="50">
        <v>4</v>
      </c>
      <c r="Q184" s="49">
        <v>46033</v>
      </c>
      <c r="R184" s="47" t="s">
        <v>463</v>
      </c>
      <c r="S184" s="51">
        <v>46032</v>
      </c>
      <c r="T184" s="47">
        <v>1</v>
      </c>
      <c r="U184" s="47">
        <v>1</v>
      </c>
      <c r="V184" s="47">
        <v>3</v>
      </c>
      <c r="W184" s="52">
        <f t="shared" si="26"/>
        <v>46037</v>
      </c>
      <c r="X184" s="59"/>
    </row>
    <row r="185" spans="1:24" hidden="1">
      <c r="A185" s="46" t="s">
        <v>346</v>
      </c>
      <c r="B185" s="46" t="s">
        <v>457</v>
      </c>
      <c r="C185" s="47" t="s">
        <v>190</v>
      </c>
      <c r="D185" s="47" t="s">
        <v>191</v>
      </c>
      <c r="E185" s="47">
        <v>50113649</v>
      </c>
      <c r="F185" s="47" t="s">
        <v>56</v>
      </c>
      <c r="G185" s="46">
        <v>4500</v>
      </c>
      <c r="H185" s="47">
        <v>2.37</v>
      </c>
      <c r="I185" s="46">
        <f t="shared" si="23"/>
        <v>10665</v>
      </c>
      <c r="J185" s="46" t="s">
        <v>374</v>
      </c>
      <c r="K185" s="46"/>
      <c r="L185" s="46"/>
      <c r="M185" s="47">
        <v>25501537</v>
      </c>
      <c r="N185" s="48" t="s">
        <v>189</v>
      </c>
      <c r="O185" s="49">
        <v>46002</v>
      </c>
      <c r="P185" s="50">
        <v>5</v>
      </c>
      <c r="Q185" s="49">
        <v>46033</v>
      </c>
      <c r="R185" s="47" t="s">
        <v>463</v>
      </c>
      <c r="S185" s="51">
        <v>46032</v>
      </c>
      <c r="T185" s="47">
        <v>1</v>
      </c>
      <c r="U185" s="47">
        <v>1</v>
      </c>
      <c r="V185" s="47">
        <v>3</v>
      </c>
      <c r="W185" s="52">
        <f t="shared" si="26"/>
        <v>46037</v>
      </c>
      <c r="X185" s="59"/>
    </row>
    <row r="186" spans="1:24" hidden="1">
      <c r="A186" s="46" t="s">
        <v>351</v>
      </c>
      <c r="B186" s="46" t="s">
        <v>457</v>
      </c>
      <c r="C186" s="47" t="s">
        <v>141</v>
      </c>
      <c r="D186" s="47" t="s">
        <v>141</v>
      </c>
      <c r="E186" s="47">
        <v>50081866</v>
      </c>
      <c r="F186" s="47" t="s">
        <v>153</v>
      </c>
      <c r="G186" s="46">
        <v>80200</v>
      </c>
      <c r="H186" s="47">
        <v>1.48</v>
      </c>
      <c r="I186" s="46">
        <f t="shared" si="23"/>
        <v>118696</v>
      </c>
      <c r="J186" s="46" t="s">
        <v>374</v>
      </c>
      <c r="K186" s="46"/>
      <c r="L186" s="46" t="s">
        <v>482</v>
      </c>
      <c r="M186" s="47">
        <v>25501539</v>
      </c>
      <c r="N186" s="48" t="s">
        <v>192</v>
      </c>
      <c r="O186" s="49">
        <v>46002</v>
      </c>
      <c r="P186" s="50">
        <v>1</v>
      </c>
      <c r="Q186" s="49">
        <v>46033</v>
      </c>
      <c r="R186" s="47" t="s">
        <v>462</v>
      </c>
      <c r="S186" s="51">
        <v>46037</v>
      </c>
      <c r="T186" s="47">
        <v>1</v>
      </c>
      <c r="U186" s="47">
        <v>1</v>
      </c>
      <c r="V186" s="47">
        <v>3</v>
      </c>
      <c r="W186" s="51">
        <f t="shared" si="26"/>
        <v>46042</v>
      </c>
      <c r="X186" s="60"/>
    </row>
    <row r="187" spans="1:24" hidden="1">
      <c r="A187" s="46" t="s">
        <v>351</v>
      </c>
      <c r="B187" s="46" t="s">
        <v>457</v>
      </c>
      <c r="C187" s="47" t="s">
        <v>141</v>
      </c>
      <c r="D187" s="47" t="s">
        <v>141</v>
      </c>
      <c r="E187" s="47">
        <v>50082011</v>
      </c>
      <c r="F187" s="47" t="s">
        <v>154</v>
      </c>
      <c r="G187" s="46">
        <v>80200</v>
      </c>
      <c r="H187" s="47">
        <v>0.6</v>
      </c>
      <c r="I187" s="46">
        <f t="shared" si="23"/>
        <v>48120</v>
      </c>
      <c r="J187" s="46" t="s">
        <v>374</v>
      </c>
      <c r="K187" s="46"/>
      <c r="L187" s="46" t="s">
        <v>482</v>
      </c>
      <c r="M187" s="47">
        <v>25501539</v>
      </c>
      <c r="N187" s="48" t="s">
        <v>192</v>
      </c>
      <c r="O187" s="49">
        <v>46002</v>
      </c>
      <c r="P187" s="50">
        <v>2</v>
      </c>
      <c r="Q187" s="49">
        <v>46033</v>
      </c>
      <c r="R187" s="47" t="s">
        <v>462</v>
      </c>
      <c r="S187" s="51">
        <v>46037</v>
      </c>
      <c r="T187" s="47">
        <v>1</v>
      </c>
      <c r="U187" s="47">
        <v>1</v>
      </c>
      <c r="V187" s="47">
        <v>3</v>
      </c>
      <c r="W187" s="51">
        <f t="shared" si="26"/>
        <v>46042</v>
      </c>
      <c r="X187" s="60"/>
    </row>
    <row r="188" spans="1:24" hidden="1">
      <c r="A188" s="46" t="s">
        <v>351</v>
      </c>
      <c r="B188" s="46" t="s">
        <v>457</v>
      </c>
      <c r="C188" s="47" t="s">
        <v>141</v>
      </c>
      <c r="D188" s="47" t="s">
        <v>141</v>
      </c>
      <c r="E188" s="47">
        <v>50105010</v>
      </c>
      <c r="F188" s="47" t="s">
        <v>155</v>
      </c>
      <c r="G188" s="46">
        <v>80200</v>
      </c>
      <c r="H188" s="47">
        <v>0.27</v>
      </c>
      <c r="I188" s="46">
        <f t="shared" si="23"/>
        <v>21654</v>
      </c>
      <c r="J188" s="46" t="s">
        <v>374</v>
      </c>
      <c r="K188" s="46"/>
      <c r="L188" s="46" t="s">
        <v>482</v>
      </c>
      <c r="M188" s="47">
        <v>25501539</v>
      </c>
      <c r="N188" s="48" t="s">
        <v>192</v>
      </c>
      <c r="O188" s="49">
        <v>46002</v>
      </c>
      <c r="P188" s="50">
        <v>3</v>
      </c>
      <c r="Q188" s="49">
        <v>46033</v>
      </c>
      <c r="R188" s="47" t="s">
        <v>462</v>
      </c>
      <c r="S188" s="51">
        <v>46037</v>
      </c>
      <c r="T188" s="47">
        <v>1</v>
      </c>
      <c r="U188" s="47">
        <v>1</v>
      </c>
      <c r="V188" s="47">
        <v>3</v>
      </c>
      <c r="W188" s="51">
        <f t="shared" si="26"/>
        <v>46042</v>
      </c>
      <c r="X188" s="60"/>
    </row>
    <row r="189" spans="1:24" hidden="1">
      <c r="A189" s="46" t="s">
        <v>347</v>
      </c>
      <c r="B189" s="46" t="s">
        <v>457</v>
      </c>
      <c r="C189" s="47" t="s">
        <v>397</v>
      </c>
      <c r="D189" s="47" t="s">
        <v>184</v>
      </c>
      <c r="E189" s="47">
        <v>50110016</v>
      </c>
      <c r="F189" s="47" t="s">
        <v>256</v>
      </c>
      <c r="G189" s="46">
        <v>210000</v>
      </c>
      <c r="H189" s="47">
        <v>2.86</v>
      </c>
      <c r="I189" s="46">
        <f t="shared" si="23"/>
        <v>600600</v>
      </c>
      <c r="J189" s="46" t="s">
        <v>374</v>
      </c>
      <c r="K189" s="46"/>
      <c r="L189" s="46"/>
      <c r="M189" s="47">
        <v>25501614</v>
      </c>
      <c r="N189" s="48">
        <v>3000452945</v>
      </c>
      <c r="O189" s="49">
        <v>46010</v>
      </c>
      <c r="P189" s="50">
        <v>1</v>
      </c>
      <c r="Q189" s="49">
        <v>46063</v>
      </c>
      <c r="R189" s="47"/>
      <c r="S189" s="52">
        <v>46031</v>
      </c>
      <c r="T189" s="47">
        <v>1</v>
      </c>
      <c r="U189" s="47">
        <v>1</v>
      </c>
      <c r="V189" s="47"/>
      <c r="W189" s="52">
        <f>S189+T189+U189</f>
        <v>46033</v>
      </c>
      <c r="X189" s="59"/>
    </row>
    <row r="190" spans="1:24" hidden="1">
      <c r="A190" s="46" t="s">
        <v>349</v>
      </c>
      <c r="B190" s="46" t="s">
        <v>457</v>
      </c>
      <c r="C190" s="47" t="s">
        <v>404</v>
      </c>
      <c r="D190" s="47" t="s">
        <v>168</v>
      </c>
      <c r="E190" s="47">
        <v>50115491</v>
      </c>
      <c r="F190" s="47" t="s">
        <v>175</v>
      </c>
      <c r="G190" s="46">
        <v>80000</v>
      </c>
      <c r="H190" s="47">
        <v>2.6</v>
      </c>
      <c r="I190" s="46">
        <f t="shared" si="23"/>
        <v>208000</v>
      </c>
      <c r="J190" s="46" t="s">
        <v>374</v>
      </c>
      <c r="K190" s="46"/>
      <c r="L190" s="46"/>
      <c r="M190" s="47">
        <v>25501546</v>
      </c>
      <c r="N190" s="48">
        <v>4510685628</v>
      </c>
      <c r="O190" s="49">
        <v>46003</v>
      </c>
      <c r="P190" s="50">
        <v>1</v>
      </c>
      <c r="Q190" s="49">
        <v>46016</v>
      </c>
      <c r="R190" s="47" t="s">
        <v>463</v>
      </c>
      <c r="S190" s="52">
        <v>46024</v>
      </c>
      <c r="T190" s="47">
        <v>1</v>
      </c>
      <c r="U190" s="47">
        <v>1</v>
      </c>
      <c r="V190" s="47">
        <v>3</v>
      </c>
      <c r="W190" s="51">
        <f>S190+T190+U190+V190</f>
        <v>46029</v>
      </c>
      <c r="X190" s="60"/>
    </row>
    <row r="191" spans="1:24" hidden="1">
      <c r="A191" s="46" t="s">
        <v>347</v>
      </c>
      <c r="B191" s="46" t="s">
        <v>457</v>
      </c>
      <c r="C191" s="47" t="s">
        <v>397</v>
      </c>
      <c r="D191" s="47" t="s">
        <v>279</v>
      </c>
      <c r="E191" s="47">
        <v>50110828</v>
      </c>
      <c r="F191" s="47" t="s">
        <v>140</v>
      </c>
      <c r="G191" s="46">
        <v>1000</v>
      </c>
      <c r="H191" s="47">
        <v>2.72</v>
      </c>
      <c r="I191" s="46">
        <f t="shared" si="23"/>
        <v>2720</v>
      </c>
      <c r="J191" s="46" t="s">
        <v>374</v>
      </c>
      <c r="K191" s="46"/>
      <c r="L191" s="46"/>
      <c r="M191" s="47">
        <v>25501650</v>
      </c>
      <c r="N191" s="48">
        <v>3000453488</v>
      </c>
      <c r="O191" s="49">
        <v>46014</v>
      </c>
      <c r="P191" s="50">
        <v>1</v>
      </c>
      <c r="Q191" s="49">
        <v>46027</v>
      </c>
      <c r="R191" s="47"/>
      <c r="S191" s="52">
        <v>46042</v>
      </c>
      <c r="T191" s="47">
        <v>1</v>
      </c>
      <c r="U191" s="47">
        <v>1</v>
      </c>
      <c r="V191" s="47"/>
      <c r="W191" s="52">
        <f>S191+T191+U191</f>
        <v>46044</v>
      </c>
      <c r="X191" s="59"/>
    </row>
    <row r="192" spans="1:24" hidden="1">
      <c r="A192" s="46" t="s">
        <v>351</v>
      </c>
      <c r="B192" s="46" t="s">
        <v>455</v>
      </c>
      <c r="C192" s="47" t="s">
        <v>115</v>
      </c>
      <c r="D192" s="47" t="s">
        <v>115</v>
      </c>
      <c r="E192" s="47">
        <v>50110678</v>
      </c>
      <c r="F192" s="47" t="s">
        <v>194</v>
      </c>
      <c r="G192" s="46">
        <v>60000</v>
      </c>
      <c r="H192" s="47">
        <v>2.2400000000000002</v>
      </c>
      <c r="I192" s="46">
        <f t="shared" si="23"/>
        <v>134400</v>
      </c>
      <c r="J192" s="46" t="s">
        <v>374</v>
      </c>
      <c r="K192" s="46"/>
      <c r="L192" s="46" t="s">
        <v>482</v>
      </c>
      <c r="M192" s="47">
        <v>25501553</v>
      </c>
      <c r="N192" s="48" t="s">
        <v>193</v>
      </c>
      <c r="O192" s="49">
        <v>46004</v>
      </c>
      <c r="P192" s="50">
        <v>1</v>
      </c>
      <c r="Q192" s="49">
        <v>46047</v>
      </c>
      <c r="R192" s="51" t="s">
        <v>462</v>
      </c>
      <c r="S192" s="51">
        <v>46033</v>
      </c>
      <c r="T192" s="47">
        <v>1</v>
      </c>
      <c r="U192" s="47">
        <v>1</v>
      </c>
      <c r="V192" s="47">
        <v>3</v>
      </c>
      <c r="W192" s="51">
        <f t="shared" ref="W192:W200" si="27">S192+T192+U192+V192</f>
        <v>46038</v>
      </c>
      <c r="X192" s="60"/>
    </row>
    <row r="193" spans="1:24" hidden="1">
      <c r="A193" s="46" t="s">
        <v>351</v>
      </c>
      <c r="B193" s="46" t="s">
        <v>455</v>
      </c>
      <c r="C193" s="47" t="s">
        <v>115</v>
      </c>
      <c r="D193" s="47" t="s">
        <v>115</v>
      </c>
      <c r="E193" s="47">
        <v>50081601</v>
      </c>
      <c r="F193" s="47" t="s">
        <v>195</v>
      </c>
      <c r="G193" s="46">
        <v>60000</v>
      </c>
      <c r="H193" s="47">
        <v>0.53</v>
      </c>
      <c r="I193" s="46">
        <f t="shared" si="23"/>
        <v>31800</v>
      </c>
      <c r="J193" s="46" t="s">
        <v>374</v>
      </c>
      <c r="K193" s="46"/>
      <c r="L193" s="46" t="s">
        <v>482</v>
      </c>
      <c r="M193" s="47">
        <v>25501553</v>
      </c>
      <c r="N193" s="48" t="s">
        <v>193</v>
      </c>
      <c r="O193" s="49">
        <v>46004</v>
      </c>
      <c r="P193" s="50">
        <v>2</v>
      </c>
      <c r="Q193" s="49">
        <v>46047</v>
      </c>
      <c r="R193" s="51" t="s">
        <v>462</v>
      </c>
      <c r="S193" s="51">
        <v>46033</v>
      </c>
      <c r="T193" s="47">
        <v>1</v>
      </c>
      <c r="U193" s="47">
        <v>1</v>
      </c>
      <c r="V193" s="47">
        <v>3</v>
      </c>
      <c r="W193" s="51">
        <f t="shared" si="27"/>
        <v>46038</v>
      </c>
      <c r="X193" s="60"/>
    </row>
    <row r="194" spans="1:24" hidden="1">
      <c r="A194" s="46" t="s">
        <v>351</v>
      </c>
      <c r="B194" s="46" t="s">
        <v>455</v>
      </c>
      <c r="C194" s="47" t="s">
        <v>115</v>
      </c>
      <c r="D194" s="47" t="s">
        <v>115</v>
      </c>
      <c r="E194" s="47">
        <v>50082095</v>
      </c>
      <c r="F194" s="47" t="s">
        <v>196</v>
      </c>
      <c r="G194" s="46">
        <v>60000</v>
      </c>
      <c r="H194" s="47">
        <v>0.15</v>
      </c>
      <c r="I194" s="46">
        <f t="shared" si="23"/>
        <v>9000</v>
      </c>
      <c r="J194" s="46" t="s">
        <v>374</v>
      </c>
      <c r="K194" s="46"/>
      <c r="L194" s="46" t="s">
        <v>482</v>
      </c>
      <c r="M194" s="47">
        <v>25501553</v>
      </c>
      <c r="N194" s="48" t="s">
        <v>193</v>
      </c>
      <c r="O194" s="49">
        <v>46004</v>
      </c>
      <c r="P194" s="50">
        <v>3</v>
      </c>
      <c r="Q194" s="49">
        <v>46047</v>
      </c>
      <c r="R194" s="51" t="s">
        <v>462</v>
      </c>
      <c r="S194" s="51">
        <v>46033</v>
      </c>
      <c r="T194" s="47">
        <v>1</v>
      </c>
      <c r="U194" s="47">
        <v>1</v>
      </c>
      <c r="V194" s="47">
        <v>3</v>
      </c>
      <c r="W194" s="51">
        <f t="shared" si="27"/>
        <v>46038</v>
      </c>
      <c r="X194" s="60"/>
    </row>
    <row r="195" spans="1:24" hidden="1">
      <c r="A195" s="46" t="s">
        <v>346</v>
      </c>
      <c r="B195" s="46" t="s">
        <v>457</v>
      </c>
      <c r="C195" s="47" t="s">
        <v>1</v>
      </c>
      <c r="D195" s="47" t="s">
        <v>1</v>
      </c>
      <c r="E195" s="47">
        <v>50114359</v>
      </c>
      <c r="F195" s="47" t="s">
        <v>21</v>
      </c>
      <c r="G195" s="46">
        <v>288000</v>
      </c>
      <c r="H195" s="47">
        <v>2.87</v>
      </c>
      <c r="I195" s="46">
        <f t="shared" si="23"/>
        <v>826560</v>
      </c>
      <c r="J195" s="46" t="s">
        <v>374</v>
      </c>
      <c r="K195" s="46"/>
      <c r="L195" s="46"/>
      <c r="M195" s="47">
        <v>25501554</v>
      </c>
      <c r="N195" s="48" t="s">
        <v>197</v>
      </c>
      <c r="O195" s="49">
        <v>46004</v>
      </c>
      <c r="P195" s="50">
        <v>1.1000000000000001</v>
      </c>
      <c r="Q195" s="49">
        <v>46022</v>
      </c>
      <c r="R195" s="47" t="s">
        <v>463</v>
      </c>
      <c r="S195" s="52">
        <v>46032</v>
      </c>
      <c r="T195" s="47">
        <v>1</v>
      </c>
      <c r="U195" s="47">
        <v>1</v>
      </c>
      <c r="V195" s="47">
        <v>3</v>
      </c>
      <c r="W195" s="52">
        <f t="shared" si="27"/>
        <v>46037</v>
      </c>
      <c r="X195" s="59"/>
    </row>
    <row r="196" spans="1:24" hidden="1">
      <c r="A196" s="46" t="s">
        <v>346</v>
      </c>
      <c r="B196" s="46" t="s">
        <v>457</v>
      </c>
      <c r="C196" s="47" t="s">
        <v>1</v>
      </c>
      <c r="D196" s="47" t="s">
        <v>1</v>
      </c>
      <c r="E196" s="47">
        <v>50113739</v>
      </c>
      <c r="F196" s="47" t="s">
        <v>162</v>
      </c>
      <c r="G196" s="46">
        <v>288000</v>
      </c>
      <c r="H196" s="47">
        <v>2.4300000000000002</v>
      </c>
      <c r="I196" s="46">
        <f t="shared" si="23"/>
        <v>699840</v>
      </c>
      <c r="J196" s="46" t="s">
        <v>374</v>
      </c>
      <c r="K196" s="46"/>
      <c r="L196" s="46"/>
      <c r="M196" s="47">
        <v>25501554</v>
      </c>
      <c r="N196" s="48" t="s">
        <v>197</v>
      </c>
      <c r="O196" s="49">
        <v>46004</v>
      </c>
      <c r="P196" s="50">
        <v>2.1</v>
      </c>
      <c r="Q196" s="49">
        <v>46350</v>
      </c>
      <c r="R196" s="47" t="s">
        <v>463</v>
      </c>
      <c r="S196" s="52">
        <v>46032</v>
      </c>
      <c r="T196" s="47">
        <v>1</v>
      </c>
      <c r="U196" s="47">
        <v>1</v>
      </c>
      <c r="V196" s="47">
        <v>3</v>
      </c>
      <c r="W196" s="52">
        <f t="shared" si="27"/>
        <v>46037</v>
      </c>
      <c r="X196" s="59"/>
    </row>
    <row r="197" spans="1:24" hidden="1">
      <c r="A197" s="46" t="s">
        <v>346</v>
      </c>
      <c r="B197" s="46" t="s">
        <v>457</v>
      </c>
      <c r="C197" s="47" t="s">
        <v>1</v>
      </c>
      <c r="D197" s="47" t="s">
        <v>1</v>
      </c>
      <c r="E197" s="47">
        <v>50114342</v>
      </c>
      <c r="F197" s="47" t="s">
        <v>32</v>
      </c>
      <c r="G197" s="46">
        <v>288000</v>
      </c>
      <c r="H197" s="47">
        <v>2.35</v>
      </c>
      <c r="I197" s="46">
        <f t="shared" si="23"/>
        <v>676800</v>
      </c>
      <c r="J197" s="46" t="s">
        <v>374</v>
      </c>
      <c r="K197" s="46"/>
      <c r="L197" s="46"/>
      <c r="M197" s="47">
        <v>25501554</v>
      </c>
      <c r="N197" s="48" t="s">
        <v>197</v>
      </c>
      <c r="O197" s="49">
        <v>46004</v>
      </c>
      <c r="P197" s="50">
        <v>3.1</v>
      </c>
      <c r="Q197" s="49">
        <v>46350</v>
      </c>
      <c r="R197" s="47" t="s">
        <v>463</v>
      </c>
      <c r="S197" s="52">
        <v>46032</v>
      </c>
      <c r="T197" s="47">
        <v>1</v>
      </c>
      <c r="U197" s="47">
        <v>1</v>
      </c>
      <c r="V197" s="47">
        <v>3</v>
      </c>
      <c r="W197" s="52">
        <f t="shared" si="27"/>
        <v>46037</v>
      </c>
      <c r="X197" s="59"/>
    </row>
    <row r="198" spans="1:24" hidden="1">
      <c r="A198" s="46" t="s">
        <v>349</v>
      </c>
      <c r="B198" s="46" t="s">
        <v>457</v>
      </c>
      <c r="C198" s="47" t="s">
        <v>121</v>
      </c>
      <c r="D198" s="47" t="s">
        <v>121</v>
      </c>
      <c r="E198" s="47">
        <v>50081939</v>
      </c>
      <c r="F198" s="47" t="s">
        <v>109</v>
      </c>
      <c r="G198" s="46">
        <v>650000</v>
      </c>
      <c r="H198" s="47">
        <v>0.44</v>
      </c>
      <c r="I198" s="46">
        <f t="shared" ref="I198:I261" si="28">G198*H198</f>
        <v>286000</v>
      </c>
      <c r="J198" s="46" t="s">
        <v>374</v>
      </c>
      <c r="K198" s="46"/>
      <c r="L198" s="46"/>
      <c r="M198" s="47">
        <v>25501556</v>
      </c>
      <c r="N198" s="48">
        <v>9300791075</v>
      </c>
      <c r="O198" s="49">
        <v>46004</v>
      </c>
      <c r="P198" s="50">
        <v>1</v>
      </c>
      <c r="Q198" s="49">
        <v>46022</v>
      </c>
      <c r="R198" s="52" t="s">
        <v>463</v>
      </c>
      <c r="S198" s="52">
        <v>46037</v>
      </c>
      <c r="T198" s="47">
        <v>1</v>
      </c>
      <c r="U198" s="47">
        <v>1</v>
      </c>
      <c r="V198" s="47">
        <v>3</v>
      </c>
      <c r="W198" s="51">
        <f t="shared" si="27"/>
        <v>46042</v>
      </c>
      <c r="X198" s="60"/>
    </row>
    <row r="199" spans="1:24" hidden="1">
      <c r="A199" s="46" t="s">
        <v>349</v>
      </c>
      <c r="B199" s="46" t="s">
        <v>457</v>
      </c>
      <c r="C199" s="47" t="s">
        <v>121</v>
      </c>
      <c r="D199" s="47" t="s">
        <v>121</v>
      </c>
      <c r="E199" s="47">
        <v>50081724</v>
      </c>
      <c r="F199" s="47" t="s">
        <v>198</v>
      </c>
      <c r="G199" s="46">
        <v>576100</v>
      </c>
      <c r="H199" s="47">
        <v>1.1299999999999999</v>
      </c>
      <c r="I199" s="46">
        <f t="shared" si="28"/>
        <v>650992.99999999988</v>
      </c>
      <c r="J199" s="46" t="s">
        <v>374</v>
      </c>
      <c r="K199" s="46"/>
      <c r="L199" s="46"/>
      <c r="M199" s="47">
        <v>25501556</v>
      </c>
      <c r="N199" s="48">
        <v>9300791075</v>
      </c>
      <c r="O199" s="49">
        <v>46004</v>
      </c>
      <c r="P199" s="50">
        <v>2</v>
      </c>
      <c r="Q199" s="49">
        <v>46022</v>
      </c>
      <c r="R199" s="52" t="s">
        <v>462</v>
      </c>
      <c r="S199" s="52">
        <v>46037</v>
      </c>
      <c r="T199" s="47">
        <v>1</v>
      </c>
      <c r="U199" s="47">
        <v>1</v>
      </c>
      <c r="V199" s="47">
        <v>3</v>
      </c>
      <c r="W199" s="51">
        <f t="shared" si="27"/>
        <v>46042</v>
      </c>
      <c r="X199" s="60"/>
    </row>
    <row r="200" spans="1:24" hidden="1">
      <c r="A200" s="46" t="s">
        <v>349</v>
      </c>
      <c r="B200" s="46" t="s">
        <v>457</v>
      </c>
      <c r="C200" s="47" t="s">
        <v>200</v>
      </c>
      <c r="D200" s="47" t="s">
        <v>200</v>
      </c>
      <c r="E200" s="47">
        <v>50081938</v>
      </c>
      <c r="F200" s="47" t="s">
        <v>31</v>
      </c>
      <c r="G200" s="46">
        <v>27500</v>
      </c>
      <c r="H200" s="47">
        <v>0.44</v>
      </c>
      <c r="I200" s="46">
        <f t="shared" si="28"/>
        <v>12100</v>
      </c>
      <c r="J200" s="46" t="s">
        <v>374</v>
      </c>
      <c r="K200" s="46"/>
      <c r="L200" s="46"/>
      <c r="M200" s="47">
        <v>25501559</v>
      </c>
      <c r="N200" s="48">
        <v>9300792671</v>
      </c>
      <c r="O200" s="49">
        <v>46004</v>
      </c>
      <c r="P200" s="50">
        <v>1</v>
      </c>
      <c r="Q200" s="49">
        <v>46171</v>
      </c>
      <c r="R200" s="52" t="s">
        <v>463</v>
      </c>
      <c r="S200" s="52">
        <v>46037</v>
      </c>
      <c r="T200" s="47">
        <v>1</v>
      </c>
      <c r="U200" s="47">
        <v>1</v>
      </c>
      <c r="V200" s="47">
        <v>3</v>
      </c>
      <c r="W200" s="51">
        <f t="shared" si="27"/>
        <v>46042</v>
      </c>
      <c r="X200" s="60"/>
    </row>
    <row r="201" spans="1:24" hidden="1">
      <c r="A201" s="46" t="s">
        <v>350</v>
      </c>
      <c r="B201" s="46" t="s">
        <v>457</v>
      </c>
      <c r="C201" s="47" t="s">
        <v>202</v>
      </c>
      <c r="D201" s="47" t="s">
        <v>202</v>
      </c>
      <c r="E201" s="47">
        <v>50112952</v>
      </c>
      <c r="F201" s="47" t="s">
        <v>203</v>
      </c>
      <c r="G201" s="46">
        <v>9996</v>
      </c>
      <c r="H201" s="47">
        <v>66</v>
      </c>
      <c r="I201" s="46">
        <f t="shared" si="28"/>
        <v>659736</v>
      </c>
      <c r="J201" s="46" t="s">
        <v>374</v>
      </c>
      <c r="K201" s="46"/>
      <c r="L201" s="46" t="s">
        <v>482</v>
      </c>
      <c r="M201" s="47">
        <v>25501560</v>
      </c>
      <c r="N201" s="48" t="s">
        <v>201</v>
      </c>
      <c r="O201" s="49">
        <v>46004</v>
      </c>
      <c r="P201" s="50">
        <v>1</v>
      </c>
      <c r="Q201" s="49">
        <v>46022</v>
      </c>
      <c r="R201" s="47"/>
      <c r="S201" s="52">
        <v>46040</v>
      </c>
      <c r="T201" s="47"/>
      <c r="U201" s="47"/>
      <c r="V201" s="47"/>
      <c r="W201" s="47"/>
    </row>
    <row r="202" spans="1:24" hidden="1">
      <c r="A202" s="46" t="s">
        <v>351</v>
      </c>
      <c r="B202" s="46" t="s">
        <v>456</v>
      </c>
      <c r="C202" s="47" t="s">
        <v>204</v>
      </c>
      <c r="D202" s="47" t="s">
        <v>204</v>
      </c>
      <c r="E202" s="47">
        <v>50081462</v>
      </c>
      <c r="F202" s="47" t="s">
        <v>205</v>
      </c>
      <c r="G202" s="46">
        <v>60000</v>
      </c>
      <c r="H202" s="47">
        <v>1.51</v>
      </c>
      <c r="I202" s="46">
        <f t="shared" si="28"/>
        <v>90600</v>
      </c>
      <c r="J202" s="46" t="s">
        <v>467</v>
      </c>
      <c r="K202" s="46"/>
      <c r="L202" s="46"/>
      <c r="M202" s="47">
        <v>25501561</v>
      </c>
      <c r="N202" s="48">
        <v>4500043525</v>
      </c>
      <c r="O202" s="49">
        <v>46004</v>
      </c>
      <c r="P202" s="50">
        <v>4</v>
      </c>
      <c r="Q202" s="49">
        <v>46022</v>
      </c>
      <c r="R202" s="47"/>
      <c r="S202" s="47"/>
      <c r="T202" s="47"/>
      <c r="U202" s="47"/>
      <c r="V202" s="47"/>
      <c r="W202" s="47"/>
    </row>
    <row r="203" spans="1:24" hidden="1">
      <c r="A203" s="46" t="s">
        <v>351</v>
      </c>
      <c r="B203" s="46" t="s">
        <v>456</v>
      </c>
      <c r="C203" s="47" t="s">
        <v>204</v>
      </c>
      <c r="D203" s="47" t="s">
        <v>204</v>
      </c>
      <c r="E203" s="47">
        <v>50082011</v>
      </c>
      <c r="F203" s="47" t="s">
        <v>154</v>
      </c>
      <c r="G203" s="46">
        <v>60000</v>
      </c>
      <c r="H203" s="47">
        <v>0.55000000000000004</v>
      </c>
      <c r="I203" s="46">
        <f t="shared" si="28"/>
        <v>33000</v>
      </c>
      <c r="J203" s="46" t="s">
        <v>467</v>
      </c>
      <c r="K203" s="46"/>
      <c r="L203" s="46"/>
      <c r="M203" s="47">
        <v>25501561</v>
      </c>
      <c r="N203" s="48">
        <v>4500043525</v>
      </c>
      <c r="O203" s="49">
        <v>46004</v>
      </c>
      <c r="P203" s="50">
        <v>5</v>
      </c>
      <c r="Q203" s="49">
        <v>46022</v>
      </c>
      <c r="R203" s="47"/>
      <c r="S203" s="47"/>
      <c r="T203" s="47"/>
      <c r="U203" s="47"/>
      <c r="V203" s="47"/>
      <c r="W203" s="47"/>
    </row>
    <row r="204" spans="1:24" hidden="1">
      <c r="A204" s="46" t="s">
        <v>351</v>
      </c>
      <c r="B204" s="46" t="s">
        <v>456</v>
      </c>
      <c r="C204" s="47" t="s">
        <v>204</v>
      </c>
      <c r="D204" s="47" t="s">
        <v>204</v>
      </c>
      <c r="E204" s="47">
        <v>50081746</v>
      </c>
      <c r="F204" s="47" t="s">
        <v>206</v>
      </c>
      <c r="G204" s="46">
        <v>60000</v>
      </c>
      <c r="H204" s="47">
        <v>0.42</v>
      </c>
      <c r="I204" s="46">
        <f t="shared" si="28"/>
        <v>25200</v>
      </c>
      <c r="J204" s="46" t="s">
        <v>467</v>
      </c>
      <c r="K204" s="46"/>
      <c r="L204" s="46"/>
      <c r="M204" s="47">
        <v>25501561</v>
      </c>
      <c r="N204" s="48">
        <v>4500043525</v>
      </c>
      <c r="O204" s="49">
        <v>46004</v>
      </c>
      <c r="P204" s="50">
        <v>6</v>
      </c>
      <c r="Q204" s="49">
        <v>46022</v>
      </c>
      <c r="R204" s="47"/>
      <c r="S204" s="47"/>
      <c r="T204" s="47"/>
      <c r="U204" s="47"/>
      <c r="V204" s="47"/>
      <c r="W204" s="47"/>
    </row>
    <row r="205" spans="1:24" hidden="1">
      <c r="A205" s="46" t="s">
        <v>351</v>
      </c>
      <c r="B205" s="46" t="s">
        <v>460</v>
      </c>
      <c r="C205" s="47" t="s">
        <v>168</v>
      </c>
      <c r="D205" s="47" t="s">
        <v>168</v>
      </c>
      <c r="E205" s="47">
        <v>50099313</v>
      </c>
      <c r="F205" s="47" t="s">
        <v>208</v>
      </c>
      <c r="G205" s="46">
        <v>100000</v>
      </c>
      <c r="H205" s="47">
        <v>1.94</v>
      </c>
      <c r="I205" s="46">
        <f t="shared" si="28"/>
        <v>194000</v>
      </c>
      <c r="J205" s="46" t="s">
        <v>374</v>
      </c>
      <c r="K205" s="46"/>
      <c r="L205" s="46"/>
      <c r="M205" s="47">
        <v>25501562</v>
      </c>
      <c r="N205" s="48">
        <v>4501243744</v>
      </c>
      <c r="O205" s="49">
        <v>46006</v>
      </c>
      <c r="P205" s="50">
        <v>4</v>
      </c>
      <c r="Q205" s="49">
        <v>46037</v>
      </c>
      <c r="R205" s="47" t="s">
        <v>462</v>
      </c>
      <c r="S205" s="51">
        <v>46044</v>
      </c>
      <c r="T205" s="47">
        <v>1</v>
      </c>
      <c r="U205" s="47">
        <v>1</v>
      </c>
      <c r="V205" s="47">
        <v>3</v>
      </c>
      <c r="W205" s="51">
        <f t="shared" ref="W205:W232" si="29">S205+T205+U205+V205</f>
        <v>46049</v>
      </c>
      <c r="X205" s="60"/>
    </row>
    <row r="206" spans="1:24" hidden="1">
      <c r="A206" s="46" t="s">
        <v>351</v>
      </c>
      <c r="B206" s="46" t="s">
        <v>460</v>
      </c>
      <c r="C206" s="47" t="s">
        <v>168</v>
      </c>
      <c r="D206" s="47" t="s">
        <v>168</v>
      </c>
      <c r="E206" s="47">
        <v>50081931</v>
      </c>
      <c r="F206" s="47" t="s">
        <v>209</v>
      </c>
      <c r="G206" s="46">
        <v>100000</v>
      </c>
      <c r="H206" s="47">
        <v>0.78</v>
      </c>
      <c r="I206" s="46">
        <f t="shared" si="28"/>
        <v>78000</v>
      </c>
      <c r="J206" s="46" t="s">
        <v>374</v>
      </c>
      <c r="K206" s="46"/>
      <c r="L206" s="46"/>
      <c r="M206" s="47">
        <v>25501562</v>
      </c>
      <c r="N206" s="48">
        <v>4501243744</v>
      </c>
      <c r="O206" s="49">
        <v>46006</v>
      </c>
      <c r="P206" s="50">
        <v>5</v>
      </c>
      <c r="Q206" s="49">
        <v>46037</v>
      </c>
      <c r="R206" s="47" t="s">
        <v>462</v>
      </c>
      <c r="S206" s="51">
        <v>46044</v>
      </c>
      <c r="T206" s="47">
        <v>1</v>
      </c>
      <c r="U206" s="47">
        <v>1</v>
      </c>
      <c r="V206" s="47">
        <v>3</v>
      </c>
      <c r="W206" s="51">
        <f t="shared" si="29"/>
        <v>46049</v>
      </c>
      <c r="X206" s="60"/>
    </row>
    <row r="207" spans="1:24" hidden="1">
      <c r="A207" s="46" t="s">
        <v>351</v>
      </c>
      <c r="B207" s="46" t="s">
        <v>457</v>
      </c>
      <c r="C207" s="47" t="s">
        <v>124</v>
      </c>
      <c r="D207" s="47" t="s">
        <v>124</v>
      </c>
      <c r="E207" s="47">
        <v>50081970</v>
      </c>
      <c r="F207" s="47" t="s">
        <v>107</v>
      </c>
      <c r="G207" s="46">
        <v>200000</v>
      </c>
      <c r="H207" s="47">
        <v>1.66</v>
      </c>
      <c r="I207" s="46">
        <f t="shared" si="28"/>
        <v>332000</v>
      </c>
      <c r="J207" s="46" t="s">
        <v>374</v>
      </c>
      <c r="K207" s="46"/>
      <c r="L207" s="46" t="s">
        <v>482</v>
      </c>
      <c r="M207" s="47">
        <v>25501563</v>
      </c>
      <c r="N207" s="48" t="s">
        <v>210</v>
      </c>
      <c r="O207" s="49">
        <v>46006</v>
      </c>
      <c r="P207" s="50">
        <v>1</v>
      </c>
      <c r="Q207" s="49">
        <v>46037</v>
      </c>
      <c r="R207" s="47" t="s">
        <v>462</v>
      </c>
      <c r="S207" s="51">
        <v>46043</v>
      </c>
      <c r="T207" s="47">
        <v>1</v>
      </c>
      <c r="U207" s="47">
        <v>1</v>
      </c>
      <c r="V207" s="47">
        <v>3</v>
      </c>
      <c r="W207" s="51">
        <f t="shared" si="29"/>
        <v>46048</v>
      </c>
      <c r="X207" s="60"/>
    </row>
    <row r="208" spans="1:24" hidden="1">
      <c r="A208" s="46" t="s">
        <v>351</v>
      </c>
      <c r="B208" s="46" t="s">
        <v>457</v>
      </c>
      <c r="C208" s="47" t="s">
        <v>124</v>
      </c>
      <c r="D208" s="47" t="s">
        <v>124</v>
      </c>
      <c r="E208" s="47">
        <v>50081808</v>
      </c>
      <c r="F208" s="47" t="s">
        <v>23</v>
      </c>
      <c r="G208" s="46">
        <v>100000</v>
      </c>
      <c r="H208" s="47">
        <v>0.61</v>
      </c>
      <c r="I208" s="46">
        <f t="shared" si="28"/>
        <v>61000</v>
      </c>
      <c r="J208" s="46" t="s">
        <v>374</v>
      </c>
      <c r="K208" s="46"/>
      <c r="L208" s="46" t="s">
        <v>482</v>
      </c>
      <c r="M208" s="47">
        <v>25501563</v>
      </c>
      <c r="N208" s="48" t="s">
        <v>210</v>
      </c>
      <c r="O208" s="49">
        <v>46006</v>
      </c>
      <c r="P208" s="50">
        <v>2</v>
      </c>
      <c r="Q208" s="49">
        <v>46037</v>
      </c>
      <c r="R208" s="47" t="s">
        <v>462</v>
      </c>
      <c r="S208" s="51">
        <v>46043</v>
      </c>
      <c r="T208" s="47">
        <v>1</v>
      </c>
      <c r="U208" s="47">
        <v>1</v>
      </c>
      <c r="V208" s="47">
        <v>3</v>
      </c>
      <c r="W208" s="51">
        <f t="shared" si="29"/>
        <v>46048</v>
      </c>
      <c r="X208" s="60"/>
    </row>
    <row r="209" spans="1:24" hidden="1">
      <c r="A209" s="46" t="s">
        <v>351</v>
      </c>
      <c r="B209" s="46" t="s">
        <v>457</v>
      </c>
      <c r="C209" s="47" t="s">
        <v>124</v>
      </c>
      <c r="D209" s="47" t="s">
        <v>124</v>
      </c>
      <c r="E209" s="47">
        <v>50111939</v>
      </c>
      <c r="F209" s="47" t="s">
        <v>39</v>
      </c>
      <c r="G209" s="46">
        <v>275000</v>
      </c>
      <c r="H209" s="47">
        <v>0.26</v>
      </c>
      <c r="I209" s="46">
        <f t="shared" si="28"/>
        <v>71500</v>
      </c>
      <c r="J209" s="46" t="s">
        <v>374</v>
      </c>
      <c r="K209" s="46"/>
      <c r="L209" s="46" t="s">
        <v>482</v>
      </c>
      <c r="M209" s="47">
        <v>25501563</v>
      </c>
      <c r="N209" s="48" t="s">
        <v>210</v>
      </c>
      <c r="O209" s="49">
        <v>46006</v>
      </c>
      <c r="P209" s="50">
        <v>3</v>
      </c>
      <c r="Q209" s="49">
        <v>46037</v>
      </c>
      <c r="R209" s="47" t="s">
        <v>462</v>
      </c>
      <c r="S209" s="51">
        <v>46043</v>
      </c>
      <c r="T209" s="47">
        <v>1</v>
      </c>
      <c r="U209" s="47">
        <v>1</v>
      </c>
      <c r="V209" s="47">
        <v>3</v>
      </c>
      <c r="W209" s="51">
        <f t="shared" si="29"/>
        <v>46048</v>
      </c>
      <c r="X209" s="60"/>
    </row>
    <row r="210" spans="1:24" hidden="1">
      <c r="A210" s="46" t="s">
        <v>351</v>
      </c>
      <c r="B210" s="46" t="s">
        <v>457</v>
      </c>
      <c r="C210" s="47" t="s">
        <v>124</v>
      </c>
      <c r="D210" s="47" t="s">
        <v>124</v>
      </c>
      <c r="E210" s="47">
        <v>50111525</v>
      </c>
      <c r="F210" s="47" t="s">
        <v>211</v>
      </c>
      <c r="G210" s="46">
        <v>100000</v>
      </c>
      <c r="H210" s="47">
        <v>2.27</v>
      </c>
      <c r="I210" s="46">
        <f t="shared" si="28"/>
        <v>227000</v>
      </c>
      <c r="J210" s="46" t="s">
        <v>374</v>
      </c>
      <c r="K210" s="46"/>
      <c r="L210" s="46" t="s">
        <v>482</v>
      </c>
      <c r="M210" s="47">
        <v>25501563</v>
      </c>
      <c r="N210" s="48" t="s">
        <v>210</v>
      </c>
      <c r="O210" s="49">
        <v>46006</v>
      </c>
      <c r="P210" s="50">
        <v>4</v>
      </c>
      <c r="Q210" s="49">
        <v>46037</v>
      </c>
      <c r="R210" s="47" t="s">
        <v>462</v>
      </c>
      <c r="S210" s="51">
        <v>46046</v>
      </c>
      <c r="T210" s="47">
        <v>1</v>
      </c>
      <c r="U210" s="47">
        <v>1</v>
      </c>
      <c r="V210" s="47">
        <v>3</v>
      </c>
      <c r="W210" s="51">
        <f t="shared" si="29"/>
        <v>46051</v>
      </c>
      <c r="X210" s="60"/>
    </row>
    <row r="211" spans="1:24" hidden="1">
      <c r="A211" s="46" t="s">
        <v>351</v>
      </c>
      <c r="B211" s="46" t="s">
        <v>457</v>
      </c>
      <c r="C211" s="47" t="s">
        <v>124</v>
      </c>
      <c r="D211" s="47" t="s">
        <v>124</v>
      </c>
      <c r="E211" s="47">
        <v>50111525</v>
      </c>
      <c r="F211" s="47" t="s">
        <v>211</v>
      </c>
      <c r="G211" s="46">
        <v>100000</v>
      </c>
      <c r="H211" s="47">
        <v>2.27</v>
      </c>
      <c r="I211" s="46">
        <f t="shared" si="28"/>
        <v>227000</v>
      </c>
      <c r="J211" s="46" t="s">
        <v>374</v>
      </c>
      <c r="K211" s="46"/>
      <c r="L211" s="46" t="s">
        <v>482</v>
      </c>
      <c r="M211" s="47">
        <v>25501563</v>
      </c>
      <c r="N211" s="48" t="s">
        <v>210</v>
      </c>
      <c r="O211" s="49">
        <v>46006</v>
      </c>
      <c r="P211" s="50">
        <v>4</v>
      </c>
      <c r="Q211" s="49">
        <v>46037</v>
      </c>
      <c r="R211" s="47" t="s">
        <v>462</v>
      </c>
      <c r="S211" s="51">
        <v>46046</v>
      </c>
      <c r="T211" s="47">
        <v>1</v>
      </c>
      <c r="U211" s="47">
        <v>1</v>
      </c>
      <c r="V211" s="47">
        <v>3</v>
      </c>
      <c r="W211" s="51">
        <f t="shared" si="29"/>
        <v>46051</v>
      </c>
      <c r="X211" s="60"/>
    </row>
    <row r="212" spans="1:24" hidden="1">
      <c r="A212" s="46" t="s">
        <v>351</v>
      </c>
      <c r="B212" s="46" t="s">
        <v>457</v>
      </c>
      <c r="C212" s="47" t="s">
        <v>124</v>
      </c>
      <c r="D212" s="47" t="s">
        <v>124</v>
      </c>
      <c r="E212" s="47">
        <v>50103503</v>
      </c>
      <c r="F212" s="47" t="s">
        <v>212</v>
      </c>
      <c r="G212" s="46">
        <v>100000</v>
      </c>
      <c r="H212" s="47">
        <v>2.08</v>
      </c>
      <c r="I212" s="46">
        <f t="shared" si="28"/>
        <v>208000</v>
      </c>
      <c r="J212" s="46" t="s">
        <v>374</v>
      </c>
      <c r="K212" s="46"/>
      <c r="L212" s="46" t="s">
        <v>482</v>
      </c>
      <c r="M212" s="47">
        <v>25501563</v>
      </c>
      <c r="N212" s="48" t="s">
        <v>210</v>
      </c>
      <c r="O212" s="49">
        <v>46006</v>
      </c>
      <c r="P212" s="50">
        <v>5</v>
      </c>
      <c r="Q212" s="49">
        <v>46037</v>
      </c>
      <c r="R212" s="47" t="s">
        <v>462</v>
      </c>
      <c r="S212" s="51">
        <v>46046</v>
      </c>
      <c r="T212" s="47">
        <v>1</v>
      </c>
      <c r="U212" s="47">
        <v>1</v>
      </c>
      <c r="V212" s="47">
        <v>3</v>
      </c>
      <c r="W212" s="51">
        <f t="shared" si="29"/>
        <v>46051</v>
      </c>
      <c r="X212" s="60"/>
    </row>
    <row r="213" spans="1:24" hidden="1">
      <c r="A213" s="46" t="s">
        <v>351</v>
      </c>
      <c r="B213" s="46" t="s">
        <v>457</v>
      </c>
      <c r="C213" s="47" t="s">
        <v>124</v>
      </c>
      <c r="D213" s="47" t="s">
        <v>124</v>
      </c>
      <c r="E213" s="47">
        <v>50082373</v>
      </c>
      <c r="F213" s="47" t="s">
        <v>213</v>
      </c>
      <c r="G213" s="46">
        <v>100000</v>
      </c>
      <c r="H213" s="47">
        <v>0.85</v>
      </c>
      <c r="I213" s="46">
        <f t="shared" si="28"/>
        <v>85000</v>
      </c>
      <c r="J213" s="46" t="s">
        <v>374</v>
      </c>
      <c r="K213" s="46"/>
      <c r="L213" s="46" t="s">
        <v>482</v>
      </c>
      <c r="M213" s="47">
        <v>25501563</v>
      </c>
      <c r="N213" s="48" t="s">
        <v>210</v>
      </c>
      <c r="O213" s="49">
        <v>46006</v>
      </c>
      <c r="P213" s="50">
        <v>6</v>
      </c>
      <c r="Q213" s="49">
        <v>46037</v>
      </c>
      <c r="R213" s="47" t="s">
        <v>463</v>
      </c>
      <c r="S213" s="51">
        <v>46046</v>
      </c>
      <c r="T213" s="47">
        <v>1</v>
      </c>
      <c r="U213" s="47">
        <v>1</v>
      </c>
      <c r="V213" s="47">
        <v>3</v>
      </c>
      <c r="W213" s="51">
        <f t="shared" si="29"/>
        <v>46051</v>
      </c>
      <c r="X213" s="60"/>
    </row>
    <row r="214" spans="1:24" hidden="1">
      <c r="A214" s="46" t="s">
        <v>351</v>
      </c>
      <c r="B214" s="46" t="s">
        <v>457</v>
      </c>
      <c r="C214" s="47" t="s">
        <v>124</v>
      </c>
      <c r="D214" s="47" t="s">
        <v>124</v>
      </c>
      <c r="E214" s="47">
        <v>50082373</v>
      </c>
      <c r="F214" s="47" t="s">
        <v>213</v>
      </c>
      <c r="G214" s="46">
        <v>200000</v>
      </c>
      <c r="H214" s="47">
        <v>0.85</v>
      </c>
      <c r="I214" s="46">
        <f t="shared" si="28"/>
        <v>170000</v>
      </c>
      <c r="J214" s="46" t="s">
        <v>374</v>
      </c>
      <c r="K214" s="46"/>
      <c r="L214" s="46" t="s">
        <v>482</v>
      </c>
      <c r="M214" s="47">
        <v>25501563</v>
      </c>
      <c r="N214" s="48" t="s">
        <v>210</v>
      </c>
      <c r="O214" s="49">
        <v>46006</v>
      </c>
      <c r="P214" s="50">
        <v>6</v>
      </c>
      <c r="Q214" s="49">
        <v>46037</v>
      </c>
      <c r="R214" s="47" t="s">
        <v>463</v>
      </c>
      <c r="S214" s="51">
        <v>46046</v>
      </c>
      <c r="T214" s="47">
        <v>1</v>
      </c>
      <c r="U214" s="47">
        <v>1</v>
      </c>
      <c r="V214" s="47">
        <v>3</v>
      </c>
      <c r="W214" s="51">
        <f t="shared" si="29"/>
        <v>46051</v>
      </c>
      <c r="X214" s="60"/>
    </row>
    <row r="215" spans="1:24" hidden="1">
      <c r="A215" s="46" t="s">
        <v>351</v>
      </c>
      <c r="B215" s="46" t="s">
        <v>457</v>
      </c>
      <c r="C215" s="47" t="s">
        <v>124</v>
      </c>
      <c r="D215" s="47" t="s">
        <v>124</v>
      </c>
      <c r="E215" s="47">
        <v>50082375</v>
      </c>
      <c r="F215" s="47" t="s">
        <v>214</v>
      </c>
      <c r="G215" s="46">
        <v>300000</v>
      </c>
      <c r="H215" s="47">
        <v>0.5</v>
      </c>
      <c r="I215" s="46">
        <f t="shared" si="28"/>
        <v>150000</v>
      </c>
      <c r="J215" s="46" t="s">
        <v>374</v>
      </c>
      <c r="K215" s="46"/>
      <c r="L215" s="46" t="s">
        <v>482</v>
      </c>
      <c r="M215" s="47">
        <v>25501563</v>
      </c>
      <c r="N215" s="48" t="s">
        <v>210</v>
      </c>
      <c r="O215" s="49">
        <v>46006</v>
      </c>
      <c r="P215" s="50">
        <v>7</v>
      </c>
      <c r="Q215" s="49">
        <v>46037</v>
      </c>
      <c r="R215" s="47" t="s">
        <v>463</v>
      </c>
      <c r="S215" s="51">
        <v>46046</v>
      </c>
      <c r="T215" s="47">
        <v>1</v>
      </c>
      <c r="U215" s="47">
        <v>1</v>
      </c>
      <c r="V215" s="47">
        <v>3</v>
      </c>
      <c r="W215" s="51">
        <f t="shared" si="29"/>
        <v>46051</v>
      </c>
      <c r="X215" s="60"/>
    </row>
    <row r="216" spans="1:24" hidden="1">
      <c r="A216" s="46" t="s">
        <v>351</v>
      </c>
      <c r="B216" s="46" t="s">
        <v>457</v>
      </c>
      <c r="C216" s="47" t="s">
        <v>217</v>
      </c>
      <c r="D216" s="47" t="s">
        <v>217</v>
      </c>
      <c r="E216" s="47">
        <v>50110675</v>
      </c>
      <c r="F216" s="47" t="s">
        <v>218</v>
      </c>
      <c r="G216" s="46">
        <v>30000</v>
      </c>
      <c r="H216" s="47">
        <v>1.4</v>
      </c>
      <c r="I216" s="46">
        <f t="shared" si="28"/>
        <v>42000</v>
      </c>
      <c r="J216" s="46" t="s">
        <v>374</v>
      </c>
      <c r="K216" s="46"/>
      <c r="L216" s="46"/>
      <c r="M216" s="47">
        <v>25501569</v>
      </c>
      <c r="N216" s="48">
        <v>4500087293</v>
      </c>
      <c r="O216" s="49">
        <v>46006</v>
      </c>
      <c r="P216" s="50">
        <v>1</v>
      </c>
      <c r="Q216" s="49">
        <v>46032</v>
      </c>
      <c r="R216" s="47" t="s">
        <v>462</v>
      </c>
      <c r="S216" s="52">
        <v>46032</v>
      </c>
      <c r="T216" s="47">
        <v>1</v>
      </c>
      <c r="U216" s="47">
        <v>1</v>
      </c>
      <c r="V216" s="47">
        <v>3</v>
      </c>
      <c r="W216" s="51">
        <f t="shared" si="29"/>
        <v>46037</v>
      </c>
      <c r="X216" s="60"/>
    </row>
    <row r="217" spans="1:24" hidden="1">
      <c r="A217" s="46" t="s">
        <v>351</v>
      </c>
      <c r="B217" s="46" t="s">
        <v>457</v>
      </c>
      <c r="C217" s="47" t="s">
        <v>217</v>
      </c>
      <c r="D217" s="47" t="s">
        <v>217</v>
      </c>
      <c r="E217" s="47">
        <v>50081902</v>
      </c>
      <c r="F217" s="47" t="s">
        <v>219</v>
      </c>
      <c r="G217" s="46">
        <v>30000</v>
      </c>
      <c r="H217" s="47">
        <v>0.41</v>
      </c>
      <c r="I217" s="46">
        <f t="shared" si="28"/>
        <v>12300</v>
      </c>
      <c r="J217" s="46" t="s">
        <v>374</v>
      </c>
      <c r="K217" s="46"/>
      <c r="L217" s="46"/>
      <c r="M217" s="47">
        <v>25501569</v>
      </c>
      <c r="N217" s="48">
        <v>4500087293</v>
      </c>
      <c r="O217" s="49">
        <v>46006</v>
      </c>
      <c r="P217" s="50">
        <v>2</v>
      </c>
      <c r="Q217" s="49">
        <v>46032</v>
      </c>
      <c r="R217" s="47" t="s">
        <v>463</v>
      </c>
      <c r="S217" s="52">
        <v>46032</v>
      </c>
      <c r="T217" s="47">
        <v>1</v>
      </c>
      <c r="U217" s="47">
        <v>1</v>
      </c>
      <c r="V217" s="47">
        <v>3</v>
      </c>
      <c r="W217" s="51">
        <f t="shared" si="29"/>
        <v>46037</v>
      </c>
      <c r="X217" s="60"/>
    </row>
    <row r="218" spans="1:24" hidden="1">
      <c r="A218" s="46" t="s">
        <v>351</v>
      </c>
      <c r="B218" s="46" t="s">
        <v>457</v>
      </c>
      <c r="C218" s="47" t="s">
        <v>217</v>
      </c>
      <c r="D218" s="47" t="s">
        <v>217</v>
      </c>
      <c r="E218" s="47">
        <v>50082095</v>
      </c>
      <c r="F218" s="47" t="s">
        <v>196</v>
      </c>
      <c r="G218" s="46">
        <v>30000</v>
      </c>
      <c r="H218" s="47">
        <v>0.13</v>
      </c>
      <c r="I218" s="46">
        <f t="shared" si="28"/>
        <v>3900</v>
      </c>
      <c r="J218" s="46" t="s">
        <v>374</v>
      </c>
      <c r="K218" s="46"/>
      <c r="L218" s="46"/>
      <c r="M218" s="47">
        <v>25501569</v>
      </c>
      <c r="N218" s="48">
        <v>4500087293</v>
      </c>
      <c r="O218" s="49">
        <v>46006</v>
      </c>
      <c r="P218" s="50">
        <v>3</v>
      </c>
      <c r="Q218" s="49">
        <v>46032</v>
      </c>
      <c r="R218" s="47" t="s">
        <v>463</v>
      </c>
      <c r="S218" s="52">
        <v>46032</v>
      </c>
      <c r="T218" s="47">
        <v>1</v>
      </c>
      <c r="U218" s="47">
        <v>1</v>
      </c>
      <c r="V218" s="47">
        <v>3</v>
      </c>
      <c r="W218" s="51">
        <f t="shared" si="29"/>
        <v>46037</v>
      </c>
      <c r="X218" s="60"/>
    </row>
    <row r="219" spans="1:24" hidden="1">
      <c r="A219" s="46" t="s">
        <v>349</v>
      </c>
      <c r="B219" s="46" t="s">
        <v>457</v>
      </c>
      <c r="C219" s="47" t="s">
        <v>135</v>
      </c>
      <c r="D219" s="47" t="s">
        <v>136</v>
      </c>
      <c r="E219" s="47">
        <v>50114367</v>
      </c>
      <c r="F219" s="47" t="s">
        <v>82</v>
      </c>
      <c r="G219" s="46">
        <v>59800</v>
      </c>
      <c r="H219" s="47">
        <v>3.1</v>
      </c>
      <c r="I219" s="46">
        <f t="shared" si="28"/>
        <v>185380</v>
      </c>
      <c r="J219" s="46" t="s">
        <v>374</v>
      </c>
      <c r="K219" s="46"/>
      <c r="L219" s="46"/>
      <c r="M219" s="47">
        <v>25501570</v>
      </c>
      <c r="N219" s="48">
        <v>4100014373</v>
      </c>
      <c r="O219" s="49">
        <v>46006</v>
      </c>
      <c r="P219" s="50">
        <v>1</v>
      </c>
      <c r="Q219" s="49">
        <v>46099</v>
      </c>
      <c r="R219" s="47" t="s">
        <v>463</v>
      </c>
      <c r="S219" s="51">
        <v>46030</v>
      </c>
      <c r="T219" s="47">
        <v>1</v>
      </c>
      <c r="U219" s="47">
        <v>1</v>
      </c>
      <c r="V219" s="47">
        <v>3</v>
      </c>
      <c r="W219" s="51">
        <f t="shared" si="29"/>
        <v>46035</v>
      </c>
      <c r="X219" s="60"/>
    </row>
    <row r="220" spans="1:24" hidden="1">
      <c r="A220" s="46" t="s">
        <v>349</v>
      </c>
      <c r="B220" s="46" t="s">
        <v>457</v>
      </c>
      <c r="C220" s="47" t="s">
        <v>135</v>
      </c>
      <c r="D220" s="47" t="s">
        <v>136</v>
      </c>
      <c r="E220" s="47">
        <v>50114367</v>
      </c>
      <c r="F220" s="47" t="s">
        <v>82</v>
      </c>
      <c r="G220" s="46">
        <v>200</v>
      </c>
      <c r="H220" s="47">
        <v>3.1</v>
      </c>
      <c r="I220" s="46">
        <f t="shared" si="28"/>
        <v>620</v>
      </c>
      <c r="J220" s="46" t="s">
        <v>374</v>
      </c>
      <c r="K220" s="46"/>
      <c r="L220" s="46"/>
      <c r="M220" s="47">
        <v>25501570</v>
      </c>
      <c r="N220" s="48">
        <v>4100014373</v>
      </c>
      <c r="O220" s="49">
        <v>46006</v>
      </c>
      <c r="P220" s="50">
        <v>2</v>
      </c>
      <c r="Q220" s="49">
        <v>46099</v>
      </c>
      <c r="R220" s="47" t="s">
        <v>463</v>
      </c>
      <c r="S220" s="51">
        <v>46030</v>
      </c>
      <c r="T220" s="47">
        <v>1</v>
      </c>
      <c r="U220" s="47">
        <v>1</v>
      </c>
      <c r="V220" s="47">
        <v>3</v>
      </c>
      <c r="W220" s="51">
        <f t="shared" si="29"/>
        <v>46035</v>
      </c>
      <c r="X220" s="60"/>
    </row>
    <row r="221" spans="1:24" hidden="1">
      <c r="A221" s="46" t="s">
        <v>349</v>
      </c>
      <c r="B221" s="46" t="s">
        <v>457</v>
      </c>
      <c r="C221" s="47" t="s">
        <v>135</v>
      </c>
      <c r="D221" s="47" t="s">
        <v>136</v>
      </c>
      <c r="E221" s="47">
        <v>50081723</v>
      </c>
      <c r="F221" s="47" t="s">
        <v>55</v>
      </c>
      <c r="G221" s="46">
        <v>100000</v>
      </c>
      <c r="H221" s="47">
        <v>0.96</v>
      </c>
      <c r="I221" s="46">
        <f t="shared" si="28"/>
        <v>96000</v>
      </c>
      <c r="J221" s="46" t="s">
        <v>374</v>
      </c>
      <c r="K221" s="46"/>
      <c r="L221" s="46"/>
      <c r="M221" s="47">
        <v>25501570</v>
      </c>
      <c r="N221" s="48">
        <v>4100014373</v>
      </c>
      <c r="O221" s="49">
        <v>46006</v>
      </c>
      <c r="P221" s="50">
        <v>3</v>
      </c>
      <c r="Q221" s="49">
        <v>46099</v>
      </c>
      <c r="R221" s="47" t="s">
        <v>463</v>
      </c>
      <c r="S221" s="51">
        <v>46030</v>
      </c>
      <c r="T221" s="47">
        <v>1</v>
      </c>
      <c r="U221" s="47">
        <v>1</v>
      </c>
      <c r="V221" s="47">
        <v>3</v>
      </c>
      <c r="W221" s="51">
        <f t="shared" si="29"/>
        <v>46035</v>
      </c>
      <c r="X221" s="60"/>
    </row>
    <row r="222" spans="1:24" hidden="1">
      <c r="A222" s="46" t="s">
        <v>349</v>
      </c>
      <c r="B222" s="46" t="s">
        <v>457</v>
      </c>
      <c r="C222" s="47" t="s">
        <v>135</v>
      </c>
      <c r="D222" s="47" t="s">
        <v>136</v>
      </c>
      <c r="E222" s="47">
        <v>50081723</v>
      </c>
      <c r="F222" s="47" t="s">
        <v>55</v>
      </c>
      <c r="G222" s="46">
        <v>200</v>
      </c>
      <c r="H222" s="47">
        <v>0.96</v>
      </c>
      <c r="I222" s="46">
        <f t="shared" si="28"/>
        <v>192</v>
      </c>
      <c r="J222" s="46" t="s">
        <v>374</v>
      </c>
      <c r="K222" s="46"/>
      <c r="L222" s="46"/>
      <c r="M222" s="47">
        <v>25501570</v>
      </c>
      <c r="N222" s="48">
        <v>4100014373</v>
      </c>
      <c r="O222" s="49">
        <v>46006</v>
      </c>
      <c r="P222" s="50">
        <v>4</v>
      </c>
      <c r="Q222" s="49">
        <v>46099</v>
      </c>
      <c r="R222" s="47" t="s">
        <v>463</v>
      </c>
      <c r="S222" s="51">
        <v>46030</v>
      </c>
      <c r="T222" s="47">
        <v>1</v>
      </c>
      <c r="U222" s="47">
        <v>1</v>
      </c>
      <c r="V222" s="47">
        <v>3</v>
      </c>
      <c r="W222" s="51">
        <f t="shared" si="29"/>
        <v>46035</v>
      </c>
      <c r="X222" s="60"/>
    </row>
    <row r="223" spans="1:24" hidden="1">
      <c r="A223" s="46" t="s">
        <v>346</v>
      </c>
      <c r="B223" s="46" t="s">
        <v>455</v>
      </c>
      <c r="C223" s="47" t="s">
        <v>97</v>
      </c>
      <c r="D223" s="47" t="s">
        <v>97</v>
      </c>
      <c r="E223" s="47">
        <v>50113556</v>
      </c>
      <c r="F223" s="47" t="s">
        <v>220</v>
      </c>
      <c r="G223" s="46">
        <v>10000</v>
      </c>
      <c r="H223" s="47">
        <v>3.45</v>
      </c>
      <c r="I223" s="46">
        <f t="shared" si="28"/>
        <v>34500</v>
      </c>
      <c r="J223" s="46" t="s">
        <v>374</v>
      </c>
      <c r="K223" s="46"/>
      <c r="L223" s="46"/>
      <c r="M223" s="47">
        <v>25501571</v>
      </c>
      <c r="N223" s="48">
        <v>4242501790</v>
      </c>
      <c r="O223" s="49">
        <v>46006</v>
      </c>
      <c r="P223" s="50">
        <v>1</v>
      </c>
      <c r="Q223" s="49">
        <v>46037</v>
      </c>
      <c r="R223" s="47" t="s">
        <v>463</v>
      </c>
      <c r="S223" s="51">
        <v>46024</v>
      </c>
      <c r="T223" s="47">
        <v>1</v>
      </c>
      <c r="U223" s="47">
        <v>1</v>
      </c>
      <c r="V223" s="47">
        <v>3</v>
      </c>
      <c r="W223" s="52">
        <f t="shared" si="29"/>
        <v>46029</v>
      </c>
      <c r="X223" s="59"/>
    </row>
    <row r="224" spans="1:24" hidden="1">
      <c r="A224" s="46" t="s">
        <v>346</v>
      </c>
      <c r="B224" s="46" t="s">
        <v>455</v>
      </c>
      <c r="C224" s="47" t="s">
        <v>97</v>
      </c>
      <c r="D224" s="47" t="s">
        <v>97</v>
      </c>
      <c r="E224" s="47">
        <v>50105704</v>
      </c>
      <c r="F224" s="47" t="s">
        <v>177</v>
      </c>
      <c r="G224" s="46">
        <v>5000</v>
      </c>
      <c r="H224" s="47">
        <v>1.61</v>
      </c>
      <c r="I224" s="46">
        <f t="shared" si="28"/>
        <v>8050.0000000000009</v>
      </c>
      <c r="J224" s="46" t="s">
        <v>374</v>
      </c>
      <c r="K224" s="46"/>
      <c r="L224" s="46"/>
      <c r="M224" s="47">
        <v>25501571</v>
      </c>
      <c r="N224" s="48">
        <v>4242501790</v>
      </c>
      <c r="O224" s="49">
        <v>46006</v>
      </c>
      <c r="P224" s="50">
        <v>2</v>
      </c>
      <c r="Q224" s="49">
        <v>46037</v>
      </c>
      <c r="R224" s="47" t="s">
        <v>463</v>
      </c>
      <c r="S224" s="51">
        <v>46024</v>
      </c>
      <c r="T224" s="47">
        <v>1</v>
      </c>
      <c r="U224" s="47">
        <v>1</v>
      </c>
      <c r="V224" s="47">
        <v>3</v>
      </c>
      <c r="W224" s="52">
        <f t="shared" si="29"/>
        <v>46029</v>
      </c>
      <c r="X224" s="59"/>
    </row>
    <row r="225" spans="1:24" hidden="1">
      <c r="A225" s="46" t="s">
        <v>346</v>
      </c>
      <c r="B225" s="46" t="s">
        <v>455</v>
      </c>
      <c r="C225" s="47" t="s">
        <v>97</v>
      </c>
      <c r="D225" s="47" t="s">
        <v>97</v>
      </c>
      <c r="E225" s="47">
        <v>50091632</v>
      </c>
      <c r="F225" s="47" t="s">
        <v>221</v>
      </c>
      <c r="G225" s="46">
        <v>135000</v>
      </c>
      <c r="H225" s="47">
        <v>3.63</v>
      </c>
      <c r="I225" s="46">
        <f t="shared" si="28"/>
        <v>490050</v>
      </c>
      <c r="J225" s="46" t="s">
        <v>374</v>
      </c>
      <c r="K225" s="46"/>
      <c r="L225" s="46" t="s">
        <v>482</v>
      </c>
      <c r="M225" s="47">
        <v>25501572</v>
      </c>
      <c r="N225" s="48">
        <v>4142510363</v>
      </c>
      <c r="O225" s="49">
        <v>46006</v>
      </c>
      <c r="P225" s="50">
        <v>1</v>
      </c>
      <c r="Q225" s="49">
        <v>46037</v>
      </c>
      <c r="R225" s="47" t="s">
        <v>462</v>
      </c>
      <c r="S225" s="51">
        <v>42373</v>
      </c>
      <c r="T225" s="47">
        <v>1</v>
      </c>
      <c r="U225" s="47">
        <v>1</v>
      </c>
      <c r="V225" s="47">
        <v>3</v>
      </c>
      <c r="W225" s="52">
        <f t="shared" si="29"/>
        <v>42378</v>
      </c>
      <c r="X225" s="59"/>
    </row>
    <row r="226" spans="1:24" hidden="1">
      <c r="A226" s="46" t="s">
        <v>346</v>
      </c>
      <c r="B226" s="46" t="s">
        <v>455</v>
      </c>
      <c r="C226" s="47" t="s">
        <v>97</v>
      </c>
      <c r="D226" s="47" t="s">
        <v>97</v>
      </c>
      <c r="E226" s="47">
        <v>50113739</v>
      </c>
      <c r="F226" s="47" t="s">
        <v>162</v>
      </c>
      <c r="G226" s="46">
        <v>350000</v>
      </c>
      <c r="H226" s="47">
        <v>1.86</v>
      </c>
      <c r="I226" s="46">
        <f t="shared" si="28"/>
        <v>651000</v>
      </c>
      <c r="J226" s="46" t="s">
        <v>374</v>
      </c>
      <c r="K226" s="46"/>
      <c r="L226" s="46"/>
      <c r="M226" s="47">
        <v>25501572</v>
      </c>
      <c r="N226" s="48">
        <v>4142510363</v>
      </c>
      <c r="O226" s="49">
        <v>46006</v>
      </c>
      <c r="P226" s="50">
        <v>2</v>
      </c>
      <c r="Q226" s="49">
        <v>46037</v>
      </c>
      <c r="R226" s="47" t="s">
        <v>463</v>
      </c>
      <c r="S226" s="51">
        <v>42373</v>
      </c>
      <c r="T226" s="47">
        <v>1</v>
      </c>
      <c r="U226" s="47">
        <v>1</v>
      </c>
      <c r="V226" s="47">
        <v>3</v>
      </c>
      <c r="W226" s="52">
        <f t="shared" si="29"/>
        <v>42378</v>
      </c>
      <c r="X226" s="59"/>
    </row>
    <row r="227" spans="1:24" hidden="1">
      <c r="A227" s="46" t="s">
        <v>346</v>
      </c>
      <c r="B227" s="46" t="s">
        <v>455</v>
      </c>
      <c r="C227" s="47" t="s">
        <v>97</v>
      </c>
      <c r="D227" s="47" t="s">
        <v>97</v>
      </c>
      <c r="E227" s="47">
        <v>50101370</v>
      </c>
      <c r="F227" s="47" t="s">
        <v>222</v>
      </c>
      <c r="G227" s="46">
        <v>300000</v>
      </c>
      <c r="H227" s="47">
        <v>3.73</v>
      </c>
      <c r="I227" s="46">
        <f t="shared" si="28"/>
        <v>1119000</v>
      </c>
      <c r="J227" s="46" t="s">
        <v>374</v>
      </c>
      <c r="K227" s="46"/>
      <c r="L227" s="46"/>
      <c r="M227" s="47">
        <v>25501572</v>
      </c>
      <c r="N227" s="48">
        <v>4142510363</v>
      </c>
      <c r="O227" s="49">
        <v>46006</v>
      </c>
      <c r="P227" s="50">
        <v>3</v>
      </c>
      <c r="Q227" s="49">
        <v>46037</v>
      </c>
      <c r="R227" s="47" t="s">
        <v>462</v>
      </c>
      <c r="S227" s="51">
        <v>46037</v>
      </c>
      <c r="T227" s="47">
        <v>1</v>
      </c>
      <c r="U227" s="47">
        <v>1</v>
      </c>
      <c r="V227" s="47">
        <v>3</v>
      </c>
      <c r="W227" s="52">
        <f t="shared" si="29"/>
        <v>46042</v>
      </c>
      <c r="X227" s="59"/>
    </row>
    <row r="228" spans="1:24" hidden="1">
      <c r="A228" s="46" t="s">
        <v>346</v>
      </c>
      <c r="B228" s="46" t="s">
        <v>455</v>
      </c>
      <c r="C228" s="47" t="s">
        <v>97</v>
      </c>
      <c r="D228" s="47" t="s">
        <v>97</v>
      </c>
      <c r="E228" s="47">
        <v>50091632</v>
      </c>
      <c r="F228" s="47" t="s">
        <v>221</v>
      </c>
      <c r="G228" s="46">
        <v>100000</v>
      </c>
      <c r="H228" s="47">
        <v>3.63</v>
      </c>
      <c r="I228" s="46">
        <f t="shared" si="28"/>
        <v>363000</v>
      </c>
      <c r="J228" s="46" t="s">
        <v>374</v>
      </c>
      <c r="K228" s="46"/>
      <c r="L228" s="46" t="s">
        <v>482</v>
      </c>
      <c r="M228" s="47">
        <v>25501572</v>
      </c>
      <c r="N228" s="48">
        <v>4142510363</v>
      </c>
      <c r="O228" s="49">
        <v>46006</v>
      </c>
      <c r="P228" s="50">
        <v>1</v>
      </c>
      <c r="Q228" s="49">
        <v>46037</v>
      </c>
      <c r="R228" s="47" t="s">
        <v>462</v>
      </c>
      <c r="S228" s="51">
        <v>42373</v>
      </c>
      <c r="T228" s="47">
        <v>1</v>
      </c>
      <c r="U228" s="47">
        <v>1</v>
      </c>
      <c r="V228" s="47">
        <v>3</v>
      </c>
      <c r="W228" s="52">
        <f t="shared" si="29"/>
        <v>42378</v>
      </c>
      <c r="X228" s="59"/>
    </row>
    <row r="229" spans="1:24" hidden="1">
      <c r="A229" s="46" t="s">
        <v>346</v>
      </c>
      <c r="B229" s="46" t="s">
        <v>455</v>
      </c>
      <c r="C229" s="47" t="s">
        <v>97</v>
      </c>
      <c r="D229" s="47" t="s">
        <v>97</v>
      </c>
      <c r="E229" s="47">
        <v>50113739</v>
      </c>
      <c r="F229" s="47" t="s">
        <v>162</v>
      </c>
      <c r="G229" s="46">
        <v>350000</v>
      </c>
      <c r="H229" s="47">
        <v>1.86</v>
      </c>
      <c r="I229" s="46">
        <f t="shared" si="28"/>
        <v>651000</v>
      </c>
      <c r="J229" s="46" t="s">
        <v>374</v>
      </c>
      <c r="K229" s="46"/>
      <c r="L229" s="46" t="s">
        <v>482</v>
      </c>
      <c r="M229" s="47">
        <v>25501572</v>
      </c>
      <c r="N229" s="48">
        <v>4142510363</v>
      </c>
      <c r="O229" s="49">
        <v>46006</v>
      </c>
      <c r="P229" s="50">
        <v>2</v>
      </c>
      <c r="Q229" s="49">
        <v>46037</v>
      </c>
      <c r="R229" s="47" t="s">
        <v>463</v>
      </c>
      <c r="S229" s="51">
        <v>42373</v>
      </c>
      <c r="T229" s="47">
        <v>1</v>
      </c>
      <c r="U229" s="47">
        <v>1</v>
      </c>
      <c r="V229" s="47">
        <v>3</v>
      </c>
      <c r="W229" s="52">
        <f t="shared" si="29"/>
        <v>42378</v>
      </c>
      <c r="X229" s="59"/>
    </row>
    <row r="230" spans="1:24" hidden="1">
      <c r="A230" s="46" t="s">
        <v>346</v>
      </c>
      <c r="B230" s="46" t="s">
        <v>455</v>
      </c>
      <c r="C230" s="47" t="s">
        <v>97</v>
      </c>
      <c r="D230" s="47" t="s">
        <v>97</v>
      </c>
      <c r="E230" s="47">
        <v>50101370</v>
      </c>
      <c r="F230" s="47" t="s">
        <v>222</v>
      </c>
      <c r="G230" s="46">
        <v>200000</v>
      </c>
      <c r="H230" s="47">
        <v>3.73</v>
      </c>
      <c r="I230" s="46">
        <f t="shared" si="28"/>
        <v>746000</v>
      </c>
      <c r="J230" s="46" t="s">
        <v>374</v>
      </c>
      <c r="K230" s="46"/>
      <c r="L230" s="46" t="s">
        <v>482</v>
      </c>
      <c r="M230" s="47">
        <v>25501572</v>
      </c>
      <c r="N230" s="48">
        <v>4142510363</v>
      </c>
      <c r="O230" s="49">
        <v>46006</v>
      </c>
      <c r="P230" s="50">
        <v>3</v>
      </c>
      <c r="Q230" s="49">
        <v>46037</v>
      </c>
      <c r="R230" s="47" t="s">
        <v>462</v>
      </c>
      <c r="S230" s="51">
        <v>46044</v>
      </c>
      <c r="T230" s="47">
        <v>1</v>
      </c>
      <c r="U230" s="47">
        <v>1</v>
      </c>
      <c r="V230" s="47">
        <v>3</v>
      </c>
      <c r="W230" s="52">
        <f t="shared" si="29"/>
        <v>46049</v>
      </c>
      <c r="X230" s="59"/>
    </row>
    <row r="231" spans="1:24" hidden="1">
      <c r="A231" s="46" t="s">
        <v>346</v>
      </c>
      <c r="B231" s="46" t="s">
        <v>455</v>
      </c>
      <c r="C231" s="47" t="s">
        <v>97</v>
      </c>
      <c r="D231" s="47" t="s">
        <v>97</v>
      </c>
      <c r="E231" s="47">
        <v>50091632</v>
      </c>
      <c r="F231" s="47" t="s">
        <v>221</v>
      </c>
      <c r="G231" s="46">
        <v>100000</v>
      </c>
      <c r="H231" s="47">
        <v>3.63</v>
      </c>
      <c r="I231" s="46">
        <f t="shared" si="28"/>
        <v>363000</v>
      </c>
      <c r="J231" s="46" t="s">
        <v>374</v>
      </c>
      <c r="K231" s="46"/>
      <c r="L231" s="46" t="s">
        <v>482</v>
      </c>
      <c r="M231" s="47">
        <v>25501572</v>
      </c>
      <c r="N231" s="48">
        <v>4142510363</v>
      </c>
      <c r="O231" s="49">
        <v>46006</v>
      </c>
      <c r="P231" s="50">
        <v>1</v>
      </c>
      <c r="Q231" s="49">
        <v>46037</v>
      </c>
      <c r="R231" s="47" t="s">
        <v>462</v>
      </c>
      <c r="S231" s="51">
        <v>42373</v>
      </c>
      <c r="T231" s="47">
        <v>1</v>
      </c>
      <c r="U231" s="47">
        <v>1</v>
      </c>
      <c r="V231" s="47">
        <v>3</v>
      </c>
      <c r="W231" s="52">
        <f t="shared" si="29"/>
        <v>42378</v>
      </c>
      <c r="X231" s="59"/>
    </row>
    <row r="232" spans="1:24" hidden="1">
      <c r="A232" s="46" t="s">
        <v>346</v>
      </c>
      <c r="B232" s="46" t="s">
        <v>455</v>
      </c>
      <c r="C232" s="47" t="s">
        <v>97</v>
      </c>
      <c r="D232" s="47" t="s">
        <v>97</v>
      </c>
      <c r="E232" s="47">
        <v>50113739</v>
      </c>
      <c r="F232" s="47" t="s">
        <v>162</v>
      </c>
      <c r="G232" s="46">
        <v>300000</v>
      </c>
      <c r="H232" s="47">
        <v>1.86</v>
      </c>
      <c r="I232" s="46">
        <f t="shared" si="28"/>
        <v>558000</v>
      </c>
      <c r="J232" s="46" t="s">
        <v>374</v>
      </c>
      <c r="K232" s="46"/>
      <c r="L232" s="46"/>
      <c r="M232" s="47">
        <v>25501572</v>
      </c>
      <c r="N232" s="48">
        <v>4142510363</v>
      </c>
      <c r="O232" s="49">
        <v>46006</v>
      </c>
      <c r="P232" s="50">
        <v>2</v>
      </c>
      <c r="Q232" s="49">
        <v>46037</v>
      </c>
      <c r="R232" s="47" t="s">
        <v>463</v>
      </c>
      <c r="S232" s="51">
        <v>42373</v>
      </c>
      <c r="T232" s="47">
        <v>1</v>
      </c>
      <c r="U232" s="47">
        <v>1</v>
      </c>
      <c r="V232" s="47">
        <v>3</v>
      </c>
      <c r="W232" s="52">
        <f t="shared" si="29"/>
        <v>42378</v>
      </c>
      <c r="X232" s="59"/>
    </row>
    <row r="233" spans="1:24" hidden="1">
      <c r="A233" s="46" t="s">
        <v>346</v>
      </c>
      <c r="B233" s="46" t="s">
        <v>455</v>
      </c>
      <c r="C233" s="47" t="s">
        <v>97</v>
      </c>
      <c r="D233" s="47" t="s">
        <v>97</v>
      </c>
      <c r="E233" s="47">
        <v>50101370</v>
      </c>
      <c r="F233" s="47" t="s">
        <v>222</v>
      </c>
      <c r="G233" s="46">
        <v>240000</v>
      </c>
      <c r="H233" s="47">
        <v>3.73</v>
      </c>
      <c r="I233" s="46">
        <f t="shared" si="28"/>
        <v>895200</v>
      </c>
      <c r="J233" s="46" t="s">
        <v>467</v>
      </c>
      <c r="K233" s="46"/>
      <c r="L233" s="46"/>
      <c r="M233" s="47">
        <v>25501572</v>
      </c>
      <c r="N233" s="48">
        <v>4142510363</v>
      </c>
      <c r="O233" s="49">
        <v>46006</v>
      </c>
      <c r="P233" s="50">
        <v>3</v>
      </c>
      <c r="Q233" s="49">
        <v>46037</v>
      </c>
      <c r="R233" s="47"/>
      <c r="S233" s="47"/>
      <c r="T233" s="47"/>
      <c r="U233" s="47"/>
      <c r="V233" s="47"/>
      <c r="W233" s="47"/>
    </row>
    <row r="234" spans="1:24" hidden="1">
      <c r="A234" s="46" t="s">
        <v>346</v>
      </c>
      <c r="B234" s="46" t="s">
        <v>457</v>
      </c>
      <c r="C234" s="47" t="s">
        <v>223</v>
      </c>
      <c r="D234" s="47" t="s">
        <v>223</v>
      </c>
      <c r="E234" s="47">
        <v>50093242</v>
      </c>
      <c r="F234" s="47" t="s">
        <v>224</v>
      </c>
      <c r="G234" s="46">
        <v>400000</v>
      </c>
      <c r="H234" s="47">
        <v>3.52</v>
      </c>
      <c r="I234" s="46">
        <f t="shared" si="28"/>
        <v>1408000</v>
      </c>
      <c r="J234" s="46"/>
      <c r="K234" s="46"/>
      <c r="L234" s="46"/>
      <c r="M234" s="47">
        <v>25501575</v>
      </c>
      <c r="N234" s="48">
        <v>4500087088</v>
      </c>
      <c r="O234" s="49">
        <v>46007</v>
      </c>
      <c r="P234" s="50">
        <v>1</v>
      </c>
      <c r="Q234" s="49">
        <v>46054</v>
      </c>
      <c r="R234" s="47" t="s">
        <v>462</v>
      </c>
      <c r="S234" s="51"/>
      <c r="T234" s="47">
        <v>1</v>
      </c>
      <c r="U234" s="47">
        <v>1</v>
      </c>
      <c r="V234" s="47">
        <v>3</v>
      </c>
      <c r="W234" s="52">
        <f t="shared" ref="W234:W256" si="30">S234+T234+U234+V234</f>
        <v>5</v>
      </c>
      <c r="X234" s="59"/>
    </row>
    <row r="235" spans="1:24" hidden="1">
      <c r="A235" s="46" t="s">
        <v>346</v>
      </c>
      <c r="B235" s="46" t="s">
        <v>457</v>
      </c>
      <c r="C235" s="47" t="s">
        <v>223</v>
      </c>
      <c r="D235" s="47" t="s">
        <v>223</v>
      </c>
      <c r="E235" s="47">
        <v>50096946</v>
      </c>
      <c r="F235" s="47" t="s">
        <v>225</v>
      </c>
      <c r="G235" s="46">
        <v>180000</v>
      </c>
      <c r="H235" s="47">
        <v>4.1399999999999997</v>
      </c>
      <c r="I235" s="46">
        <f t="shared" si="28"/>
        <v>745200</v>
      </c>
      <c r="J235" s="46"/>
      <c r="K235" s="46"/>
      <c r="L235" s="46"/>
      <c r="M235" s="47">
        <v>25501575</v>
      </c>
      <c r="N235" s="48">
        <v>4500087088</v>
      </c>
      <c r="O235" s="49">
        <v>46007</v>
      </c>
      <c r="P235" s="50">
        <v>2</v>
      </c>
      <c r="Q235" s="49">
        <v>46054</v>
      </c>
      <c r="R235" s="47" t="s">
        <v>462</v>
      </c>
      <c r="S235" s="47"/>
      <c r="T235" s="47">
        <v>1</v>
      </c>
      <c r="U235" s="47">
        <v>1</v>
      </c>
      <c r="V235" s="47">
        <v>3</v>
      </c>
      <c r="W235" s="52">
        <f t="shared" si="30"/>
        <v>5</v>
      </c>
      <c r="X235" s="59"/>
    </row>
    <row r="236" spans="1:24" hidden="1">
      <c r="A236" s="46" t="s">
        <v>346</v>
      </c>
      <c r="B236" s="46" t="s">
        <v>457</v>
      </c>
      <c r="C236" s="47" t="s">
        <v>223</v>
      </c>
      <c r="D236" s="47" t="s">
        <v>223</v>
      </c>
      <c r="E236" s="47">
        <v>50106297</v>
      </c>
      <c r="F236" s="47" t="s">
        <v>226</v>
      </c>
      <c r="G236" s="46">
        <v>540000</v>
      </c>
      <c r="H236" s="47">
        <v>1.86</v>
      </c>
      <c r="I236" s="46">
        <f t="shared" si="28"/>
        <v>1004400</v>
      </c>
      <c r="J236" s="46"/>
      <c r="K236" s="46"/>
      <c r="L236" s="46"/>
      <c r="M236" s="47">
        <v>25501575</v>
      </c>
      <c r="N236" s="48">
        <v>4500087088</v>
      </c>
      <c r="O236" s="49">
        <v>46007</v>
      </c>
      <c r="P236" s="50">
        <v>3</v>
      </c>
      <c r="Q236" s="49">
        <v>46054</v>
      </c>
      <c r="R236" s="47" t="s">
        <v>462</v>
      </c>
      <c r="S236" s="47"/>
      <c r="T236" s="47">
        <v>1</v>
      </c>
      <c r="U236" s="47">
        <v>1</v>
      </c>
      <c r="V236" s="47">
        <v>3</v>
      </c>
      <c r="W236" s="52">
        <f t="shared" si="30"/>
        <v>5</v>
      </c>
      <c r="X236" s="59"/>
    </row>
    <row r="237" spans="1:24" hidden="1">
      <c r="A237" s="46" t="s">
        <v>346</v>
      </c>
      <c r="B237" s="46" t="s">
        <v>457</v>
      </c>
      <c r="C237" s="47" t="s">
        <v>223</v>
      </c>
      <c r="D237" s="47" t="s">
        <v>223</v>
      </c>
      <c r="E237" s="47">
        <v>50081841</v>
      </c>
      <c r="F237" s="47" t="s">
        <v>11</v>
      </c>
      <c r="G237" s="46">
        <v>540000</v>
      </c>
      <c r="H237" s="47">
        <v>1.39</v>
      </c>
      <c r="I237" s="46">
        <f t="shared" si="28"/>
        <v>750600</v>
      </c>
      <c r="J237" s="46"/>
      <c r="K237" s="46"/>
      <c r="L237" s="46"/>
      <c r="M237" s="47">
        <v>25501575</v>
      </c>
      <c r="N237" s="48">
        <v>4500087088</v>
      </c>
      <c r="O237" s="49">
        <v>46007</v>
      </c>
      <c r="P237" s="50">
        <v>4</v>
      </c>
      <c r="Q237" s="49">
        <v>46054</v>
      </c>
      <c r="R237" s="47" t="s">
        <v>462</v>
      </c>
      <c r="S237" s="47"/>
      <c r="T237" s="47">
        <v>1</v>
      </c>
      <c r="U237" s="47">
        <v>1</v>
      </c>
      <c r="V237" s="47">
        <v>3</v>
      </c>
      <c r="W237" s="52">
        <f t="shared" si="30"/>
        <v>5</v>
      </c>
      <c r="X237" s="59"/>
    </row>
    <row r="238" spans="1:24" hidden="1">
      <c r="A238" s="46" t="s">
        <v>351</v>
      </c>
      <c r="B238" s="46" t="s">
        <v>456</v>
      </c>
      <c r="C238" s="47" t="s">
        <v>228</v>
      </c>
      <c r="D238" s="47" t="s">
        <v>228</v>
      </c>
      <c r="E238" s="47">
        <v>50081867</v>
      </c>
      <c r="F238" s="47" t="s">
        <v>187</v>
      </c>
      <c r="G238" s="46">
        <v>30000</v>
      </c>
      <c r="H238" s="47">
        <v>3.8</v>
      </c>
      <c r="I238" s="46">
        <f t="shared" si="28"/>
        <v>114000</v>
      </c>
      <c r="J238" s="46" t="s">
        <v>374</v>
      </c>
      <c r="K238" s="46"/>
      <c r="L238" s="46"/>
      <c r="M238" s="47">
        <v>25501577</v>
      </c>
      <c r="N238" s="48" t="s">
        <v>227</v>
      </c>
      <c r="O238" s="49">
        <v>46008</v>
      </c>
      <c r="P238" s="50">
        <v>1</v>
      </c>
      <c r="Q238" s="49">
        <v>46029</v>
      </c>
      <c r="R238" s="51" t="s">
        <v>462</v>
      </c>
      <c r="S238" s="51">
        <v>46050</v>
      </c>
      <c r="T238" s="47">
        <v>1</v>
      </c>
      <c r="U238" s="47">
        <v>1</v>
      </c>
      <c r="V238" s="47">
        <v>3</v>
      </c>
      <c r="W238" s="51">
        <f t="shared" si="30"/>
        <v>46055</v>
      </c>
      <c r="X238" s="60"/>
    </row>
    <row r="239" spans="1:24" hidden="1">
      <c r="A239" s="46" t="s">
        <v>351</v>
      </c>
      <c r="B239" s="46" t="s">
        <v>456</v>
      </c>
      <c r="C239" s="47" t="s">
        <v>228</v>
      </c>
      <c r="D239" s="47" t="s">
        <v>228</v>
      </c>
      <c r="E239" s="47">
        <v>50082012</v>
      </c>
      <c r="F239" s="47" t="s">
        <v>110</v>
      </c>
      <c r="G239" s="46">
        <v>30000</v>
      </c>
      <c r="H239" s="47">
        <v>1.39</v>
      </c>
      <c r="I239" s="46">
        <f t="shared" si="28"/>
        <v>41700</v>
      </c>
      <c r="J239" s="46" t="s">
        <v>374</v>
      </c>
      <c r="K239" s="46"/>
      <c r="L239" s="46"/>
      <c r="M239" s="47">
        <v>25501577</v>
      </c>
      <c r="N239" s="48" t="s">
        <v>227</v>
      </c>
      <c r="O239" s="49">
        <v>46008</v>
      </c>
      <c r="P239" s="50">
        <v>2</v>
      </c>
      <c r="Q239" s="49">
        <v>46029</v>
      </c>
      <c r="R239" s="51" t="s">
        <v>462</v>
      </c>
      <c r="S239" s="51">
        <v>46050</v>
      </c>
      <c r="T239" s="47">
        <v>1</v>
      </c>
      <c r="U239" s="47">
        <v>1</v>
      </c>
      <c r="V239" s="47">
        <v>3</v>
      </c>
      <c r="W239" s="51">
        <f t="shared" si="30"/>
        <v>46055</v>
      </c>
      <c r="X239" s="60"/>
    </row>
    <row r="240" spans="1:24" hidden="1">
      <c r="A240" s="46" t="s">
        <v>351</v>
      </c>
      <c r="B240" s="46" t="s">
        <v>456</v>
      </c>
      <c r="C240" s="47" t="s">
        <v>228</v>
      </c>
      <c r="D240" s="47" t="s">
        <v>228</v>
      </c>
      <c r="E240" s="47">
        <v>50082078</v>
      </c>
      <c r="F240" s="47" t="s">
        <v>118</v>
      </c>
      <c r="G240" s="46">
        <v>30000</v>
      </c>
      <c r="H240" s="47">
        <v>0.7</v>
      </c>
      <c r="I240" s="46">
        <f t="shared" si="28"/>
        <v>21000</v>
      </c>
      <c r="J240" s="46" t="s">
        <v>374</v>
      </c>
      <c r="K240" s="46"/>
      <c r="L240" s="46"/>
      <c r="M240" s="47">
        <v>25501577</v>
      </c>
      <c r="N240" s="48" t="s">
        <v>227</v>
      </c>
      <c r="O240" s="49">
        <v>46008</v>
      </c>
      <c r="P240" s="50">
        <v>3</v>
      </c>
      <c r="Q240" s="49">
        <v>46029</v>
      </c>
      <c r="R240" s="51" t="s">
        <v>462</v>
      </c>
      <c r="S240" s="51">
        <v>46050</v>
      </c>
      <c r="T240" s="47">
        <v>1</v>
      </c>
      <c r="U240" s="47">
        <v>1</v>
      </c>
      <c r="V240" s="47">
        <v>3</v>
      </c>
      <c r="W240" s="51">
        <f t="shared" si="30"/>
        <v>46055</v>
      </c>
      <c r="X240" s="60"/>
    </row>
    <row r="241" spans="1:24" hidden="1">
      <c r="A241" s="46" t="s">
        <v>351</v>
      </c>
      <c r="B241" s="46" t="s">
        <v>456</v>
      </c>
      <c r="C241" s="47" t="s">
        <v>228</v>
      </c>
      <c r="D241" s="47" t="s">
        <v>228</v>
      </c>
      <c r="E241" s="47">
        <v>50099313</v>
      </c>
      <c r="F241" s="47" t="s">
        <v>208</v>
      </c>
      <c r="G241" s="46">
        <v>30000</v>
      </c>
      <c r="H241" s="47">
        <v>4.04</v>
      </c>
      <c r="I241" s="46">
        <f t="shared" si="28"/>
        <v>121200</v>
      </c>
      <c r="J241" s="46" t="s">
        <v>374</v>
      </c>
      <c r="K241" s="46"/>
      <c r="L241" s="46"/>
      <c r="M241" s="47">
        <v>25501577</v>
      </c>
      <c r="N241" s="48" t="s">
        <v>227</v>
      </c>
      <c r="O241" s="49">
        <v>46008</v>
      </c>
      <c r="P241" s="50">
        <v>4</v>
      </c>
      <c r="Q241" s="49">
        <v>46039</v>
      </c>
      <c r="R241" s="51" t="s">
        <v>462</v>
      </c>
      <c r="S241" s="51">
        <v>46041</v>
      </c>
      <c r="T241" s="47">
        <v>1</v>
      </c>
      <c r="U241" s="47">
        <v>1</v>
      </c>
      <c r="V241" s="47">
        <v>3</v>
      </c>
      <c r="W241" s="51">
        <f t="shared" si="30"/>
        <v>46046</v>
      </c>
      <c r="X241" s="60"/>
    </row>
    <row r="242" spans="1:24" hidden="1">
      <c r="A242" s="46" t="s">
        <v>351</v>
      </c>
      <c r="B242" s="46" t="s">
        <v>456</v>
      </c>
      <c r="C242" s="47" t="s">
        <v>228</v>
      </c>
      <c r="D242" s="47" t="s">
        <v>228</v>
      </c>
      <c r="E242" s="47">
        <v>50081931</v>
      </c>
      <c r="F242" s="47" t="s">
        <v>209</v>
      </c>
      <c r="G242" s="46">
        <v>30000</v>
      </c>
      <c r="H242" s="47">
        <v>1.37</v>
      </c>
      <c r="I242" s="46">
        <f t="shared" si="28"/>
        <v>41100</v>
      </c>
      <c r="J242" s="46" t="s">
        <v>374</v>
      </c>
      <c r="K242" s="46"/>
      <c r="L242" s="46"/>
      <c r="M242" s="47">
        <v>25501577</v>
      </c>
      <c r="N242" s="48" t="s">
        <v>227</v>
      </c>
      <c r="O242" s="49">
        <v>46008</v>
      </c>
      <c r="P242" s="50">
        <v>5</v>
      </c>
      <c r="Q242" s="49">
        <v>46039</v>
      </c>
      <c r="R242" s="51" t="s">
        <v>462</v>
      </c>
      <c r="S242" s="51">
        <v>46041</v>
      </c>
      <c r="T242" s="47">
        <v>1</v>
      </c>
      <c r="U242" s="47">
        <v>1</v>
      </c>
      <c r="V242" s="47">
        <v>3</v>
      </c>
      <c r="W242" s="51">
        <f t="shared" si="30"/>
        <v>46046</v>
      </c>
      <c r="X242" s="60"/>
    </row>
    <row r="243" spans="1:24" hidden="1">
      <c r="A243" s="46" t="s">
        <v>351</v>
      </c>
      <c r="B243" s="46" t="s">
        <v>456</v>
      </c>
      <c r="C243" s="47" t="s">
        <v>228</v>
      </c>
      <c r="D243" s="47" t="s">
        <v>228</v>
      </c>
      <c r="E243" s="47">
        <v>50082005</v>
      </c>
      <c r="F243" s="47" t="s">
        <v>229</v>
      </c>
      <c r="G243" s="46">
        <v>30000</v>
      </c>
      <c r="H243" s="47">
        <v>0.69</v>
      </c>
      <c r="I243" s="46">
        <f t="shared" si="28"/>
        <v>20700</v>
      </c>
      <c r="J243" s="46" t="s">
        <v>374</v>
      </c>
      <c r="K243" s="46"/>
      <c r="L243" s="46"/>
      <c r="M243" s="47">
        <v>25501577</v>
      </c>
      <c r="N243" s="48" t="s">
        <v>227</v>
      </c>
      <c r="O243" s="49">
        <v>46008</v>
      </c>
      <c r="P243" s="50">
        <v>6</v>
      </c>
      <c r="Q243" s="49">
        <v>46039</v>
      </c>
      <c r="R243" s="51" t="s">
        <v>462</v>
      </c>
      <c r="S243" s="51">
        <v>46041</v>
      </c>
      <c r="T243" s="47">
        <v>1</v>
      </c>
      <c r="U243" s="47">
        <v>1</v>
      </c>
      <c r="V243" s="47">
        <v>3</v>
      </c>
      <c r="W243" s="51">
        <f t="shared" si="30"/>
        <v>46046</v>
      </c>
      <c r="X243" s="60"/>
    </row>
    <row r="244" spans="1:24" hidden="1">
      <c r="A244" s="46" t="s">
        <v>349</v>
      </c>
      <c r="B244" s="46" t="s">
        <v>457</v>
      </c>
      <c r="C244" s="47" t="s">
        <v>231</v>
      </c>
      <c r="D244" s="47" t="s">
        <v>231</v>
      </c>
      <c r="E244" s="47">
        <v>50114364</v>
      </c>
      <c r="F244" s="47" t="s">
        <v>143</v>
      </c>
      <c r="G244" s="46">
        <v>60000</v>
      </c>
      <c r="H244" s="47">
        <v>2.88</v>
      </c>
      <c r="I244" s="46">
        <f t="shared" si="28"/>
        <v>172800</v>
      </c>
      <c r="J244" s="46" t="s">
        <v>374</v>
      </c>
      <c r="K244" s="46"/>
      <c r="L244" s="46" t="s">
        <v>482</v>
      </c>
      <c r="M244" s="47">
        <v>25501578</v>
      </c>
      <c r="N244" s="48" t="s">
        <v>230</v>
      </c>
      <c r="O244" s="49">
        <v>46008</v>
      </c>
      <c r="P244" s="50">
        <v>1</v>
      </c>
      <c r="Q244" s="49">
        <v>46039</v>
      </c>
      <c r="R244" s="47" t="s">
        <v>462</v>
      </c>
      <c r="S244" s="51">
        <v>46029</v>
      </c>
      <c r="T244" s="47">
        <v>1</v>
      </c>
      <c r="U244" s="47">
        <v>1</v>
      </c>
      <c r="V244" s="47">
        <v>3</v>
      </c>
      <c r="W244" s="51">
        <f t="shared" si="30"/>
        <v>46034</v>
      </c>
      <c r="X244" s="60"/>
    </row>
    <row r="245" spans="1:24" hidden="1">
      <c r="A245" s="46" t="s">
        <v>349</v>
      </c>
      <c r="B245" s="46" t="s">
        <v>457</v>
      </c>
      <c r="C245" s="47" t="s">
        <v>231</v>
      </c>
      <c r="D245" s="47" t="s">
        <v>231</v>
      </c>
      <c r="E245" s="47">
        <v>50081723</v>
      </c>
      <c r="F245" s="47" t="s">
        <v>55</v>
      </c>
      <c r="G245" s="46">
        <v>60000</v>
      </c>
      <c r="H245" s="47">
        <v>1.85</v>
      </c>
      <c r="I245" s="46">
        <f t="shared" si="28"/>
        <v>111000</v>
      </c>
      <c r="J245" s="46" t="s">
        <v>374</v>
      </c>
      <c r="K245" s="46"/>
      <c r="L245" s="46" t="s">
        <v>482</v>
      </c>
      <c r="M245" s="47">
        <v>25501578</v>
      </c>
      <c r="N245" s="48" t="s">
        <v>230</v>
      </c>
      <c r="O245" s="49">
        <v>46008</v>
      </c>
      <c r="P245" s="50">
        <v>2</v>
      </c>
      <c r="Q245" s="49">
        <v>46039</v>
      </c>
      <c r="R245" s="47" t="s">
        <v>463</v>
      </c>
      <c r="S245" s="51">
        <v>46029</v>
      </c>
      <c r="T245" s="47">
        <v>1</v>
      </c>
      <c r="U245" s="47">
        <v>1</v>
      </c>
      <c r="V245" s="47">
        <v>3</v>
      </c>
      <c r="W245" s="51">
        <f t="shared" si="30"/>
        <v>46034</v>
      </c>
      <c r="X245" s="60"/>
    </row>
    <row r="246" spans="1:24" hidden="1">
      <c r="A246" s="46" t="s">
        <v>349</v>
      </c>
      <c r="B246" s="46" t="s">
        <v>457</v>
      </c>
      <c r="C246" s="47" t="s">
        <v>231</v>
      </c>
      <c r="D246" s="47" t="s">
        <v>231</v>
      </c>
      <c r="E246" s="47">
        <v>50113649</v>
      </c>
      <c r="F246" s="47" t="s">
        <v>56</v>
      </c>
      <c r="G246" s="46">
        <v>60000</v>
      </c>
      <c r="H246" s="47">
        <v>1.3</v>
      </c>
      <c r="I246" s="46">
        <f t="shared" si="28"/>
        <v>78000</v>
      </c>
      <c r="J246" s="46" t="s">
        <v>374</v>
      </c>
      <c r="K246" s="46"/>
      <c r="L246" s="46" t="s">
        <v>482</v>
      </c>
      <c r="M246" s="47">
        <v>25501578</v>
      </c>
      <c r="N246" s="48" t="s">
        <v>230</v>
      </c>
      <c r="O246" s="49">
        <v>46008</v>
      </c>
      <c r="P246" s="50">
        <v>3</v>
      </c>
      <c r="Q246" s="49">
        <v>46039</v>
      </c>
      <c r="R246" s="47" t="s">
        <v>463</v>
      </c>
      <c r="S246" s="51">
        <v>46029</v>
      </c>
      <c r="T246" s="47">
        <v>1</v>
      </c>
      <c r="U246" s="47">
        <v>1</v>
      </c>
      <c r="V246" s="47">
        <v>3</v>
      </c>
      <c r="W246" s="51">
        <f t="shared" si="30"/>
        <v>46034</v>
      </c>
      <c r="X246" s="60"/>
    </row>
    <row r="247" spans="1:24" hidden="1">
      <c r="A247" s="46" t="s">
        <v>346</v>
      </c>
      <c r="B247" s="46" t="s">
        <v>457</v>
      </c>
      <c r="C247" s="47" t="s">
        <v>1</v>
      </c>
      <c r="D247" s="47" t="s">
        <v>1</v>
      </c>
      <c r="E247" s="47">
        <v>50091673</v>
      </c>
      <c r="F247" s="47" t="s">
        <v>2</v>
      </c>
      <c r="G247" s="46">
        <v>130000</v>
      </c>
      <c r="H247" s="47">
        <v>3.29</v>
      </c>
      <c r="I247" s="46">
        <f t="shared" si="28"/>
        <v>427700</v>
      </c>
      <c r="J247" s="46" t="s">
        <v>374</v>
      </c>
      <c r="K247" s="46"/>
      <c r="L247" s="46"/>
      <c r="M247" s="47">
        <v>25501580</v>
      </c>
      <c r="N247" s="48" t="s">
        <v>232</v>
      </c>
      <c r="O247" s="49">
        <v>46008</v>
      </c>
      <c r="P247" s="50">
        <v>2</v>
      </c>
      <c r="Q247" s="49">
        <v>46021</v>
      </c>
      <c r="R247" s="47" t="s">
        <v>463</v>
      </c>
      <c r="S247" s="51">
        <v>46032</v>
      </c>
      <c r="T247" s="47">
        <v>1</v>
      </c>
      <c r="U247" s="47">
        <v>1</v>
      </c>
      <c r="V247" s="47">
        <v>3</v>
      </c>
      <c r="W247" s="52">
        <f t="shared" si="30"/>
        <v>46037</v>
      </c>
      <c r="X247" s="59"/>
    </row>
    <row r="248" spans="1:24" hidden="1">
      <c r="A248" s="46" t="s">
        <v>351</v>
      </c>
      <c r="B248" s="46" t="s">
        <v>457</v>
      </c>
      <c r="C248" s="47" t="s">
        <v>123</v>
      </c>
      <c r="D248" s="47" t="s">
        <v>234</v>
      </c>
      <c r="E248" s="47">
        <v>50081970</v>
      </c>
      <c r="F248" s="47" t="s">
        <v>107</v>
      </c>
      <c r="G248" s="46">
        <v>120000</v>
      </c>
      <c r="H248" s="47">
        <v>1.43</v>
      </c>
      <c r="I248" s="46">
        <f t="shared" si="28"/>
        <v>171600</v>
      </c>
      <c r="J248" s="46" t="s">
        <v>374</v>
      </c>
      <c r="K248" s="46"/>
      <c r="L248" s="46" t="s">
        <v>482</v>
      </c>
      <c r="M248" s="47">
        <v>25501582</v>
      </c>
      <c r="N248" s="48">
        <v>4100312969</v>
      </c>
      <c r="O248" s="49">
        <v>46008</v>
      </c>
      <c r="P248" s="50">
        <v>1</v>
      </c>
      <c r="Q248" s="49">
        <v>46023</v>
      </c>
      <c r="R248" s="47" t="s">
        <v>462</v>
      </c>
      <c r="S248" s="51">
        <v>46033</v>
      </c>
      <c r="T248" s="47">
        <v>1</v>
      </c>
      <c r="U248" s="47">
        <v>1</v>
      </c>
      <c r="V248" s="47">
        <v>3</v>
      </c>
      <c r="W248" s="51">
        <f t="shared" si="30"/>
        <v>46038</v>
      </c>
      <c r="X248" s="60"/>
    </row>
    <row r="249" spans="1:24" hidden="1">
      <c r="A249" s="46" t="s">
        <v>351</v>
      </c>
      <c r="B249" s="46" t="s">
        <v>457</v>
      </c>
      <c r="C249" s="47" t="s">
        <v>123</v>
      </c>
      <c r="D249" s="47" t="s">
        <v>234</v>
      </c>
      <c r="E249" s="47">
        <v>50081808</v>
      </c>
      <c r="F249" s="47" t="s">
        <v>23</v>
      </c>
      <c r="G249" s="46">
        <v>120000</v>
      </c>
      <c r="H249" s="47">
        <v>0.55000000000000004</v>
      </c>
      <c r="I249" s="46">
        <f t="shared" si="28"/>
        <v>66000</v>
      </c>
      <c r="J249" s="46" t="s">
        <v>374</v>
      </c>
      <c r="K249" s="46"/>
      <c r="L249" s="46" t="s">
        <v>482</v>
      </c>
      <c r="M249" s="47">
        <v>25501582</v>
      </c>
      <c r="N249" s="48">
        <v>4100312969</v>
      </c>
      <c r="O249" s="49">
        <v>46008</v>
      </c>
      <c r="P249" s="50">
        <v>2</v>
      </c>
      <c r="Q249" s="49">
        <v>46023</v>
      </c>
      <c r="R249" s="47" t="s">
        <v>462</v>
      </c>
      <c r="S249" s="51">
        <v>46033</v>
      </c>
      <c r="T249" s="47">
        <v>1</v>
      </c>
      <c r="U249" s="47">
        <v>1</v>
      </c>
      <c r="V249" s="47">
        <v>3</v>
      </c>
      <c r="W249" s="51">
        <f t="shared" si="30"/>
        <v>46038</v>
      </c>
      <c r="X249" s="60"/>
    </row>
    <row r="250" spans="1:24" hidden="1">
      <c r="A250" s="46" t="s">
        <v>351</v>
      </c>
      <c r="B250" s="46" t="s">
        <v>457</v>
      </c>
      <c r="C250" s="47" t="s">
        <v>123</v>
      </c>
      <c r="D250" s="47" t="s">
        <v>234</v>
      </c>
      <c r="E250" s="47">
        <v>50111939</v>
      </c>
      <c r="F250" s="47" t="s">
        <v>39</v>
      </c>
      <c r="G250" s="46">
        <v>120000</v>
      </c>
      <c r="H250" s="47">
        <v>0.25</v>
      </c>
      <c r="I250" s="46">
        <f t="shared" si="28"/>
        <v>30000</v>
      </c>
      <c r="J250" s="46" t="s">
        <v>374</v>
      </c>
      <c r="K250" s="46"/>
      <c r="L250" s="46" t="s">
        <v>482</v>
      </c>
      <c r="M250" s="47">
        <v>25501582</v>
      </c>
      <c r="N250" s="48">
        <v>4100312969</v>
      </c>
      <c r="O250" s="49">
        <v>46008</v>
      </c>
      <c r="P250" s="50">
        <v>3</v>
      </c>
      <c r="Q250" s="49">
        <v>46023</v>
      </c>
      <c r="R250" s="47" t="s">
        <v>463</v>
      </c>
      <c r="S250" s="51">
        <v>46033</v>
      </c>
      <c r="T250" s="47">
        <v>1</v>
      </c>
      <c r="U250" s="47">
        <v>1</v>
      </c>
      <c r="V250" s="47">
        <v>3</v>
      </c>
      <c r="W250" s="51">
        <f t="shared" si="30"/>
        <v>46038</v>
      </c>
      <c r="X250" s="60"/>
    </row>
    <row r="251" spans="1:24" hidden="1">
      <c r="A251" s="46" t="s">
        <v>351</v>
      </c>
      <c r="B251" s="46" t="s">
        <v>457</v>
      </c>
      <c r="C251" s="47" t="s">
        <v>123</v>
      </c>
      <c r="D251" s="47" t="s">
        <v>234</v>
      </c>
      <c r="E251" s="47">
        <v>50081970</v>
      </c>
      <c r="F251" s="47" t="s">
        <v>107</v>
      </c>
      <c r="G251" s="46">
        <v>60000</v>
      </c>
      <c r="H251" s="47">
        <v>1.43</v>
      </c>
      <c r="I251" s="46">
        <f t="shared" si="28"/>
        <v>85800</v>
      </c>
      <c r="J251" s="46" t="s">
        <v>374</v>
      </c>
      <c r="K251" s="46"/>
      <c r="L251" s="46"/>
      <c r="M251" s="47">
        <v>25501582</v>
      </c>
      <c r="N251" s="48">
        <v>4100312969</v>
      </c>
      <c r="O251" s="49">
        <v>46008</v>
      </c>
      <c r="P251" s="50">
        <v>4</v>
      </c>
      <c r="Q251" s="49">
        <v>46023</v>
      </c>
      <c r="R251" s="47" t="s">
        <v>462</v>
      </c>
      <c r="S251" s="51">
        <v>46037</v>
      </c>
      <c r="T251" s="47">
        <v>1</v>
      </c>
      <c r="U251" s="47">
        <v>1</v>
      </c>
      <c r="V251" s="47">
        <v>3</v>
      </c>
      <c r="W251" s="51">
        <f t="shared" si="30"/>
        <v>46042</v>
      </c>
      <c r="X251" s="60"/>
    </row>
    <row r="252" spans="1:24" hidden="1">
      <c r="A252" s="46" t="s">
        <v>351</v>
      </c>
      <c r="B252" s="46" t="s">
        <v>457</v>
      </c>
      <c r="C252" s="47" t="s">
        <v>123</v>
      </c>
      <c r="D252" s="47" t="s">
        <v>234</v>
      </c>
      <c r="E252" s="47">
        <v>50108251</v>
      </c>
      <c r="F252" s="47" t="s">
        <v>142</v>
      </c>
      <c r="G252" s="46">
        <v>60000</v>
      </c>
      <c r="H252" s="47">
        <v>0.77</v>
      </c>
      <c r="I252" s="46">
        <f t="shared" si="28"/>
        <v>46200</v>
      </c>
      <c r="J252" s="46" t="s">
        <v>374</v>
      </c>
      <c r="K252" s="46"/>
      <c r="L252" s="46"/>
      <c r="M252" s="47">
        <v>25501582</v>
      </c>
      <c r="N252" s="48">
        <v>4100312969</v>
      </c>
      <c r="O252" s="49">
        <v>46008</v>
      </c>
      <c r="P252" s="50">
        <v>5</v>
      </c>
      <c r="Q252" s="49">
        <v>46023</v>
      </c>
      <c r="R252" s="47" t="s">
        <v>462</v>
      </c>
      <c r="S252" s="51">
        <v>46037</v>
      </c>
      <c r="T252" s="47">
        <v>1</v>
      </c>
      <c r="U252" s="47">
        <v>1</v>
      </c>
      <c r="V252" s="47">
        <v>3</v>
      </c>
      <c r="W252" s="51">
        <f t="shared" si="30"/>
        <v>46042</v>
      </c>
      <c r="X252" s="60"/>
    </row>
    <row r="253" spans="1:24" hidden="1">
      <c r="A253" s="46" t="s">
        <v>351</v>
      </c>
      <c r="B253" s="46" t="s">
        <v>457</v>
      </c>
      <c r="C253" s="47" t="s">
        <v>123</v>
      </c>
      <c r="D253" s="47" t="s">
        <v>234</v>
      </c>
      <c r="E253" s="47">
        <v>50111939</v>
      </c>
      <c r="F253" s="47" t="s">
        <v>39</v>
      </c>
      <c r="G253" s="46">
        <v>60000</v>
      </c>
      <c r="H253" s="47">
        <v>0.25</v>
      </c>
      <c r="I253" s="46">
        <f t="shared" si="28"/>
        <v>15000</v>
      </c>
      <c r="J253" s="46" t="s">
        <v>374</v>
      </c>
      <c r="K253" s="46"/>
      <c r="L253" s="46"/>
      <c r="M253" s="47">
        <v>25501582</v>
      </c>
      <c r="N253" s="48">
        <v>4100312969</v>
      </c>
      <c r="O253" s="49">
        <v>46008</v>
      </c>
      <c r="P253" s="50">
        <v>6</v>
      </c>
      <c r="Q253" s="49">
        <v>46023</v>
      </c>
      <c r="R253" s="47" t="s">
        <v>462</v>
      </c>
      <c r="S253" s="51">
        <v>46037</v>
      </c>
      <c r="T253" s="47">
        <v>1</v>
      </c>
      <c r="U253" s="47">
        <v>1</v>
      </c>
      <c r="V253" s="47">
        <v>3</v>
      </c>
      <c r="W253" s="51">
        <f t="shared" si="30"/>
        <v>46042</v>
      </c>
      <c r="X253" s="60"/>
    </row>
    <row r="254" spans="1:24" hidden="1">
      <c r="A254" s="46" t="s">
        <v>351</v>
      </c>
      <c r="B254" s="46" t="s">
        <v>457</v>
      </c>
      <c r="C254" s="47" t="s">
        <v>123</v>
      </c>
      <c r="D254" s="47" t="s">
        <v>169</v>
      </c>
      <c r="E254" s="47">
        <v>50081970</v>
      </c>
      <c r="F254" s="47" t="s">
        <v>107</v>
      </c>
      <c r="G254" s="46">
        <v>60000</v>
      </c>
      <c r="H254" s="47">
        <v>1.43</v>
      </c>
      <c r="I254" s="46">
        <f t="shared" si="28"/>
        <v>85800</v>
      </c>
      <c r="J254" s="46" t="s">
        <v>374</v>
      </c>
      <c r="K254" s="46"/>
      <c r="L254" s="46"/>
      <c r="M254" s="47">
        <v>25501583</v>
      </c>
      <c r="N254" s="48">
        <v>4100312971</v>
      </c>
      <c r="O254" s="49">
        <v>46008</v>
      </c>
      <c r="P254" s="50">
        <v>1</v>
      </c>
      <c r="Q254" s="49">
        <v>46039</v>
      </c>
      <c r="R254" s="47" t="s">
        <v>462</v>
      </c>
      <c r="S254" s="51">
        <v>46037</v>
      </c>
      <c r="T254" s="47">
        <v>1</v>
      </c>
      <c r="U254" s="47">
        <v>1</v>
      </c>
      <c r="V254" s="47">
        <v>3</v>
      </c>
      <c r="W254" s="51">
        <f t="shared" si="30"/>
        <v>46042</v>
      </c>
      <c r="X254" s="60"/>
    </row>
    <row r="255" spans="1:24" hidden="1">
      <c r="A255" s="46" t="s">
        <v>351</v>
      </c>
      <c r="B255" s="46" t="s">
        <v>457</v>
      </c>
      <c r="C255" s="47" t="s">
        <v>123</v>
      </c>
      <c r="D255" s="47" t="s">
        <v>169</v>
      </c>
      <c r="E255" s="47">
        <v>50081808</v>
      </c>
      <c r="F255" s="47" t="s">
        <v>23</v>
      </c>
      <c r="G255" s="46">
        <v>60000</v>
      </c>
      <c r="H255" s="47">
        <v>0.55000000000000004</v>
      </c>
      <c r="I255" s="46">
        <f t="shared" si="28"/>
        <v>33000</v>
      </c>
      <c r="J255" s="46" t="s">
        <v>374</v>
      </c>
      <c r="K255" s="46"/>
      <c r="L255" s="46"/>
      <c r="M255" s="47">
        <v>25501583</v>
      </c>
      <c r="N255" s="48">
        <v>4100312971</v>
      </c>
      <c r="O255" s="49">
        <v>46008</v>
      </c>
      <c r="P255" s="50">
        <v>2</v>
      </c>
      <c r="Q255" s="49">
        <v>46039</v>
      </c>
      <c r="R255" s="47" t="s">
        <v>462</v>
      </c>
      <c r="S255" s="51">
        <v>46037</v>
      </c>
      <c r="T255" s="47">
        <v>1</v>
      </c>
      <c r="U255" s="47">
        <v>1</v>
      </c>
      <c r="V255" s="47">
        <v>3</v>
      </c>
      <c r="W255" s="51">
        <f t="shared" si="30"/>
        <v>46042</v>
      </c>
      <c r="X255" s="60"/>
    </row>
    <row r="256" spans="1:24" hidden="1">
      <c r="A256" s="46" t="s">
        <v>351</v>
      </c>
      <c r="B256" s="46" t="s">
        <v>457</v>
      </c>
      <c r="C256" s="47" t="s">
        <v>123</v>
      </c>
      <c r="D256" s="47" t="s">
        <v>169</v>
      </c>
      <c r="E256" s="47">
        <v>50111939</v>
      </c>
      <c r="F256" s="47" t="s">
        <v>39</v>
      </c>
      <c r="G256" s="46">
        <v>60000</v>
      </c>
      <c r="H256" s="47">
        <v>0.25</v>
      </c>
      <c r="I256" s="46">
        <f t="shared" si="28"/>
        <v>15000</v>
      </c>
      <c r="J256" s="46" t="s">
        <v>374</v>
      </c>
      <c r="K256" s="46"/>
      <c r="L256" s="46"/>
      <c r="M256" s="47">
        <v>25501583</v>
      </c>
      <c r="N256" s="48">
        <v>4100312971</v>
      </c>
      <c r="O256" s="49">
        <v>46008</v>
      </c>
      <c r="P256" s="50">
        <v>3</v>
      </c>
      <c r="Q256" s="49">
        <v>46039</v>
      </c>
      <c r="R256" s="47" t="s">
        <v>462</v>
      </c>
      <c r="S256" s="51">
        <v>46037</v>
      </c>
      <c r="T256" s="47">
        <v>1</v>
      </c>
      <c r="U256" s="47">
        <v>1</v>
      </c>
      <c r="V256" s="47">
        <v>3</v>
      </c>
      <c r="W256" s="51">
        <f t="shared" si="30"/>
        <v>46042</v>
      </c>
      <c r="X256" s="60"/>
    </row>
    <row r="257" spans="1:24" hidden="1">
      <c r="A257" s="46" t="s">
        <v>356</v>
      </c>
      <c r="B257" s="46" t="s">
        <v>458</v>
      </c>
      <c r="C257" s="47" t="s">
        <v>415</v>
      </c>
      <c r="D257" s="47" t="s">
        <v>415</v>
      </c>
      <c r="E257" s="47">
        <v>50115936</v>
      </c>
      <c r="F257" s="47" t="s">
        <v>416</v>
      </c>
      <c r="G257" s="46">
        <v>299880</v>
      </c>
      <c r="H257" s="47">
        <v>1.6</v>
      </c>
      <c r="I257" s="46">
        <f t="shared" si="28"/>
        <v>479808</v>
      </c>
      <c r="J257" s="46" t="s">
        <v>375</v>
      </c>
      <c r="K257" s="46"/>
      <c r="L257" s="46" t="s">
        <v>482</v>
      </c>
      <c r="M257" s="47"/>
      <c r="N257" s="48"/>
      <c r="O257" s="49"/>
      <c r="P257" s="50"/>
      <c r="Q257" s="49"/>
      <c r="R257" s="47"/>
      <c r="S257" s="47"/>
      <c r="T257" s="47"/>
      <c r="U257" s="47"/>
      <c r="V257" s="47"/>
      <c r="W257" s="47"/>
    </row>
    <row r="258" spans="1:24" hidden="1">
      <c r="A258" s="46" t="s">
        <v>356</v>
      </c>
      <c r="B258" s="46" t="s">
        <v>458</v>
      </c>
      <c r="C258" s="47" t="s">
        <v>415</v>
      </c>
      <c r="D258" s="47" t="s">
        <v>415</v>
      </c>
      <c r="E258" s="47">
        <v>50115936</v>
      </c>
      <c r="F258" s="47" t="s">
        <v>416</v>
      </c>
      <c r="G258" s="46">
        <v>299880</v>
      </c>
      <c r="H258" s="47">
        <v>1.6</v>
      </c>
      <c r="I258" s="46">
        <f t="shared" si="28"/>
        <v>479808</v>
      </c>
      <c r="J258" s="46" t="s">
        <v>375</v>
      </c>
      <c r="K258" s="46"/>
      <c r="L258" s="46" t="s">
        <v>482</v>
      </c>
      <c r="M258" s="47"/>
      <c r="N258" s="48"/>
      <c r="O258" s="49"/>
      <c r="P258" s="50"/>
      <c r="Q258" s="49"/>
      <c r="R258" s="47"/>
      <c r="S258" s="47"/>
      <c r="T258" s="47"/>
      <c r="U258" s="47"/>
      <c r="V258" s="47"/>
      <c r="W258" s="47"/>
    </row>
    <row r="259" spans="1:24" hidden="1">
      <c r="A259" s="46" t="s">
        <v>356</v>
      </c>
      <c r="B259" s="46" t="s">
        <v>458</v>
      </c>
      <c r="C259" s="47" t="s">
        <v>415</v>
      </c>
      <c r="D259" s="47" t="s">
        <v>415</v>
      </c>
      <c r="E259" s="47">
        <v>50115936</v>
      </c>
      <c r="F259" s="47" t="s">
        <v>416</v>
      </c>
      <c r="G259" s="46">
        <v>299880</v>
      </c>
      <c r="H259" s="47">
        <v>1.6</v>
      </c>
      <c r="I259" s="46">
        <f t="shared" si="28"/>
        <v>479808</v>
      </c>
      <c r="J259" s="46" t="s">
        <v>375</v>
      </c>
      <c r="K259" s="46"/>
      <c r="L259" s="46" t="s">
        <v>482</v>
      </c>
      <c r="M259" s="47"/>
      <c r="N259" s="48"/>
      <c r="O259" s="49"/>
      <c r="P259" s="50"/>
      <c r="Q259" s="49"/>
      <c r="R259" s="47"/>
      <c r="S259" s="47"/>
      <c r="T259" s="47"/>
      <c r="U259" s="47"/>
      <c r="V259" s="47"/>
      <c r="W259" s="47"/>
    </row>
    <row r="260" spans="1:24" hidden="1">
      <c r="A260" s="46" t="s">
        <v>356</v>
      </c>
      <c r="B260" s="46" t="s">
        <v>458</v>
      </c>
      <c r="C260" s="47" t="s">
        <v>415</v>
      </c>
      <c r="D260" s="47" t="s">
        <v>415</v>
      </c>
      <c r="E260" s="47">
        <v>50115936</v>
      </c>
      <c r="F260" s="47" t="s">
        <v>416</v>
      </c>
      <c r="G260" s="46">
        <v>299880</v>
      </c>
      <c r="H260" s="47">
        <v>1.6</v>
      </c>
      <c r="I260" s="46">
        <f t="shared" si="28"/>
        <v>479808</v>
      </c>
      <c r="J260" s="46" t="s">
        <v>375</v>
      </c>
      <c r="K260" s="46"/>
      <c r="L260" s="46"/>
      <c r="M260" s="47"/>
      <c r="N260" s="48"/>
      <c r="O260" s="49"/>
      <c r="P260" s="50"/>
      <c r="Q260" s="49"/>
      <c r="R260" s="47"/>
      <c r="S260" s="47"/>
      <c r="T260" s="47"/>
      <c r="U260" s="47"/>
      <c r="V260" s="47"/>
      <c r="W260" s="47"/>
    </row>
    <row r="261" spans="1:24" hidden="1">
      <c r="A261" s="46" t="s">
        <v>356</v>
      </c>
      <c r="B261" s="46" t="s">
        <v>458</v>
      </c>
      <c r="C261" s="47" t="s">
        <v>415</v>
      </c>
      <c r="D261" s="47" t="s">
        <v>415</v>
      </c>
      <c r="E261" s="47">
        <v>50115936</v>
      </c>
      <c r="F261" s="47" t="s">
        <v>416</v>
      </c>
      <c r="G261" s="46">
        <v>299880</v>
      </c>
      <c r="H261" s="47">
        <v>1.6</v>
      </c>
      <c r="I261" s="46">
        <f t="shared" si="28"/>
        <v>479808</v>
      </c>
      <c r="J261" s="46" t="s">
        <v>375</v>
      </c>
      <c r="K261" s="46"/>
      <c r="L261" s="46"/>
      <c r="M261" s="47"/>
      <c r="N261" s="48"/>
      <c r="O261" s="49"/>
      <c r="P261" s="50"/>
      <c r="Q261" s="49"/>
      <c r="R261" s="47"/>
      <c r="S261" s="47"/>
      <c r="T261" s="47"/>
      <c r="U261" s="47"/>
      <c r="V261" s="47"/>
      <c r="W261" s="47"/>
    </row>
    <row r="262" spans="1:24" hidden="1">
      <c r="A262" s="46" t="s">
        <v>356</v>
      </c>
      <c r="B262" s="46" t="s">
        <v>458</v>
      </c>
      <c r="C262" s="47" t="s">
        <v>415</v>
      </c>
      <c r="D262" s="47" t="s">
        <v>415</v>
      </c>
      <c r="E262" s="47">
        <v>50115936</v>
      </c>
      <c r="F262" s="47" t="s">
        <v>416</v>
      </c>
      <c r="G262" s="46">
        <v>299880</v>
      </c>
      <c r="H262" s="47">
        <v>1.6</v>
      </c>
      <c r="I262" s="46">
        <f t="shared" ref="I262:I328" si="31">G262*H262</f>
        <v>479808</v>
      </c>
      <c r="J262" s="46" t="s">
        <v>375</v>
      </c>
      <c r="K262" s="46"/>
      <c r="L262" s="46"/>
      <c r="M262" s="47"/>
      <c r="N262" s="48"/>
      <c r="O262" s="49"/>
      <c r="P262" s="50"/>
      <c r="Q262" s="49"/>
      <c r="R262" s="47"/>
      <c r="S262" s="47"/>
      <c r="T262" s="47"/>
      <c r="U262" s="47"/>
      <c r="V262" s="47"/>
      <c r="W262" s="47"/>
    </row>
    <row r="263" spans="1:24" hidden="1">
      <c r="A263" s="46" t="s">
        <v>356</v>
      </c>
      <c r="B263" s="46" t="s">
        <v>458</v>
      </c>
      <c r="C263" s="47" t="s">
        <v>415</v>
      </c>
      <c r="D263" s="47" t="s">
        <v>415</v>
      </c>
      <c r="E263" s="47">
        <v>50115936</v>
      </c>
      <c r="F263" s="47" t="s">
        <v>416</v>
      </c>
      <c r="G263" s="46">
        <v>299880</v>
      </c>
      <c r="H263" s="47">
        <v>1.6</v>
      </c>
      <c r="I263" s="46">
        <f t="shared" si="31"/>
        <v>479808</v>
      </c>
      <c r="J263" s="46" t="s">
        <v>375</v>
      </c>
      <c r="K263" s="46"/>
      <c r="L263" s="46"/>
      <c r="M263" s="47"/>
      <c r="N263" s="48"/>
      <c r="O263" s="49"/>
      <c r="P263" s="50"/>
      <c r="Q263" s="49"/>
      <c r="R263" s="47"/>
      <c r="S263" s="47"/>
      <c r="T263" s="47"/>
      <c r="U263" s="47"/>
      <c r="V263" s="47"/>
      <c r="W263" s="47"/>
    </row>
    <row r="264" spans="1:24" hidden="1">
      <c r="A264" s="46" t="s">
        <v>356</v>
      </c>
      <c r="B264" s="46" t="s">
        <v>458</v>
      </c>
      <c r="C264" s="47" t="s">
        <v>415</v>
      </c>
      <c r="D264" s="47" t="s">
        <v>415</v>
      </c>
      <c r="E264" s="47">
        <v>50115936</v>
      </c>
      <c r="F264" s="47" t="s">
        <v>416</v>
      </c>
      <c r="G264" s="46">
        <v>299880</v>
      </c>
      <c r="H264" s="47">
        <v>1.6</v>
      </c>
      <c r="I264" s="46">
        <f t="shared" si="31"/>
        <v>479808</v>
      </c>
      <c r="J264" s="46" t="s">
        <v>375</v>
      </c>
      <c r="K264" s="46"/>
      <c r="L264" s="46"/>
      <c r="M264" s="47"/>
      <c r="N264" s="48"/>
      <c r="O264" s="49"/>
      <c r="P264" s="50"/>
      <c r="Q264" s="49"/>
      <c r="R264" s="47"/>
      <c r="S264" s="47"/>
      <c r="T264" s="47"/>
      <c r="U264" s="47"/>
      <c r="V264" s="47"/>
      <c r="W264" s="47"/>
    </row>
    <row r="265" spans="1:24" hidden="1">
      <c r="A265" s="46" t="s">
        <v>356</v>
      </c>
      <c r="B265" s="46" t="s">
        <v>458</v>
      </c>
      <c r="C265" s="47" t="s">
        <v>415</v>
      </c>
      <c r="D265" s="47" t="s">
        <v>415</v>
      </c>
      <c r="E265" s="47">
        <v>50115936</v>
      </c>
      <c r="F265" s="47" t="s">
        <v>416</v>
      </c>
      <c r="G265" s="46">
        <v>299880</v>
      </c>
      <c r="H265" s="47">
        <v>1.6</v>
      </c>
      <c r="I265" s="46">
        <f t="shared" si="31"/>
        <v>479808</v>
      </c>
      <c r="J265" s="46" t="s">
        <v>375</v>
      </c>
      <c r="K265" s="46"/>
      <c r="L265" s="46"/>
      <c r="M265" s="47"/>
      <c r="N265" s="48"/>
      <c r="O265" s="49"/>
      <c r="P265" s="50"/>
      <c r="Q265" s="49"/>
      <c r="R265" s="47"/>
      <c r="S265" s="47"/>
      <c r="T265" s="47"/>
      <c r="U265" s="47"/>
      <c r="V265" s="47"/>
      <c r="W265" s="47"/>
    </row>
    <row r="266" spans="1:24" hidden="1">
      <c r="A266" s="47" t="s">
        <v>347</v>
      </c>
      <c r="B266" s="46" t="s">
        <v>457</v>
      </c>
      <c r="C266" s="47" t="s">
        <v>397</v>
      </c>
      <c r="D266" s="47" t="str">
        <f>C266</f>
        <v>Lupin Limited</v>
      </c>
      <c r="E266" s="53">
        <v>50110016</v>
      </c>
      <c r="F266" s="47" t="s">
        <v>256</v>
      </c>
      <c r="G266" s="46">
        <v>600000</v>
      </c>
      <c r="H266" s="47">
        <v>2.86</v>
      </c>
      <c r="I266" s="46">
        <f t="shared" si="31"/>
        <v>1716000</v>
      </c>
      <c r="J266" s="46" t="s">
        <v>374</v>
      </c>
      <c r="K266" s="46"/>
      <c r="L266" s="47" t="s">
        <v>482</v>
      </c>
      <c r="M266" s="47"/>
      <c r="N266" s="47"/>
      <c r="O266" s="47"/>
      <c r="P266" s="47"/>
      <c r="Q266" s="49"/>
      <c r="R266" s="47"/>
      <c r="S266" s="52">
        <v>46031</v>
      </c>
      <c r="T266" s="47">
        <v>1</v>
      </c>
      <c r="U266" s="47">
        <v>1</v>
      </c>
      <c r="V266" s="47"/>
      <c r="W266" s="52">
        <f>S266+T266+U266</f>
        <v>46033</v>
      </c>
      <c r="X266" s="59"/>
    </row>
    <row r="267" spans="1:24" hidden="1">
      <c r="A267" s="46" t="s">
        <v>346</v>
      </c>
      <c r="B267" s="46" t="s">
        <v>455</v>
      </c>
      <c r="C267" s="47" t="s">
        <v>151</v>
      </c>
      <c r="D267" s="47" t="s">
        <v>151</v>
      </c>
      <c r="E267" s="47">
        <v>50092554</v>
      </c>
      <c r="F267" s="47" t="s">
        <v>120</v>
      </c>
      <c r="G267" s="46">
        <v>25000</v>
      </c>
      <c r="H267" s="47">
        <v>3.52</v>
      </c>
      <c r="I267" s="46">
        <f t="shared" si="31"/>
        <v>88000</v>
      </c>
      <c r="J267" s="46" t="s">
        <v>374</v>
      </c>
      <c r="K267" s="46"/>
      <c r="L267" s="46" t="s">
        <v>482</v>
      </c>
      <c r="M267" s="47">
        <v>25501587</v>
      </c>
      <c r="N267" s="48">
        <v>4300009749</v>
      </c>
      <c r="O267" s="49">
        <v>46008</v>
      </c>
      <c r="P267" s="50">
        <v>1</v>
      </c>
      <c r="Q267" s="49">
        <v>46052</v>
      </c>
      <c r="R267" s="47" t="s">
        <v>462</v>
      </c>
      <c r="S267" s="51">
        <v>46025</v>
      </c>
      <c r="T267" s="47">
        <v>1</v>
      </c>
      <c r="U267" s="47">
        <v>1</v>
      </c>
      <c r="V267" s="47">
        <v>3</v>
      </c>
      <c r="W267" s="52">
        <f>S267+T267+U267+V267</f>
        <v>46030</v>
      </c>
      <c r="X267" s="59"/>
    </row>
    <row r="268" spans="1:24" hidden="1">
      <c r="A268" s="46" t="s">
        <v>346</v>
      </c>
      <c r="B268" s="46" t="s">
        <v>455</v>
      </c>
      <c r="C268" s="47" t="s">
        <v>151</v>
      </c>
      <c r="D268" s="47" t="s">
        <v>151</v>
      </c>
      <c r="E268" s="47">
        <v>50113752</v>
      </c>
      <c r="F268" s="47" t="s">
        <v>237</v>
      </c>
      <c r="G268" s="46">
        <v>25000</v>
      </c>
      <c r="H268" s="47">
        <v>1.92</v>
      </c>
      <c r="I268" s="46">
        <f t="shared" si="31"/>
        <v>48000</v>
      </c>
      <c r="J268" s="46" t="s">
        <v>374</v>
      </c>
      <c r="K268" s="46"/>
      <c r="L268" s="46" t="s">
        <v>482</v>
      </c>
      <c r="M268" s="47">
        <v>25501587</v>
      </c>
      <c r="N268" s="48">
        <v>4300009749</v>
      </c>
      <c r="O268" s="49">
        <v>46008</v>
      </c>
      <c r="P268" s="50">
        <v>2</v>
      </c>
      <c r="Q268" s="49">
        <v>46052</v>
      </c>
      <c r="R268" s="47" t="s">
        <v>463</v>
      </c>
      <c r="S268" s="51">
        <v>46025</v>
      </c>
      <c r="T268" s="47">
        <v>1</v>
      </c>
      <c r="U268" s="47">
        <v>1</v>
      </c>
      <c r="V268" s="47">
        <v>3</v>
      </c>
      <c r="W268" s="52">
        <f>S268+T268+U268+V268</f>
        <v>46030</v>
      </c>
      <c r="X268" s="59"/>
    </row>
    <row r="269" spans="1:24" hidden="1">
      <c r="A269" s="47" t="s">
        <v>347</v>
      </c>
      <c r="B269" s="46" t="s">
        <v>457</v>
      </c>
      <c r="C269" s="47" t="s">
        <v>397</v>
      </c>
      <c r="D269" s="47" t="str">
        <f>C269</f>
        <v>Lupin Limited</v>
      </c>
      <c r="E269" s="53">
        <v>50110017</v>
      </c>
      <c r="F269" s="47" t="s">
        <v>255</v>
      </c>
      <c r="G269" s="46">
        <v>370000</v>
      </c>
      <c r="H269" s="47">
        <v>2.86</v>
      </c>
      <c r="I269" s="46">
        <f t="shared" ref="I269" si="32">G269*H269</f>
        <v>1058200</v>
      </c>
      <c r="J269" s="47" t="s">
        <v>374</v>
      </c>
      <c r="K269" s="47">
        <v>370000</v>
      </c>
      <c r="L269" s="47" t="s">
        <v>482</v>
      </c>
      <c r="M269" s="47"/>
      <c r="N269" s="47"/>
      <c r="O269" s="47"/>
      <c r="P269" s="47"/>
      <c r="Q269" s="49"/>
      <c r="R269" s="47" t="s">
        <v>495</v>
      </c>
      <c r="S269" s="52">
        <v>46028</v>
      </c>
      <c r="T269" s="47">
        <v>1</v>
      </c>
      <c r="U269" s="47">
        <v>1</v>
      </c>
      <c r="V269" s="47"/>
      <c r="W269" s="52">
        <f t="shared" ref="W269" si="33">S269+T269+U269</f>
        <v>46030</v>
      </c>
      <c r="X269" s="59"/>
    </row>
    <row r="270" spans="1:24" hidden="1">
      <c r="A270" s="47" t="s">
        <v>347</v>
      </c>
      <c r="B270" s="46" t="s">
        <v>457</v>
      </c>
      <c r="C270" s="47" t="s">
        <v>397</v>
      </c>
      <c r="D270" s="47" t="str">
        <f>C270</f>
        <v>Lupin Limited</v>
      </c>
      <c r="E270" s="53">
        <v>50110017</v>
      </c>
      <c r="F270" s="47" t="s">
        <v>255</v>
      </c>
      <c r="G270" s="46">
        <v>300000</v>
      </c>
      <c r="H270" s="47">
        <v>2.86</v>
      </c>
      <c r="I270" s="46">
        <f t="shared" si="31"/>
        <v>858000</v>
      </c>
      <c r="J270" s="47" t="s">
        <v>374</v>
      </c>
      <c r="K270" s="47">
        <v>300000</v>
      </c>
      <c r="L270" s="47" t="s">
        <v>482</v>
      </c>
      <c r="M270" s="47"/>
      <c r="N270" s="47"/>
      <c r="O270" s="47"/>
      <c r="P270" s="47"/>
      <c r="Q270" s="49"/>
      <c r="R270" s="47" t="s">
        <v>495</v>
      </c>
      <c r="S270" s="52">
        <v>46028</v>
      </c>
      <c r="T270" s="47">
        <v>1</v>
      </c>
      <c r="U270" s="47">
        <v>1</v>
      </c>
      <c r="V270" s="47"/>
      <c r="W270" s="52">
        <f t="shared" ref="W270:W274" si="34">S270+T270+U270</f>
        <v>46030</v>
      </c>
      <c r="X270" s="59"/>
    </row>
    <row r="271" spans="1:24" hidden="1">
      <c r="A271" s="47" t="s">
        <v>347</v>
      </c>
      <c r="B271" s="46" t="s">
        <v>457</v>
      </c>
      <c r="C271" s="47" t="s">
        <v>397</v>
      </c>
      <c r="D271" s="47" t="str">
        <f>C271</f>
        <v>Lupin Limited</v>
      </c>
      <c r="E271" s="47">
        <v>50110016</v>
      </c>
      <c r="F271" s="47" t="s">
        <v>256</v>
      </c>
      <c r="G271" s="46">
        <v>600000</v>
      </c>
      <c r="H271" s="47">
        <v>2.86</v>
      </c>
      <c r="I271" s="46">
        <f t="shared" si="31"/>
        <v>1716000</v>
      </c>
      <c r="J271" s="47" t="s">
        <v>374</v>
      </c>
      <c r="K271" s="47"/>
      <c r="L271" s="47" t="s">
        <v>482</v>
      </c>
      <c r="M271" s="47"/>
      <c r="N271" s="47"/>
      <c r="O271" s="47"/>
      <c r="P271" s="47"/>
      <c r="Q271" s="49"/>
      <c r="R271" s="47"/>
      <c r="S271" s="52">
        <v>46036</v>
      </c>
      <c r="T271" s="47">
        <v>1</v>
      </c>
      <c r="U271" s="47">
        <v>1</v>
      </c>
      <c r="V271" s="47"/>
      <c r="W271" s="52">
        <f t="shared" si="34"/>
        <v>46038</v>
      </c>
      <c r="X271" s="59"/>
    </row>
    <row r="272" spans="1:24" hidden="1">
      <c r="A272" s="47" t="s">
        <v>347</v>
      </c>
      <c r="B272" s="46" t="s">
        <v>457</v>
      </c>
      <c r="C272" s="47" t="s">
        <v>397</v>
      </c>
      <c r="D272" s="47" t="str">
        <f>C272</f>
        <v>Lupin Limited</v>
      </c>
      <c r="E272" s="47">
        <v>50110016</v>
      </c>
      <c r="F272" s="47" t="s">
        <v>256</v>
      </c>
      <c r="G272" s="46">
        <v>600000</v>
      </c>
      <c r="H272" s="47">
        <v>2.86</v>
      </c>
      <c r="I272" s="46">
        <f t="shared" si="31"/>
        <v>1716000</v>
      </c>
      <c r="J272" s="47" t="s">
        <v>374</v>
      </c>
      <c r="K272" s="47"/>
      <c r="L272" s="47" t="s">
        <v>482</v>
      </c>
      <c r="M272" s="47"/>
      <c r="N272" s="47"/>
      <c r="O272" s="47"/>
      <c r="P272" s="47"/>
      <c r="Q272" s="49"/>
      <c r="R272" s="47"/>
      <c r="S272" s="52">
        <v>46036</v>
      </c>
      <c r="T272" s="47">
        <v>1</v>
      </c>
      <c r="U272" s="47">
        <v>1</v>
      </c>
      <c r="V272" s="47"/>
      <c r="W272" s="52">
        <f t="shared" si="34"/>
        <v>46038</v>
      </c>
      <c r="X272" s="59"/>
    </row>
    <row r="273" spans="1:24" hidden="1">
      <c r="A273" s="46" t="s">
        <v>347</v>
      </c>
      <c r="B273" s="46" t="s">
        <v>460</v>
      </c>
      <c r="C273" s="47" t="s">
        <v>323</v>
      </c>
      <c r="D273" s="47" t="s">
        <v>323</v>
      </c>
      <c r="E273" s="47">
        <v>50114184</v>
      </c>
      <c r="F273" s="47" t="s">
        <v>324</v>
      </c>
      <c r="G273" s="46">
        <v>400000</v>
      </c>
      <c r="H273" s="47">
        <v>2.91</v>
      </c>
      <c r="I273" s="46">
        <f t="shared" si="31"/>
        <v>1164000</v>
      </c>
      <c r="J273" s="46" t="s">
        <v>375</v>
      </c>
      <c r="K273" s="46"/>
      <c r="L273" s="46"/>
      <c r="M273" s="47">
        <v>25500223</v>
      </c>
      <c r="N273" s="48">
        <v>4510203469</v>
      </c>
      <c r="O273" s="49">
        <v>46003</v>
      </c>
      <c r="P273" s="50">
        <v>1</v>
      </c>
      <c r="Q273" s="49">
        <v>46065</v>
      </c>
      <c r="R273" s="47" t="s">
        <v>463</v>
      </c>
      <c r="S273" s="51">
        <v>46026</v>
      </c>
      <c r="T273" s="47">
        <v>1</v>
      </c>
      <c r="U273" s="47">
        <v>1</v>
      </c>
      <c r="V273" s="47"/>
      <c r="W273" s="52">
        <f t="shared" si="34"/>
        <v>46028</v>
      </c>
      <c r="X273" s="59"/>
    </row>
    <row r="274" spans="1:24" hidden="1">
      <c r="A274" s="46" t="s">
        <v>347</v>
      </c>
      <c r="B274" s="46" t="s">
        <v>460</v>
      </c>
      <c r="C274" s="47" t="s">
        <v>323</v>
      </c>
      <c r="D274" s="47" t="s">
        <v>323</v>
      </c>
      <c r="E274" s="47">
        <v>50114184</v>
      </c>
      <c r="F274" s="47" t="s">
        <v>324</v>
      </c>
      <c r="G274" s="46">
        <v>140000</v>
      </c>
      <c r="H274" s="47">
        <v>2.91</v>
      </c>
      <c r="I274" s="46">
        <f t="shared" si="31"/>
        <v>407400</v>
      </c>
      <c r="J274" s="46" t="s">
        <v>375</v>
      </c>
      <c r="K274" s="46"/>
      <c r="L274" s="46"/>
      <c r="M274" s="47">
        <v>25500223</v>
      </c>
      <c r="N274" s="48">
        <v>4510203469</v>
      </c>
      <c r="O274" s="49">
        <v>46003</v>
      </c>
      <c r="P274" s="50">
        <v>2</v>
      </c>
      <c r="Q274" s="49">
        <v>46067</v>
      </c>
      <c r="R274" s="47" t="s">
        <v>463</v>
      </c>
      <c r="S274" s="51">
        <v>46026</v>
      </c>
      <c r="T274" s="47">
        <v>1</v>
      </c>
      <c r="U274" s="47">
        <v>1</v>
      </c>
      <c r="V274" s="47"/>
      <c r="W274" s="52">
        <f t="shared" si="34"/>
        <v>46028</v>
      </c>
      <c r="X274" s="59"/>
    </row>
    <row r="275" spans="1:24">
      <c r="A275" s="46" t="s">
        <v>351</v>
      </c>
      <c r="B275" s="46" t="s">
        <v>460</v>
      </c>
      <c r="C275" s="47" t="s">
        <v>185</v>
      </c>
      <c r="D275" s="47" t="s">
        <v>186</v>
      </c>
      <c r="E275" s="47">
        <v>50099313</v>
      </c>
      <c r="F275" s="47" t="s">
        <v>208</v>
      </c>
      <c r="G275" s="46">
        <v>76172</v>
      </c>
      <c r="H275" s="47">
        <v>1.94</v>
      </c>
      <c r="I275" s="46">
        <f t="shared" si="31"/>
        <v>147773.68</v>
      </c>
      <c r="J275" s="46" t="s">
        <v>374</v>
      </c>
      <c r="K275" s="46"/>
      <c r="L275" s="46" t="s">
        <v>482</v>
      </c>
      <c r="M275" s="47">
        <v>25501597</v>
      </c>
      <c r="N275" s="48">
        <v>7600053610</v>
      </c>
      <c r="O275" s="49">
        <v>46009</v>
      </c>
      <c r="P275" s="50">
        <v>1</v>
      </c>
      <c r="Q275" s="49">
        <v>46040</v>
      </c>
      <c r="R275" s="47" t="s">
        <v>463</v>
      </c>
      <c r="S275" s="51">
        <v>46035</v>
      </c>
      <c r="T275" s="47">
        <v>1</v>
      </c>
      <c r="U275" s="47">
        <v>1</v>
      </c>
      <c r="V275" s="47">
        <v>3</v>
      </c>
      <c r="W275" s="51">
        <f t="shared" ref="W275:W286" si="35">S275+T275+U275+V275</f>
        <v>46040</v>
      </c>
      <c r="X275" s="60"/>
    </row>
    <row r="276" spans="1:24">
      <c r="A276" s="46" t="s">
        <v>351</v>
      </c>
      <c r="B276" s="46" t="s">
        <v>460</v>
      </c>
      <c r="C276" s="47" t="s">
        <v>185</v>
      </c>
      <c r="D276" s="47" t="s">
        <v>186</v>
      </c>
      <c r="E276" s="47">
        <v>50081931</v>
      </c>
      <c r="F276" s="47" t="s">
        <v>209</v>
      </c>
      <c r="G276" s="46">
        <v>75000</v>
      </c>
      <c r="H276" s="47">
        <v>0.78</v>
      </c>
      <c r="I276" s="46">
        <f t="shared" si="31"/>
        <v>58500</v>
      </c>
      <c r="J276" s="46" t="s">
        <v>374</v>
      </c>
      <c r="K276" s="46"/>
      <c r="L276" s="46" t="s">
        <v>482</v>
      </c>
      <c r="M276" s="47">
        <v>25501597</v>
      </c>
      <c r="N276" s="48">
        <v>7600053610</v>
      </c>
      <c r="O276" s="49">
        <v>46009</v>
      </c>
      <c r="P276" s="50">
        <v>2</v>
      </c>
      <c r="Q276" s="49">
        <v>46040</v>
      </c>
      <c r="R276" s="47" t="s">
        <v>463</v>
      </c>
      <c r="S276" s="51">
        <v>46035</v>
      </c>
      <c r="T276" s="47">
        <v>1</v>
      </c>
      <c r="U276" s="47">
        <v>1</v>
      </c>
      <c r="V276" s="47">
        <v>3</v>
      </c>
      <c r="W276" s="51">
        <f t="shared" si="35"/>
        <v>46040</v>
      </c>
      <c r="X276" s="60"/>
    </row>
    <row r="277" spans="1:24">
      <c r="A277" s="46" t="s">
        <v>351</v>
      </c>
      <c r="B277" s="46" t="s">
        <v>460</v>
      </c>
      <c r="C277" s="47" t="s">
        <v>185</v>
      </c>
      <c r="D277" s="47" t="s">
        <v>186</v>
      </c>
      <c r="E277" s="47">
        <v>50082005</v>
      </c>
      <c r="F277" s="47" t="s">
        <v>229</v>
      </c>
      <c r="G277" s="46">
        <v>77500</v>
      </c>
      <c r="H277" s="47">
        <v>0.46</v>
      </c>
      <c r="I277" s="46">
        <f t="shared" si="31"/>
        <v>35650</v>
      </c>
      <c r="J277" s="46" t="s">
        <v>374</v>
      </c>
      <c r="K277" s="46"/>
      <c r="L277" s="46" t="s">
        <v>482</v>
      </c>
      <c r="M277" s="47">
        <v>25501597</v>
      </c>
      <c r="N277" s="48">
        <v>7600053610</v>
      </c>
      <c r="O277" s="49">
        <v>46009</v>
      </c>
      <c r="P277" s="50">
        <v>3</v>
      </c>
      <c r="Q277" s="49">
        <v>46040</v>
      </c>
      <c r="R277" s="47" t="s">
        <v>463</v>
      </c>
      <c r="S277" s="51">
        <v>46035</v>
      </c>
      <c r="T277" s="47">
        <v>1</v>
      </c>
      <c r="U277" s="47">
        <v>1</v>
      </c>
      <c r="V277" s="47">
        <v>3</v>
      </c>
      <c r="W277" s="51">
        <f t="shared" si="35"/>
        <v>46040</v>
      </c>
      <c r="X277" s="60"/>
    </row>
    <row r="278" spans="1:24">
      <c r="A278" s="46" t="s">
        <v>351</v>
      </c>
      <c r="B278" s="46" t="s">
        <v>460</v>
      </c>
      <c r="C278" s="47" t="s">
        <v>185</v>
      </c>
      <c r="D278" s="47" t="s">
        <v>186</v>
      </c>
      <c r="E278" s="47">
        <v>50101726</v>
      </c>
      <c r="F278" s="47" t="s">
        <v>245</v>
      </c>
      <c r="G278" s="46">
        <v>10900</v>
      </c>
      <c r="H278" s="47">
        <v>1.75</v>
      </c>
      <c r="I278" s="46">
        <f t="shared" si="31"/>
        <v>19075</v>
      </c>
      <c r="J278" s="46" t="s">
        <v>374</v>
      </c>
      <c r="K278" s="46"/>
      <c r="L278" s="46"/>
      <c r="M278" s="47">
        <v>25501598</v>
      </c>
      <c r="N278" s="48">
        <v>7600053628</v>
      </c>
      <c r="O278" s="49">
        <v>46009</v>
      </c>
      <c r="P278" s="50">
        <v>1</v>
      </c>
      <c r="Q278" s="49">
        <v>46040</v>
      </c>
      <c r="R278" s="47" t="s">
        <v>463</v>
      </c>
      <c r="S278" s="51">
        <v>46027</v>
      </c>
      <c r="T278" s="47">
        <v>1</v>
      </c>
      <c r="U278" s="47">
        <v>1</v>
      </c>
      <c r="V278" s="47">
        <v>3</v>
      </c>
      <c r="W278" s="51">
        <f t="shared" si="35"/>
        <v>46032</v>
      </c>
      <c r="X278" s="60"/>
    </row>
    <row r="279" spans="1:24">
      <c r="A279" s="46" t="s">
        <v>351</v>
      </c>
      <c r="B279" s="46" t="s">
        <v>460</v>
      </c>
      <c r="C279" s="47" t="s">
        <v>185</v>
      </c>
      <c r="D279" s="47" t="s">
        <v>186</v>
      </c>
      <c r="E279" s="47">
        <v>50092255</v>
      </c>
      <c r="F279" s="47" t="s">
        <v>246</v>
      </c>
      <c r="G279" s="46">
        <v>8800</v>
      </c>
      <c r="H279" s="47">
        <v>0.83</v>
      </c>
      <c r="I279" s="46">
        <f t="shared" si="31"/>
        <v>7304</v>
      </c>
      <c r="J279" s="46" t="s">
        <v>374</v>
      </c>
      <c r="K279" s="46"/>
      <c r="L279" s="46"/>
      <c r="M279" s="47">
        <v>25501598</v>
      </c>
      <c r="N279" s="48">
        <v>7600053628</v>
      </c>
      <c r="O279" s="49">
        <v>46009</v>
      </c>
      <c r="P279" s="50">
        <v>2</v>
      </c>
      <c r="Q279" s="49">
        <v>46040</v>
      </c>
      <c r="R279" s="47" t="s">
        <v>463</v>
      </c>
      <c r="S279" s="51">
        <v>46027</v>
      </c>
      <c r="T279" s="47">
        <v>1</v>
      </c>
      <c r="U279" s="47">
        <v>1</v>
      </c>
      <c r="V279" s="47">
        <v>3</v>
      </c>
      <c r="W279" s="51">
        <f t="shared" si="35"/>
        <v>46032</v>
      </c>
      <c r="X279" s="60"/>
    </row>
    <row r="280" spans="1:24">
      <c r="A280" s="46" t="s">
        <v>351</v>
      </c>
      <c r="B280" s="46" t="s">
        <v>460</v>
      </c>
      <c r="C280" s="47" t="s">
        <v>185</v>
      </c>
      <c r="D280" s="47" t="s">
        <v>186</v>
      </c>
      <c r="E280" s="47">
        <v>50101733</v>
      </c>
      <c r="F280" s="47" t="s">
        <v>247</v>
      </c>
      <c r="G280" s="46">
        <v>10800</v>
      </c>
      <c r="H280" s="47">
        <v>0.46</v>
      </c>
      <c r="I280" s="46">
        <f t="shared" si="31"/>
        <v>4968</v>
      </c>
      <c r="J280" s="46" t="s">
        <v>374</v>
      </c>
      <c r="K280" s="46"/>
      <c r="L280" s="46"/>
      <c r="M280" s="47">
        <v>25501598</v>
      </c>
      <c r="N280" s="48">
        <v>7600053628</v>
      </c>
      <c r="O280" s="49">
        <v>46009</v>
      </c>
      <c r="P280" s="50">
        <v>3</v>
      </c>
      <c r="Q280" s="49">
        <v>46040</v>
      </c>
      <c r="R280" s="47" t="s">
        <v>463</v>
      </c>
      <c r="S280" s="51">
        <v>46027</v>
      </c>
      <c r="T280" s="47">
        <v>1</v>
      </c>
      <c r="U280" s="47">
        <v>1</v>
      </c>
      <c r="V280" s="47">
        <v>3</v>
      </c>
      <c r="W280" s="51">
        <f t="shared" si="35"/>
        <v>46032</v>
      </c>
      <c r="X280" s="60"/>
    </row>
    <row r="281" spans="1:24">
      <c r="A281" s="46" t="s">
        <v>351</v>
      </c>
      <c r="B281" s="46" t="s">
        <v>460</v>
      </c>
      <c r="C281" s="47" t="s">
        <v>185</v>
      </c>
      <c r="D281" s="47" t="s">
        <v>186</v>
      </c>
      <c r="E281" s="47">
        <v>50114401</v>
      </c>
      <c r="F281" s="47" t="s">
        <v>248</v>
      </c>
      <c r="G281" s="46">
        <v>40000</v>
      </c>
      <c r="H281" s="47">
        <v>1.81</v>
      </c>
      <c r="I281" s="46">
        <f t="shared" si="31"/>
        <v>72400</v>
      </c>
      <c r="J281" s="46" t="s">
        <v>374</v>
      </c>
      <c r="K281" s="46"/>
      <c r="L281" s="46"/>
      <c r="M281" s="47">
        <v>25501599</v>
      </c>
      <c r="N281" s="48">
        <v>7600053630</v>
      </c>
      <c r="O281" s="49">
        <v>46009</v>
      </c>
      <c r="P281" s="50">
        <v>1</v>
      </c>
      <c r="Q281" s="49">
        <v>46040</v>
      </c>
      <c r="R281" s="47" t="s">
        <v>462</v>
      </c>
      <c r="S281" s="51">
        <v>46047</v>
      </c>
      <c r="T281" s="47">
        <v>1</v>
      </c>
      <c r="U281" s="47">
        <v>1</v>
      </c>
      <c r="V281" s="47">
        <v>3</v>
      </c>
      <c r="W281" s="51">
        <f t="shared" si="35"/>
        <v>46052</v>
      </c>
      <c r="X281" s="60"/>
    </row>
    <row r="282" spans="1:24">
      <c r="A282" s="46" t="s">
        <v>351</v>
      </c>
      <c r="B282" s="46" t="s">
        <v>460</v>
      </c>
      <c r="C282" s="47" t="s">
        <v>185</v>
      </c>
      <c r="D282" s="47" t="s">
        <v>186</v>
      </c>
      <c r="E282" s="47">
        <v>50081679</v>
      </c>
      <c r="F282" s="47" t="s">
        <v>249</v>
      </c>
      <c r="G282" s="46">
        <v>39000</v>
      </c>
      <c r="H282" s="47">
        <v>0.9</v>
      </c>
      <c r="I282" s="46">
        <f t="shared" si="31"/>
        <v>35100</v>
      </c>
      <c r="J282" s="46" t="s">
        <v>374</v>
      </c>
      <c r="K282" s="46"/>
      <c r="L282" s="46"/>
      <c r="M282" s="47">
        <v>25501599</v>
      </c>
      <c r="N282" s="48">
        <v>7600053630</v>
      </c>
      <c r="O282" s="49">
        <v>46009</v>
      </c>
      <c r="P282" s="50">
        <v>2</v>
      </c>
      <c r="Q282" s="49">
        <v>46040</v>
      </c>
      <c r="R282" s="47" t="s">
        <v>462</v>
      </c>
      <c r="S282" s="51">
        <v>46047</v>
      </c>
      <c r="T282" s="47">
        <v>1</v>
      </c>
      <c r="U282" s="47">
        <v>1</v>
      </c>
      <c r="V282" s="47">
        <v>3</v>
      </c>
      <c r="W282" s="51">
        <f t="shared" si="35"/>
        <v>46052</v>
      </c>
      <c r="X282" s="60"/>
    </row>
    <row r="283" spans="1:24">
      <c r="A283" s="46" t="s">
        <v>351</v>
      </c>
      <c r="B283" s="46" t="s">
        <v>460</v>
      </c>
      <c r="C283" s="47" t="s">
        <v>185</v>
      </c>
      <c r="D283" s="47" t="s">
        <v>186</v>
      </c>
      <c r="E283" s="47">
        <v>50081892</v>
      </c>
      <c r="F283" s="47" t="s">
        <v>250</v>
      </c>
      <c r="G283" s="46">
        <v>40000</v>
      </c>
      <c r="H283" s="47">
        <v>0.33</v>
      </c>
      <c r="I283" s="46">
        <f t="shared" si="31"/>
        <v>13200</v>
      </c>
      <c r="J283" s="46" t="s">
        <v>374</v>
      </c>
      <c r="K283" s="46"/>
      <c r="L283" s="46"/>
      <c r="M283" s="47">
        <v>25501599</v>
      </c>
      <c r="N283" s="48">
        <v>7600053630</v>
      </c>
      <c r="O283" s="49">
        <v>46009</v>
      </c>
      <c r="P283" s="50">
        <v>3</v>
      </c>
      <c r="Q283" s="49">
        <v>46040</v>
      </c>
      <c r="R283" s="47" t="s">
        <v>462</v>
      </c>
      <c r="S283" s="51">
        <v>46047</v>
      </c>
      <c r="T283" s="47">
        <v>1</v>
      </c>
      <c r="U283" s="47">
        <v>1</v>
      </c>
      <c r="V283" s="47">
        <v>3</v>
      </c>
      <c r="W283" s="51">
        <f t="shared" si="35"/>
        <v>46052</v>
      </c>
      <c r="X283" s="60"/>
    </row>
    <row r="284" spans="1:24" hidden="1">
      <c r="A284" s="46" t="s">
        <v>351</v>
      </c>
      <c r="B284" s="46" t="s">
        <v>460</v>
      </c>
      <c r="C284" s="47" t="s">
        <v>168</v>
      </c>
      <c r="D284" s="47" t="s">
        <v>168</v>
      </c>
      <c r="E284" s="47">
        <v>50114401</v>
      </c>
      <c r="F284" s="47" t="s">
        <v>248</v>
      </c>
      <c r="G284" s="46">
        <v>100000</v>
      </c>
      <c r="H284" s="47">
        <v>1.81</v>
      </c>
      <c r="I284" s="46">
        <f t="shared" si="31"/>
        <v>181000</v>
      </c>
      <c r="J284" s="46" t="s">
        <v>374</v>
      </c>
      <c r="K284" s="46"/>
      <c r="L284" s="46"/>
      <c r="M284" s="47">
        <v>25501600</v>
      </c>
      <c r="N284" s="48">
        <v>4501245005</v>
      </c>
      <c r="O284" s="49">
        <v>46009</v>
      </c>
      <c r="P284" s="50">
        <v>1</v>
      </c>
      <c r="Q284" s="49">
        <v>46040</v>
      </c>
      <c r="R284" s="47" t="s">
        <v>462</v>
      </c>
      <c r="S284" s="51">
        <v>46049</v>
      </c>
      <c r="T284" s="47">
        <v>1</v>
      </c>
      <c r="U284" s="47">
        <v>1</v>
      </c>
      <c r="V284" s="47">
        <v>3</v>
      </c>
      <c r="W284" s="51">
        <f t="shared" si="35"/>
        <v>46054</v>
      </c>
      <c r="X284" s="60"/>
    </row>
    <row r="285" spans="1:24" hidden="1">
      <c r="A285" s="46" t="s">
        <v>351</v>
      </c>
      <c r="B285" s="46" t="s">
        <v>460</v>
      </c>
      <c r="C285" s="47" t="s">
        <v>168</v>
      </c>
      <c r="D285" s="47" t="s">
        <v>168</v>
      </c>
      <c r="E285" s="47">
        <v>50081679</v>
      </c>
      <c r="F285" s="47" t="s">
        <v>249</v>
      </c>
      <c r="G285" s="46">
        <v>100000</v>
      </c>
      <c r="H285" s="47">
        <v>0.9</v>
      </c>
      <c r="I285" s="46">
        <f t="shared" si="31"/>
        <v>90000</v>
      </c>
      <c r="J285" s="46" t="s">
        <v>374</v>
      </c>
      <c r="K285" s="46"/>
      <c r="L285" s="46"/>
      <c r="M285" s="47">
        <v>25501600</v>
      </c>
      <c r="N285" s="48">
        <v>4501245005</v>
      </c>
      <c r="O285" s="49">
        <v>46009</v>
      </c>
      <c r="P285" s="50">
        <v>2</v>
      </c>
      <c r="Q285" s="49">
        <v>46040</v>
      </c>
      <c r="R285" s="47" t="s">
        <v>462</v>
      </c>
      <c r="S285" s="51">
        <v>46049</v>
      </c>
      <c r="T285" s="47">
        <v>1</v>
      </c>
      <c r="U285" s="47">
        <v>1</v>
      </c>
      <c r="V285" s="47">
        <v>3</v>
      </c>
      <c r="W285" s="51">
        <f t="shared" si="35"/>
        <v>46054</v>
      </c>
      <c r="X285" s="60"/>
    </row>
    <row r="286" spans="1:24" hidden="1">
      <c r="A286" s="46" t="s">
        <v>351</v>
      </c>
      <c r="B286" s="46" t="s">
        <v>460</v>
      </c>
      <c r="C286" s="47" t="s">
        <v>168</v>
      </c>
      <c r="D286" s="47" t="s">
        <v>168</v>
      </c>
      <c r="E286" s="47">
        <v>50081892</v>
      </c>
      <c r="F286" s="47" t="s">
        <v>250</v>
      </c>
      <c r="G286" s="46">
        <v>100000</v>
      </c>
      <c r="H286" s="47">
        <v>0.33</v>
      </c>
      <c r="I286" s="46">
        <f t="shared" si="31"/>
        <v>33000</v>
      </c>
      <c r="J286" s="46" t="s">
        <v>374</v>
      </c>
      <c r="K286" s="46"/>
      <c r="L286" s="46"/>
      <c r="M286" s="47">
        <v>25501600</v>
      </c>
      <c r="N286" s="48">
        <v>4501245005</v>
      </c>
      <c r="O286" s="49">
        <v>46009</v>
      </c>
      <c r="P286" s="50">
        <v>3</v>
      </c>
      <c r="Q286" s="49">
        <v>46040</v>
      </c>
      <c r="R286" s="47" t="s">
        <v>462</v>
      </c>
      <c r="S286" s="51">
        <v>46049</v>
      </c>
      <c r="T286" s="47">
        <v>1</v>
      </c>
      <c r="U286" s="47">
        <v>1</v>
      </c>
      <c r="V286" s="47">
        <v>3</v>
      </c>
      <c r="W286" s="51">
        <f t="shared" si="35"/>
        <v>46054</v>
      </c>
      <c r="X286" s="60"/>
    </row>
    <row r="287" spans="1:24" hidden="1">
      <c r="A287" s="46" t="s">
        <v>350</v>
      </c>
      <c r="B287" s="46" t="s">
        <v>455</v>
      </c>
      <c r="C287" s="47" t="s">
        <v>468</v>
      </c>
      <c r="D287" s="47" t="s">
        <v>468</v>
      </c>
      <c r="E287" s="47">
        <v>50105834</v>
      </c>
      <c r="F287" s="47" t="s">
        <v>252</v>
      </c>
      <c r="G287" s="46">
        <v>23520</v>
      </c>
      <c r="H287" s="47">
        <v>62</v>
      </c>
      <c r="I287" s="46">
        <f t="shared" si="31"/>
        <v>1458240</v>
      </c>
      <c r="J287" s="46" t="s">
        <v>374</v>
      </c>
      <c r="K287" s="46"/>
      <c r="L287" s="46" t="s">
        <v>482</v>
      </c>
      <c r="M287" s="47">
        <v>25501601</v>
      </c>
      <c r="N287" s="48" t="s">
        <v>251</v>
      </c>
      <c r="O287" s="49">
        <v>46009</v>
      </c>
      <c r="P287" s="50">
        <v>1</v>
      </c>
      <c r="Q287" s="49">
        <v>46029</v>
      </c>
      <c r="R287" s="47"/>
      <c r="S287" s="51">
        <v>46032</v>
      </c>
      <c r="T287" s="47"/>
      <c r="U287" s="47"/>
      <c r="V287" s="47"/>
      <c r="W287" s="47"/>
    </row>
    <row r="288" spans="1:24" hidden="1">
      <c r="A288" s="46" t="s">
        <v>351</v>
      </c>
      <c r="B288" s="46" t="s">
        <v>457</v>
      </c>
      <c r="C288" s="47" t="s">
        <v>313</v>
      </c>
      <c r="D288" s="47" t="s">
        <v>313</v>
      </c>
      <c r="E288" s="47">
        <v>50082077</v>
      </c>
      <c r="F288" s="47" t="s">
        <v>59</v>
      </c>
      <c r="G288" s="46">
        <v>21572</v>
      </c>
      <c r="H288" s="47">
        <v>0.26</v>
      </c>
      <c r="I288" s="46">
        <f t="shared" si="31"/>
        <v>5608.72</v>
      </c>
      <c r="J288" s="46" t="s">
        <v>374</v>
      </c>
      <c r="K288" s="46"/>
      <c r="L288" s="46"/>
      <c r="M288" s="47">
        <v>25501605</v>
      </c>
      <c r="N288" s="48">
        <v>2500245095</v>
      </c>
      <c r="O288" s="49">
        <v>46009</v>
      </c>
      <c r="P288" s="50">
        <v>1</v>
      </c>
      <c r="Q288" s="49">
        <v>46050</v>
      </c>
      <c r="R288" s="47" t="s">
        <v>462</v>
      </c>
      <c r="S288" s="51">
        <v>46041</v>
      </c>
      <c r="T288" s="47">
        <v>1</v>
      </c>
      <c r="U288" s="47">
        <v>1</v>
      </c>
      <c r="V288" s="47">
        <v>3</v>
      </c>
      <c r="W288" s="51">
        <f t="shared" ref="W288:W300" si="36">S288+T288+U288+V288</f>
        <v>46046</v>
      </c>
      <c r="X288" s="60"/>
    </row>
    <row r="289" spans="1:24" hidden="1">
      <c r="A289" s="46" t="s">
        <v>351</v>
      </c>
      <c r="B289" s="46" t="s">
        <v>457</v>
      </c>
      <c r="C289" s="47" t="s">
        <v>144</v>
      </c>
      <c r="D289" s="47" t="s">
        <v>144</v>
      </c>
      <c r="E289" s="47">
        <v>50109736</v>
      </c>
      <c r="F289" s="47" t="s">
        <v>145</v>
      </c>
      <c r="G289" s="46">
        <v>200000</v>
      </c>
      <c r="H289" s="47">
        <v>1.5</v>
      </c>
      <c r="I289" s="46">
        <f t="shared" si="31"/>
        <v>300000</v>
      </c>
      <c r="J289" s="46" t="s">
        <v>374</v>
      </c>
      <c r="K289" s="46"/>
      <c r="L289" s="46"/>
      <c r="M289" s="47">
        <v>25501608</v>
      </c>
      <c r="N289" s="48">
        <v>4100314686</v>
      </c>
      <c r="O289" s="49">
        <v>46009</v>
      </c>
      <c r="P289" s="50">
        <v>4</v>
      </c>
      <c r="Q289" s="49">
        <v>46040</v>
      </c>
      <c r="R289" s="47" t="s">
        <v>462</v>
      </c>
      <c r="S289" s="51">
        <v>46034</v>
      </c>
      <c r="T289" s="47">
        <v>1</v>
      </c>
      <c r="U289" s="47">
        <v>1</v>
      </c>
      <c r="V289" s="47">
        <v>3</v>
      </c>
      <c r="W289" s="51">
        <f t="shared" si="36"/>
        <v>46039</v>
      </c>
      <c r="X289" s="60"/>
    </row>
    <row r="290" spans="1:24" hidden="1">
      <c r="A290" s="46" t="s">
        <v>351</v>
      </c>
      <c r="B290" s="46" t="s">
        <v>457</v>
      </c>
      <c r="C290" s="47" t="s">
        <v>144</v>
      </c>
      <c r="D290" s="47" t="s">
        <v>144</v>
      </c>
      <c r="E290" s="47">
        <v>50081808</v>
      </c>
      <c r="F290" s="47" t="s">
        <v>23</v>
      </c>
      <c r="G290" s="46">
        <v>200000</v>
      </c>
      <c r="H290" s="47">
        <v>0.56000000000000005</v>
      </c>
      <c r="I290" s="46">
        <f t="shared" si="31"/>
        <v>112000.00000000001</v>
      </c>
      <c r="J290" s="46" t="s">
        <v>374</v>
      </c>
      <c r="K290" s="46"/>
      <c r="L290" s="46"/>
      <c r="M290" s="47">
        <v>25501608</v>
      </c>
      <c r="N290" s="48">
        <v>4100314686</v>
      </c>
      <c r="O290" s="49">
        <v>46009</v>
      </c>
      <c r="P290" s="50">
        <v>5</v>
      </c>
      <c r="Q290" s="49">
        <v>46040</v>
      </c>
      <c r="R290" s="47" t="s">
        <v>462</v>
      </c>
      <c r="S290" s="51">
        <v>46034</v>
      </c>
      <c r="T290" s="47">
        <v>1</v>
      </c>
      <c r="U290" s="47">
        <v>1</v>
      </c>
      <c r="V290" s="47">
        <v>3</v>
      </c>
      <c r="W290" s="51">
        <f t="shared" si="36"/>
        <v>46039</v>
      </c>
      <c r="X290" s="60"/>
    </row>
    <row r="291" spans="1:24" hidden="1">
      <c r="A291" s="46" t="s">
        <v>351</v>
      </c>
      <c r="B291" s="46" t="s">
        <v>457</v>
      </c>
      <c r="C291" s="47" t="s">
        <v>144</v>
      </c>
      <c r="D291" s="47" t="s">
        <v>144</v>
      </c>
      <c r="E291" s="47">
        <v>50111939</v>
      </c>
      <c r="F291" s="47" t="s">
        <v>39</v>
      </c>
      <c r="G291" s="46">
        <v>200000</v>
      </c>
      <c r="H291" s="47">
        <v>0.26</v>
      </c>
      <c r="I291" s="46">
        <f t="shared" si="31"/>
        <v>52000</v>
      </c>
      <c r="J291" s="46" t="s">
        <v>374</v>
      </c>
      <c r="K291" s="46"/>
      <c r="L291" s="46"/>
      <c r="M291" s="47">
        <v>25501608</v>
      </c>
      <c r="N291" s="48">
        <v>4100314686</v>
      </c>
      <c r="O291" s="49">
        <v>46009</v>
      </c>
      <c r="P291" s="50">
        <v>6</v>
      </c>
      <c r="Q291" s="49">
        <v>46040</v>
      </c>
      <c r="R291" s="47" t="s">
        <v>463</v>
      </c>
      <c r="S291" s="51">
        <v>46034</v>
      </c>
      <c r="T291" s="47">
        <v>1</v>
      </c>
      <c r="U291" s="47">
        <v>1</v>
      </c>
      <c r="V291" s="47">
        <v>3</v>
      </c>
      <c r="W291" s="51">
        <f t="shared" si="36"/>
        <v>46039</v>
      </c>
      <c r="X291" s="60"/>
    </row>
    <row r="292" spans="1:24" hidden="1">
      <c r="A292" s="46" t="s">
        <v>351</v>
      </c>
      <c r="B292" s="46" t="s">
        <v>457</v>
      </c>
      <c r="C292" s="47" t="s">
        <v>144</v>
      </c>
      <c r="D292" s="47" t="s">
        <v>144</v>
      </c>
      <c r="E292" s="47">
        <v>50111525</v>
      </c>
      <c r="F292" s="47" t="s">
        <v>211</v>
      </c>
      <c r="G292" s="46">
        <v>60000</v>
      </c>
      <c r="H292" s="47">
        <v>2.16</v>
      </c>
      <c r="I292" s="46">
        <f t="shared" si="31"/>
        <v>129600.00000000001</v>
      </c>
      <c r="J292" s="46" t="s">
        <v>374</v>
      </c>
      <c r="K292" s="46"/>
      <c r="L292" s="46" t="s">
        <v>482</v>
      </c>
      <c r="M292" s="47">
        <v>25501609</v>
      </c>
      <c r="N292" s="48">
        <v>4100314704</v>
      </c>
      <c r="O292" s="49">
        <v>46009</v>
      </c>
      <c r="P292" s="50">
        <v>1</v>
      </c>
      <c r="Q292" s="49">
        <v>46023</v>
      </c>
      <c r="R292" s="47" t="s">
        <v>462</v>
      </c>
      <c r="S292" s="51">
        <v>46025</v>
      </c>
      <c r="T292" s="47">
        <v>1</v>
      </c>
      <c r="U292" s="47">
        <v>1</v>
      </c>
      <c r="V292" s="47">
        <v>3</v>
      </c>
      <c r="W292" s="51">
        <f t="shared" si="36"/>
        <v>46030</v>
      </c>
      <c r="X292" s="60"/>
    </row>
    <row r="293" spans="1:24" hidden="1">
      <c r="A293" s="46" t="s">
        <v>351</v>
      </c>
      <c r="B293" s="46" t="s">
        <v>457</v>
      </c>
      <c r="C293" s="47" t="s">
        <v>144</v>
      </c>
      <c r="D293" s="47" t="s">
        <v>144</v>
      </c>
      <c r="E293" s="47">
        <v>50082373</v>
      </c>
      <c r="F293" s="47" t="s">
        <v>213</v>
      </c>
      <c r="G293" s="46">
        <v>60000</v>
      </c>
      <c r="H293" s="47">
        <v>0.82</v>
      </c>
      <c r="I293" s="46">
        <f t="shared" si="31"/>
        <v>49200</v>
      </c>
      <c r="J293" s="46" t="s">
        <v>374</v>
      </c>
      <c r="K293" s="46"/>
      <c r="L293" s="46" t="s">
        <v>482</v>
      </c>
      <c r="M293" s="47">
        <v>25501609</v>
      </c>
      <c r="N293" s="48">
        <v>4100314704</v>
      </c>
      <c r="O293" s="49">
        <v>46009</v>
      </c>
      <c r="P293" s="50">
        <v>2</v>
      </c>
      <c r="Q293" s="49">
        <v>46023</v>
      </c>
      <c r="R293" s="47" t="s">
        <v>463</v>
      </c>
      <c r="S293" s="51">
        <v>46025</v>
      </c>
      <c r="T293" s="47">
        <v>1</v>
      </c>
      <c r="U293" s="47">
        <v>1</v>
      </c>
      <c r="V293" s="47">
        <v>3</v>
      </c>
      <c r="W293" s="51">
        <f t="shared" si="36"/>
        <v>46030</v>
      </c>
      <c r="X293" s="60"/>
    </row>
    <row r="294" spans="1:24" hidden="1">
      <c r="A294" s="46" t="s">
        <v>351</v>
      </c>
      <c r="B294" s="46" t="s">
        <v>457</v>
      </c>
      <c r="C294" s="47" t="s">
        <v>144</v>
      </c>
      <c r="D294" s="47" t="s">
        <v>144</v>
      </c>
      <c r="E294" s="47">
        <v>50082375</v>
      </c>
      <c r="F294" s="47" t="s">
        <v>214</v>
      </c>
      <c r="G294" s="46">
        <v>60000</v>
      </c>
      <c r="H294" s="47">
        <v>0.49</v>
      </c>
      <c r="I294" s="46">
        <f t="shared" si="31"/>
        <v>29400</v>
      </c>
      <c r="J294" s="46" t="s">
        <v>374</v>
      </c>
      <c r="K294" s="46"/>
      <c r="L294" s="46" t="s">
        <v>482</v>
      </c>
      <c r="M294" s="47">
        <v>25501609</v>
      </c>
      <c r="N294" s="48">
        <v>4100314704</v>
      </c>
      <c r="O294" s="49">
        <v>46009</v>
      </c>
      <c r="P294" s="50">
        <v>3</v>
      </c>
      <c r="Q294" s="49">
        <v>46023</v>
      </c>
      <c r="R294" s="47" t="s">
        <v>463</v>
      </c>
      <c r="S294" s="51">
        <v>46025</v>
      </c>
      <c r="T294" s="47">
        <v>1</v>
      </c>
      <c r="U294" s="47">
        <v>1</v>
      </c>
      <c r="V294" s="47">
        <v>3</v>
      </c>
      <c r="W294" s="51">
        <f t="shared" si="36"/>
        <v>46030</v>
      </c>
      <c r="X294" s="60"/>
    </row>
    <row r="295" spans="1:24" hidden="1">
      <c r="A295" s="46" t="s">
        <v>351</v>
      </c>
      <c r="B295" s="46" t="s">
        <v>457</v>
      </c>
      <c r="C295" s="47" t="s">
        <v>144</v>
      </c>
      <c r="D295" s="47" t="s">
        <v>144</v>
      </c>
      <c r="E295" s="47">
        <v>50114370</v>
      </c>
      <c r="F295" s="47" t="s">
        <v>146</v>
      </c>
      <c r="G295" s="46">
        <v>400000</v>
      </c>
      <c r="H295" s="47">
        <v>1.62</v>
      </c>
      <c r="I295" s="46">
        <f t="shared" si="31"/>
        <v>648000</v>
      </c>
      <c r="J295" s="46" t="s">
        <v>374</v>
      </c>
      <c r="K295" s="46"/>
      <c r="L295" s="46" t="s">
        <v>482</v>
      </c>
      <c r="M295" s="47">
        <v>25501610</v>
      </c>
      <c r="N295" s="48">
        <v>4100314701</v>
      </c>
      <c r="O295" s="49">
        <v>46010</v>
      </c>
      <c r="P295" s="50">
        <v>1</v>
      </c>
      <c r="Q295" s="49">
        <v>46023</v>
      </c>
      <c r="R295" s="51" t="s">
        <v>462</v>
      </c>
      <c r="S295" s="51">
        <v>46040</v>
      </c>
      <c r="T295" s="47">
        <v>1</v>
      </c>
      <c r="U295" s="47">
        <v>1</v>
      </c>
      <c r="V295" s="47">
        <v>3</v>
      </c>
      <c r="W295" s="51">
        <f t="shared" si="36"/>
        <v>46045</v>
      </c>
      <c r="X295" s="60"/>
    </row>
    <row r="296" spans="1:24" hidden="1">
      <c r="A296" s="46" t="s">
        <v>351</v>
      </c>
      <c r="B296" s="46" t="s">
        <v>457</v>
      </c>
      <c r="C296" s="47" t="s">
        <v>144</v>
      </c>
      <c r="D296" s="47" t="s">
        <v>144</v>
      </c>
      <c r="E296" s="47">
        <v>50081805</v>
      </c>
      <c r="F296" s="47" t="s">
        <v>207</v>
      </c>
      <c r="G296" s="46">
        <v>400000</v>
      </c>
      <c r="H296" s="47">
        <v>0.62</v>
      </c>
      <c r="I296" s="46">
        <f t="shared" si="31"/>
        <v>248000</v>
      </c>
      <c r="J296" s="46" t="s">
        <v>374</v>
      </c>
      <c r="K296" s="46"/>
      <c r="L296" s="46" t="s">
        <v>482</v>
      </c>
      <c r="M296" s="47">
        <v>25501610</v>
      </c>
      <c r="N296" s="48">
        <v>4100314701</v>
      </c>
      <c r="O296" s="49">
        <v>46010</v>
      </c>
      <c r="P296" s="50">
        <v>2</v>
      </c>
      <c r="Q296" s="49">
        <v>46023</v>
      </c>
      <c r="R296" s="51" t="s">
        <v>462</v>
      </c>
      <c r="S296" s="51">
        <v>46040</v>
      </c>
      <c r="T296" s="47">
        <v>1</v>
      </c>
      <c r="U296" s="47">
        <v>1</v>
      </c>
      <c r="V296" s="47">
        <v>3</v>
      </c>
      <c r="W296" s="51">
        <f t="shared" si="36"/>
        <v>46045</v>
      </c>
      <c r="X296" s="60"/>
    </row>
    <row r="297" spans="1:24" hidden="1">
      <c r="A297" s="46" t="s">
        <v>351</v>
      </c>
      <c r="B297" s="46" t="s">
        <v>457</v>
      </c>
      <c r="C297" s="47" t="s">
        <v>144</v>
      </c>
      <c r="D297" s="47" t="s">
        <v>144</v>
      </c>
      <c r="E297" s="47">
        <v>50081947</v>
      </c>
      <c r="F297" s="47" t="s">
        <v>148</v>
      </c>
      <c r="G297" s="46">
        <v>400000</v>
      </c>
      <c r="H297" s="47">
        <v>0.27</v>
      </c>
      <c r="I297" s="46">
        <f t="shared" si="31"/>
        <v>108000</v>
      </c>
      <c r="J297" s="46" t="s">
        <v>374</v>
      </c>
      <c r="K297" s="46"/>
      <c r="L297" s="46" t="s">
        <v>482</v>
      </c>
      <c r="M297" s="47">
        <v>25501610</v>
      </c>
      <c r="N297" s="48">
        <v>4100314701</v>
      </c>
      <c r="O297" s="49">
        <v>46010</v>
      </c>
      <c r="P297" s="50">
        <v>3</v>
      </c>
      <c r="Q297" s="49">
        <v>46023</v>
      </c>
      <c r="R297" s="51" t="s">
        <v>462</v>
      </c>
      <c r="S297" s="51">
        <v>46040</v>
      </c>
      <c r="T297" s="47">
        <v>1</v>
      </c>
      <c r="U297" s="47">
        <v>1</v>
      </c>
      <c r="V297" s="47">
        <v>3</v>
      </c>
      <c r="W297" s="51">
        <f t="shared" si="36"/>
        <v>46045</v>
      </c>
      <c r="X297" s="60"/>
    </row>
    <row r="298" spans="1:24" hidden="1">
      <c r="A298" s="46" t="s">
        <v>351</v>
      </c>
      <c r="B298" s="46" t="s">
        <v>457</v>
      </c>
      <c r="C298" s="47" t="s">
        <v>144</v>
      </c>
      <c r="D298" s="47" t="s">
        <v>144</v>
      </c>
      <c r="E298" s="47">
        <v>50109736</v>
      </c>
      <c r="F298" s="47" t="s">
        <v>145</v>
      </c>
      <c r="G298" s="46">
        <v>124000</v>
      </c>
      <c r="H298" s="47">
        <v>1.5</v>
      </c>
      <c r="I298" s="46">
        <f t="shared" si="31"/>
        <v>186000</v>
      </c>
      <c r="J298" s="46" t="s">
        <v>374</v>
      </c>
      <c r="K298" s="46"/>
      <c r="L298" s="46"/>
      <c r="M298" s="47">
        <v>25501611</v>
      </c>
      <c r="N298" s="48">
        <v>4100314706</v>
      </c>
      <c r="O298" s="49">
        <v>46010</v>
      </c>
      <c r="P298" s="50">
        <v>1</v>
      </c>
      <c r="Q298" s="49">
        <v>46023</v>
      </c>
      <c r="R298" s="51" t="s">
        <v>462</v>
      </c>
      <c r="S298" s="51">
        <v>46041</v>
      </c>
      <c r="T298" s="47">
        <v>1</v>
      </c>
      <c r="U298" s="47">
        <v>1</v>
      </c>
      <c r="V298" s="47">
        <v>3</v>
      </c>
      <c r="W298" s="51">
        <f t="shared" si="36"/>
        <v>46046</v>
      </c>
      <c r="X298" s="60"/>
    </row>
    <row r="299" spans="1:24" hidden="1">
      <c r="A299" s="46" t="s">
        <v>351</v>
      </c>
      <c r="B299" s="46" t="s">
        <v>457</v>
      </c>
      <c r="C299" s="47" t="s">
        <v>144</v>
      </c>
      <c r="D299" s="47" t="s">
        <v>144</v>
      </c>
      <c r="E299" s="47">
        <v>50108251</v>
      </c>
      <c r="F299" s="47" t="s">
        <v>142</v>
      </c>
      <c r="G299" s="46">
        <v>124000</v>
      </c>
      <c r="H299" s="47">
        <v>0.78</v>
      </c>
      <c r="I299" s="46">
        <f t="shared" si="31"/>
        <v>96720</v>
      </c>
      <c r="J299" s="46" t="s">
        <v>374</v>
      </c>
      <c r="K299" s="46"/>
      <c r="L299" s="46"/>
      <c r="M299" s="47">
        <v>25501611</v>
      </c>
      <c r="N299" s="48">
        <v>4100314706</v>
      </c>
      <c r="O299" s="49">
        <v>46010</v>
      </c>
      <c r="P299" s="50">
        <v>2</v>
      </c>
      <c r="Q299" s="49">
        <v>46023</v>
      </c>
      <c r="R299" s="47" t="s">
        <v>463</v>
      </c>
      <c r="S299" s="51">
        <v>46041</v>
      </c>
      <c r="T299" s="47">
        <v>1</v>
      </c>
      <c r="U299" s="47">
        <v>1</v>
      </c>
      <c r="V299" s="47">
        <v>3</v>
      </c>
      <c r="W299" s="51">
        <f t="shared" si="36"/>
        <v>46046</v>
      </c>
      <c r="X299" s="60"/>
    </row>
    <row r="300" spans="1:24" hidden="1">
      <c r="A300" s="46" t="s">
        <v>351</v>
      </c>
      <c r="B300" s="46" t="s">
        <v>457</v>
      </c>
      <c r="C300" s="47" t="s">
        <v>144</v>
      </c>
      <c r="D300" s="47" t="s">
        <v>144</v>
      </c>
      <c r="E300" s="47">
        <v>50111939</v>
      </c>
      <c r="F300" s="47" t="s">
        <v>39</v>
      </c>
      <c r="G300" s="46">
        <v>124000</v>
      </c>
      <c r="H300" s="47">
        <v>0.26</v>
      </c>
      <c r="I300" s="46">
        <f t="shared" si="31"/>
        <v>32240</v>
      </c>
      <c r="J300" s="46" t="s">
        <v>374</v>
      </c>
      <c r="K300" s="46"/>
      <c r="L300" s="46"/>
      <c r="M300" s="47">
        <v>25501611</v>
      </c>
      <c r="N300" s="48">
        <v>4100314706</v>
      </c>
      <c r="O300" s="49">
        <v>46010</v>
      </c>
      <c r="P300" s="50">
        <v>3</v>
      </c>
      <c r="Q300" s="49">
        <v>46023</v>
      </c>
      <c r="R300" s="47" t="s">
        <v>463</v>
      </c>
      <c r="S300" s="51">
        <v>46041</v>
      </c>
      <c r="T300" s="47">
        <v>1</v>
      </c>
      <c r="U300" s="47">
        <v>1</v>
      </c>
      <c r="V300" s="47">
        <v>3</v>
      </c>
      <c r="W300" s="51">
        <f t="shared" si="36"/>
        <v>46046</v>
      </c>
      <c r="X300" s="60"/>
    </row>
    <row r="301" spans="1:24" hidden="1">
      <c r="A301" s="47" t="s">
        <v>347</v>
      </c>
      <c r="B301" s="46" t="s">
        <v>455</v>
      </c>
      <c r="C301" s="47" t="s">
        <v>391</v>
      </c>
      <c r="D301" s="47" t="str">
        <f>C301</f>
        <v>MYLAN LABORATORIES LTD - NASHIK</v>
      </c>
      <c r="E301" s="53">
        <v>50102168</v>
      </c>
      <c r="F301" s="47" t="s">
        <v>132</v>
      </c>
      <c r="G301" s="46">
        <v>400000</v>
      </c>
      <c r="H301" s="47">
        <v>2.98</v>
      </c>
      <c r="I301" s="46">
        <f t="shared" ref="I301" si="37">G301*H301</f>
        <v>1192000</v>
      </c>
      <c r="J301" s="46" t="s">
        <v>374</v>
      </c>
      <c r="K301" s="46">
        <v>700000</v>
      </c>
      <c r="L301" s="46" t="s">
        <v>482</v>
      </c>
      <c r="M301" s="47"/>
      <c r="N301" s="47"/>
      <c r="O301" s="47"/>
      <c r="P301" s="47"/>
      <c r="Q301" s="49"/>
      <c r="R301" s="47" t="s">
        <v>495</v>
      </c>
      <c r="S301" s="52">
        <v>46028</v>
      </c>
      <c r="T301" s="47">
        <v>1</v>
      </c>
      <c r="U301" s="47">
        <v>1</v>
      </c>
      <c r="V301" s="47"/>
      <c r="W301" s="52">
        <f t="shared" ref="W301" si="38">S301+T301+U301</f>
        <v>46030</v>
      </c>
      <c r="X301" s="59"/>
    </row>
    <row r="302" spans="1:24" hidden="1">
      <c r="A302" s="47" t="s">
        <v>347</v>
      </c>
      <c r="B302" s="46" t="s">
        <v>455</v>
      </c>
      <c r="C302" s="47" t="s">
        <v>391</v>
      </c>
      <c r="D302" s="47" t="str">
        <f>C302</f>
        <v>MYLAN LABORATORIES LTD - NASHIK</v>
      </c>
      <c r="E302" s="53">
        <v>50102168</v>
      </c>
      <c r="F302" s="47" t="s">
        <v>132</v>
      </c>
      <c r="G302" s="46">
        <v>300000</v>
      </c>
      <c r="H302" s="47">
        <v>2.98</v>
      </c>
      <c r="I302" s="46">
        <f t="shared" si="31"/>
        <v>894000</v>
      </c>
      <c r="J302" s="46" t="s">
        <v>374</v>
      </c>
      <c r="K302" s="46">
        <v>300000</v>
      </c>
      <c r="L302" s="46"/>
      <c r="M302" s="47"/>
      <c r="N302" s="47"/>
      <c r="O302" s="47"/>
      <c r="P302" s="47"/>
      <c r="Q302" s="49"/>
      <c r="R302" s="47" t="s">
        <v>495</v>
      </c>
      <c r="S302" s="52">
        <v>46028</v>
      </c>
      <c r="T302" s="47">
        <v>1</v>
      </c>
      <c r="U302" s="47">
        <v>1</v>
      </c>
      <c r="V302" s="47"/>
      <c r="W302" s="52">
        <f t="shared" ref="W302:W304" si="39">S302+T302+U302</f>
        <v>46030</v>
      </c>
      <c r="X302" s="59"/>
    </row>
    <row r="303" spans="1:24" hidden="1">
      <c r="A303" s="47" t="s">
        <v>347</v>
      </c>
      <c r="B303" s="46" t="s">
        <v>455</v>
      </c>
      <c r="C303" s="47" t="s">
        <v>391</v>
      </c>
      <c r="D303" s="47" t="str">
        <f>C303</f>
        <v>MYLAN LABORATORIES LTD - NASHIK</v>
      </c>
      <c r="E303" s="53">
        <v>50102169</v>
      </c>
      <c r="F303" s="47" t="s">
        <v>395</v>
      </c>
      <c r="G303" s="46">
        <v>100000</v>
      </c>
      <c r="H303" s="47">
        <v>2.9</v>
      </c>
      <c r="I303" s="46">
        <f t="shared" si="31"/>
        <v>290000</v>
      </c>
      <c r="J303" s="47" t="s">
        <v>374</v>
      </c>
      <c r="K303" s="47">
        <v>100000</v>
      </c>
      <c r="L303" s="47" t="s">
        <v>482</v>
      </c>
      <c r="M303" s="47"/>
      <c r="N303" s="47"/>
      <c r="O303" s="47"/>
      <c r="P303" s="47"/>
      <c r="Q303" s="49"/>
      <c r="R303" s="47" t="s">
        <v>495</v>
      </c>
      <c r="S303" s="52">
        <v>46028</v>
      </c>
      <c r="T303" s="47">
        <v>1</v>
      </c>
      <c r="U303" s="47">
        <v>1</v>
      </c>
      <c r="V303" s="47"/>
      <c r="W303" s="52">
        <f t="shared" si="39"/>
        <v>46030</v>
      </c>
      <c r="X303" s="59"/>
    </row>
    <row r="304" spans="1:24" hidden="1">
      <c r="A304" s="47" t="s">
        <v>347</v>
      </c>
      <c r="B304" s="46" t="s">
        <v>455</v>
      </c>
      <c r="C304" s="47" t="s">
        <v>391</v>
      </c>
      <c r="D304" s="47" t="str">
        <f>C304</f>
        <v>MYLAN LABORATORIES LTD - NASHIK</v>
      </c>
      <c r="E304" s="53">
        <v>50102170</v>
      </c>
      <c r="F304" s="47" t="s">
        <v>240</v>
      </c>
      <c r="G304" s="46">
        <v>50000</v>
      </c>
      <c r="H304" s="47">
        <v>2.75</v>
      </c>
      <c r="I304" s="46">
        <f t="shared" si="31"/>
        <v>137500</v>
      </c>
      <c r="J304" s="47" t="s">
        <v>374</v>
      </c>
      <c r="K304" s="47">
        <v>50000</v>
      </c>
      <c r="L304" s="47" t="s">
        <v>482</v>
      </c>
      <c r="M304" s="47"/>
      <c r="N304" s="47"/>
      <c r="O304" s="47"/>
      <c r="P304" s="47"/>
      <c r="Q304" s="49"/>
      <c r="R304" s="47" t="s">
        <v>495</v>
      </c>
      <c r="S304" s="52">
        <v>46028</v>
      </c>
      <c r="T304" s="47">
        <v>1</v>
      </c>
      <c r="U304" s="47">
        <v>1</v>
      </c>
      <c r="V304" s="47"/>
      <c r="W304" s="52">
        <f t="shared" si="39"/>
        <v>46030</v>
      </c>
      <c r="X304" s="59"/>
    </row>
    <row r="305" spans="1:24" hidden="1">
      <c r="A305" s="46" t="s">
        <v>346</v>
      </c>
      <c r="B305" s="46" t="s">
        <v>457</v>
      </c>
      <c r="C305" s="47" t="s">
        <v>259</v>
      </c>
      <c r="D305" s="47" t="s">
        <v>259</v>
      </c>
      <c r="E305" s="47">
        <v>50114358</v>
      </c>
      <c r="F305" s="47" t="s">
        <v>60</v>
      </c>
      <c r="G305" s="46">
        <v>160000</v>
      </c>
      <c r="H305" s="47">
        <v>3.89</v>
      </c>
      <c r="I305" s="46">
        <f t="shared" si="31"/>
        <v>622400</v>
      </c>
      <c r="J305" s="46" t="s">
        <v>374</v>
      </c>
      <c r="K305" s="46"/>
      <c r="L305" s="46" t="s">
        <v>482</v>
      </c>
      <c r="M305" s="47">
        <v>25501616</v>
      </c>
      <c r="N305" s="48" t="s">
        <v>258</v>
      </c>
      <c r="O305" s="49">
        <v>46010</v>
      </c>
      <c r="P305" s="50">
        <v>1</v>
      </c>
      <c r="Q305" s="49">
        <v>46041</v>
      </c>
      <c r="R305" s="47" t="s">
        <v>463</v>
      </c>
      <c r="S305" s="51">
        <v>46034</v>
      </c>
      <c r="T305" s="47">
        <v>1</v>
      </c>
      <c r="U305" s="47">
        <v>1</v>
      </c>
      <c r="V305" s="47">
        <v>3</v>
      </c>
      <c r="W305" s="52">
        <f t="shared" ref="W305:W329" si="40">S305+T305+U305+V305</f>
        <v>46039</v>
      </c>
      <c r="X305" s="59"/>
    </row>
    <row r="306" spans="1:24" hidden="1">
      <c r="A306" s="46" t="s">
        <v>346</v>
      </c>
      <c r="B306" s="46" t="s">
        <v>457</v>
      </c>
      <c r="C306" s="47" t="s">
        <v>259</v>
      </c>
      <c r="D306" s="47" t="s">
        <v>259</v>
      </c>
      <c r="E306" s="47">
        <v>50113743</v>
      </c>
      <c r="F306" s="47" t="s">
        <v>170</v>
      </c>
      <c r="G306" s="46">
        <v>160000</v>
      </c>
      <c r="H306" s="47">
        <v>1.65</v>
      </c>
      <c r="I306" s="46">
        <f t="shared" si="31"/>
        <v>264000</v>
      </c>
      <c r="J306" s="46" t="s">
        <v>374</v>
      </c>
      <c r="K306" s="46"/>
      <c r="L306" s="46" t="s">
        <v>482</v>
      </c>
      <c r="M306" s="47">
        <v>25501616</v>
      </c>
      <c r="N306" s="48" t="s">
        <v>258</v>
      </c>
      <c r="O306" s="49">
        <v>46010</v>
      </c>
      <c r="P306" s="50">
        <v>2</v>
      </c>
      <c r="Q306" s="49">
        <v>46041</v>
      </c>
      <c r="R306" s="47" t="s">
        <v>463</v>
      </c>
      <c r="S306" s="51">
        <v>46034</v>
      </c>
      <c r="T306" s="47">
        <v>1</v>
      </c>
      <c r="U306" s="47">
        <v>1</v>
      </c>
      <c r="V306" s="47">
        <v>3</v>
      </c>
      <c r="W306" s="52">
        <f t="shared" si="40"/>
        <v>46039</v>
      </c>
      <c r="X306" s="59"/>
    </row>
    <row r="307" spans="1:24" hidden="1">
      <c r="A307" s="46" t="s">
        <v>346</v>
      </c>
      <c r="B307" s="46" t="s">
        <v>457</v>
      </c>
      <c r="C307" s="47" t="s">
        <v>259</v>
      </c>
      <c r="D307" s="47" t="s">
        <v>259</v>
      </c>
      <c r="E307" s="47">
        <v>50105703</v>
      </c>
      <c r="F307" s="47" t="s">
        <v>260</v>
      </c>
      <c r="G307" s="46">
        <v>160000</v>
      </c>
      <c r="H307" s="47">
        <v>1.1000000000000001</v>
      </c>
      <c r="I307" s="46">
        <f t="shared" si="31"/>
        <v>176000</v>
      </c>
      <c r="J307" s="46" t="s">
        <v>374</v>
      </c>
      <c r="K307" s="46"/>
      <c r="L307" s="46" t="s">
        <v>482</v>
      </c>
      <c r="M307" s="47">
        <v>25501616</v>
      </c>
      <c r="N307" s="48" t="s">
        <v>258</v>
      </c>
      <c r="O307" s="49">
        <v>46010</v>
      </c>
      <c r="P307" s="50">
        <v>3</v>
      </c>
      <c r="Q307" s="49">
        <v>46041</v>
      </c>
      <c r="R307" s="47" t="s">
        <v>463</v>
      </c>
      <c r="S307" s="51">
        <v>46034</v>
      </c>
      <c r="T307" s="47">
        <v>1</v>
      </c>
      <c r="U307" s="47">
        <v>1</v>
      </c>
      <c r="V307" s="47">
        <v>3</v>
      </c>
      <c r="W307" s="52">
        <f t="shared" si="40"/>
        <v>46039</v>
      </c>
      <c r="X307" s="59"/>
    </row>
    <row r="308" spans="1:24" hidden="1">
      <c r="A308" s="46" t="s">
        <v>346</v>
      </c>
      <c r="B308" s="46" t="s">
        <v>455</v>
      </c>
      <c r="C308" s="47" t="s">
        <v>151</v>
      </c>
      <c r="D308" s="47" t="s">
        <v>151</v>
      </c>
      <c r="E308" s="47">
        <v>50114361</v>
      </c>
      <c r="F308" s="47" t="s">
        <v>61</v>
      </c>
      <c r="G308" s="46">
        <v>400000</v>
      </c>
      <c r="H308" s="47">
        <v>2.96</v>
      </c>
      <c r="I308" s="46">
        <f t="shared" si="31"/>
        <v>1184000</v>
      </c>
      <c r="J308" s="46" t="s">
        <v>374</v>
      </c>
      <c r="K308" s="46"/>
      <c r="L308" s="46" t="s">
        <v>482</v>
      </c>
      <c r="M308" s="47">
        <v>25501617</v>
      </c>
      <c r="N308" s="48">
        <v>4300009761</v>
      </c>
      <c r="O308" s="49">
        <v>46010</v>
      </c>
      <c r="P308" s="50">
        <v>1</v>
      </c>
      <c r="Q308" s="49">
        <v>46052</v>
      </c>
      <c r="R308" s="47" t="s">
        <v>463</v>
      </c>
      <c r="S308" s="51">
        <v>46026</v>
      </c>
      <c r="T308" s="47">
        <v>1</v>
      </c>
      <c r="U308" s="47">
        <v>1</v>
      </c>
      <c r="V308" s="47">
        <v>3</v>
      </c>
      <c r="W308" s="52">
        <f t="shared" si="40"/>
        <v>46031</v>
      </c>
      <c r="X308" s="59"/>
    </row>
    <row r="309" spans="1:24" hidden="1">
      <c r="A309" s="46" t="s">
        <v>346</v>
      </c>
      <c r="B309" s="46" t="s">
        <v>455</v>
      </c>
      <c r="C309" s="47" t="s">
        <v>151</v>
      </c>
      <c r="D309" s="47" t="s">
        <v>151</v>
      </c>
      <c r="E309" s="47">
        <v>50113743</v>
      </c>
      <c r="F309" s="47" t="s">
        <v>170</v>
      </c>
      <c r="G309" s="46">
        <v>75000</v>
      </c>
      <c r="H309" s="47">
        <v>1.92</v>
      </c>
      <c r="I309" s="46">
        <f t="shared" si="31"/>
        <v>144000</v>
      </c>
      <c r="J309" s="46" t="s">
        <v>374</v>
      </c>
      <c r="K309" s="46"/>
      <c r="L309" s="46" t="s">
        <v>482</v>
      </c>
      <c r="M309" s="47">
        <v>25501617</v>
      </c>
      <c r="N309" s="48">
        <v>4300009761</v>
      </c>
      <c r="O309" s="49">
        <v>46010</v>
      </c>
      <c r="P309" s="50">
        <v>2</v>
      </c>
      <c r="Q309" s="49">
        <v>46052</v>
      </c>
      <c r="R309" s="47" t="s">
        <v>463</v>
      </c>
      <c r="S309" s="51">
        <v>46026</v>
      </c>
      <c r="T309" s="47">
        <v>1</v>
      </c>
      <c r="U309" s="47">
        <v>1</v>
      </c>
      <c r="V309" s="47">
        <v>3</v>
      </c>
      <c r="W309" s="52">
        <f t="shared" si="40"/>
        <v>46031</v>
      </c>
      <c r="X309" s="59"/>
    </row>
    <row r="310" spans="1:24" hidden="1">
      <c r="A310" s="46" t="s">
        <v>346</v>
      </c>
      <c r="B310" s="46" t="s">
        <v>455</v>
      </c>
      <c r="C310" s="47" t="s">
        <v>151</v>
      </c>
      <c r="D310" s="47" t="s">
        <v>151</v>
      </c>
      <c r="E310" s="47">
        <v>50113649</v>
      </c>
      <c r="F310" s="47" t="s">
        <v>56</v>
      </c>
      <c r="G310" s="46">
        <v>600000</v>
      </c>
      <c r="H310" s="47">
        <v>1.64</v>
      </c>
      <c r="I310" s="46">
        <f t="shared" si="31"/>
        <v>983999.99999999988</v>
      </c>
      <c r="J310" s="46" t="s">
        <v>374</v>
      </c>
      <c r="K310" s="46"/>
      <c r="L310" s="46" t="s">
        <v>482</v>
      </c>
      <c r="M310" s="47">
        <v>25501617</v>
      </c>
      <c r="N310" s="48">
        <v>4300009761</v>
      </c>
      <c r="O310" s="49">
        <v>46010</v>
      </c>
      <c r="P310" s="50">
        <v>3</v>
      </c>
      <c r="Q310" s="49">
        <v>46052</v>
      </c>
      <c r="R310" s="47" t="s">
        <v>462</v>
      </c>
      <c r="S310" s="51">
        <v>46026</v>
      </c>
      <c r="T310" s="47">
        <v>1</v>
      </c>
      <c r="U310" s="47">
        <v>1</v>
      </c>
      <c r="V310" s="47">
        <v>3</v>
      </c>
      <c r="W310" s="52">
        <f t="shared" si="40"/>
        <v>46031</v>
      </c>
      <c r="X310" s="59"/>
    </row>
    <row r="311" spans="1:24" hidden="1">
      <c r="A311" s="46" t="s">
        <v>346</v>
      </c>
      <c r="B311" s="46" t="s">
        <v>455</v>
      </c>
      <c r="C311" s="47" t="s">
        <v>151</v>
      </c>
      <c r="D311" s="47" t="s">
        <v>151</v>
      </c>
      <c r="E311" s="47">
        <v>50091673</v>
      </c>
      <c r="F311" s="47" t="s">
        <v>2</v>
      </c>
      <c r="G311" s="46">
        <v>150000</v>
      </c>
      <c r="H311" s="47">
        <v>3.29</v>
      </c>
      <c r="I311" s="46">
        <f t="shared" si="31"/>
        <v>493500</v>
      </c>
      <c r="J311" s="46" t="s">
        <v>374</v>
      </c>
      <c r="K311" s="46"/>
      <c r="L311" s="46" t="s">
        <v>482</v>
      </c>
      <c r="M311" s="47">
        <v>25501617</v>
      </c>
      <c r="N311" s="48">
        <v>4300009761</v>
      </c>
      <c r="O311" s="49">
        <v>46010</v>
      </c>
      <c r="P311" s="50">
        <v>4</v>
      </c>
      <c r="Q311" s="49">
        <v>46052</v>
      </c>
      <c r="R311" s="47" t="s">
        <v>463</v>
      </c>
      <c r="S311" s="51">
        <v>46026</v>
      </c>
      <c r="T311" s="47">
        <v>1</v>
      </c>
      <c r="U311" s="47">
        <v>1</v>
      </c>
      <c r="V311" s="47">
        <v>3</v>
      </c>
      <c r="W311" s="52">
        <f t="shared" si="40"/>
        <v>46031</v>
      </c>
      <c r="X311" s="59"/>
    </row>
    <row r="312" spans="1:24" hidden="1">
      <c r="A312" s="46" t="s">
        <v>346</v>
      </c>
      <c r="B312" s="46" t="s">
        <v>455</v>
      </c>
      <c r="C312" s="47" t="s">
        <v>151</v>
      </c>
      <c r="D312" s="47" t="s">
        <v>151</v>
      </c>
      <c r="E312" s="47">
        <v>50113750</v>
      </c>
      <c r="F312" s="47" t="s">
        <v>176</v>
      </c>
      <c r="G312" s="46">
        <v>175000</v>
      </c>
      <c r="H312" s="47">
        <v>1.92</v>
      </c>
      <c r="I312" s="46">
        <f t="shared" si="31"/>
        <v>336000</v>
      </c>
      <c r="J312" s="46" t="s">
        <v>374</v>
      </c>
      <c r="K312" s="46"/>
      <c r="L312" s="46" t="s">
        <v>482</v>
      </c>
      <c r="M312" s="47">
        <v>25501617</v>
      </c>
      <c r="N312" s="48">
        <v>4300009761</v>
      </c>
      <c r="O312" s="49">
        <v>46010</v>
      </c>
      <c r="P312" s="50">
        <v>5</v>
      </c>
      <c r="Q312" s="49">
        <v>46052</v>
      </c>
      <c r="R312" s="47" t="s">
        <v>463</v>
      </c>
      <c r="S312" s="51">
        <v>46026</v>
      </c>
      <c r="T312" s="47">
        <v>1</v>
      </c>
      <c r="U312" s="47">
        <v>1</v>
      </c>
      <c r="V312" s="47">
        <v>3</v>
      </c>
      <c r="W312" s="52">
        <f t="shared" si="40"/>
        <v>46031</v>
      </c>
      <c r="X312" s="59"/>
    </row>
    <row r="313" spans="1:24" hidden="1">
      <c r="A313" s="46" t="s">
        <v>346</v>
      </c>
      <c r="B313" s="46" t="s">
        <v>455</v>
      </c>
      <c r="C313" s="47" t="s">
        <v>151</v>
      </c>
      <c r="D313" s="47" t="s">
        <v>151</v>
      </c>
      <c r="E313" s="47">
        <v>50114342</v>
      </c>
      <c r="F313" s="47" t="s">
        <v>32</v>
      </c>
      <c r="G313" s="46">
        <v>125000</v>
      </c>
      <c r="H313" s="47">
        <v>1.7</v>
      </c>
      <c r="I313" s="46">
        <f t="shared" si="31"/>
        <v>212500</v>
      </c>
      <c r="J313" s="46" t="s">
        <v>374</v>
      </c>
      <c r="K313" s="46"/>
      <c r="L313" s="46" t="s">
        <v>482</v>
      </c>
      <c r="M313" s="47">
        <v>25501617</v>
      </c>
      <c r="N313" s="48">
        <v>4300009761</v>
      </c>
      <c r="O313" s="49">
        <v>46010</v>
      </c>
      <c r="P313" s="50">
        <v>6</v>
      </c>
      <c r="Q313" s="49">
        <v>46052</v>
      </c>
      <c r="R313" s="47" t="s">
        <v>463</v>
      </c>
      <c r="S313" s="51">
        <v>46026</v>
      </c>
      <c r="T313" s="47">
        <v>1</v>
      </c>
      <c r="U313" s="47">
        <v>1</v>
      </c>
      <c r="V313" s="47">
        <v>3</v>
      </c>
      <c r="W313" s="52">
        <f t="shared" si="40"/>
        <v>46031</v>
      </c>
      <c r="X313" s="59"/>
    </row>
    <row r="314" spans="1:24" hidden="1">
      <c r="A314" s="46" t="s">
        <v>349</v>
      </c>
      <c r="B314" s="46" t="s">
        <v>457</v>
      </c>
      <c r="C314" s="47" t="s">
        <v>199</v>
      </c>
      <c r="D314" s="47" t="s">
        <v>199</v>
      </c>
      <c r="E314" s="47">
        <v>50114671</v>
      </c>
      <c r="F314" s="47" t="s">
        <v>29</v>
      </c>
      <c r="G314" s="46">
        <v>300000</v>
      </c>
      <c r="H314" s="47">
        <v>1.78</v>
      </c>
      <c r="I314" s="46">
        <f t="shared" ref="I314" si="41">G314*H314</f>
        <v>534000</v>
      </c>
      <c r="J314" s="46" t="s">
        <v>374</v>
      </c>
      <c r="K314" s="46"/>
      <c r="L314" s="46" t="s">
        <v>482</v>
      </c>
      <c r="M314" s="47">
        <v>25501619</v>
      </c>
      <c r="N314" s="48">
        <v>9300794312</v>
      </c>
      <c r="O314" s="49">
        <v>46010</v>
      </c>
      <c r="P314" s="50">
        <v>1</v>
      </c>
      <c r="Q314" s="49">
        <v>46037</v>
      </c>
      <c r="R314" s="47" t="s">
        <v>462</v>
      </c>
      <c r="S314" s="51">
        <v>46045</v>
      </c>
      <c r="T314" s="47">
        <v>1</v>
      </c>
      <c r="U314" s="47">
        <v>1</v>
      </c>
      <c r="V314" s="47">
        <v>3</v>
      </c>
      <c r="W314" s="51">
        <f t="shared" ref="W314" si="42">S314+T314+U314+V314</f>
        <v>46050</v>
      </c>
      <c r="X314" s="60"/>
    </row>
    <row r="315" spans="1:24" hidden="1">
      <c r="A315" s="46" t="s">
        <v>349</v>
      </c>
      <c r="B315" s="46" t="s">
        <v>457</v>
      </c>
      <c r="C315" s="47" t="s">
        <v>199</v>
      </c>
      <c r="D315" s="47" t="s">
        <v>199</v>
      </c>
      <c r="E315" s="47">
        <v>50114671</v>
      </c>
      <c r="F315" s="47" t="s">
        <v>29</v>
      </c>
      <c r="G315" s="46">
        <v>310000</v>
      </c>
      <c r="H315" s="47">
        <v>1.78</v>
      </c>
      <c r="I315" s="46">
        <f t="shared" si="31"/>
        <v>551800</v>
      </c>
      <c r="J315" s="46" t="s">
        <v>374</v>
      </c>
      <c r="K315" s="46"/>
      <c r="L315" s="46"/>
      <c r="M315" s="47">
        <v>25501619</v>
      </c>
      <c r="N315" s="48">
        <v>9300794312</v>
      </c>
      <c r="O315" s="49">
        <v>46010</v>
      </c>
      <c r="P315" s="50">
        <v>1</v>
      </c>
      <c r="Q315" s="49">
        <v>46037</v>
      </c>
      <c r="R315" s="47" t="s">
        <v>462</v>
      </c>
      <c r="S315" s="51">
        <v>46045</v>
      </c>
      <c r="T315" s="47">
        <v>1</v>
      </c>
      <c r="U315" s="47">
        <v>1</v>
      </c>
      <c r="V315" s="47">
        <v>3</v>
      </c>
      <c r="W315" s="51">
        <f t="shared" si="40"/>
        <v>46050</v>
      </c>
      <c r="X315" s="60"/>
    </row>
    <row r="316" spans="1:24" hidden="1">
      <c r="A316" s="46" t="s">
        <v>349</v>
      </c>
      <c r="B316" s="46" t="s">
        <v>457</v>
      </c>
      <c r="C316" s="47" t="s">
        <v>199</v>
      </c>
      <c r="D316" s="47" t="s">
        <v>199</v>
      </c>
      <c r="E316" s="47">
        <v>50113649</v>
      </c>
      <c r="F316" s="47" t="s">
        <v>56</v>
      </c>
      <c r="G316" s="46">
        <v>537500</v>
      </c>
      <c r="H316" s="47">
        <v>0.45</v>
      </c>
      <c r="I316" s="46">
        <f t="shared" si="31"/>
        <v>241875</v>
      </c>
      <c r="J316" s="46" t="s">
        <v>374</v>
      </c>
      <c r="K316" s="46"/>
      <c r="L316" s="46"/>
      <c r="M316" s="47">
        <v>25501619</v>
      </c>
      <c r="N316" s="48">
        <v>9300794312</v>
      </c>
      <c r="O316" s="49">
        <v>46010</v>
      </c>
      <c r="P316" s="50">
        <v>2.1</v>
      </c>
      <c r="Q316" s="49">
        <v>46073</v>
      </c>
      <c r="R316" s="52" t="s">
        <v>463</v>
      </c>
      <c r="S316" s="52">
        <v>46032</v>
      </c>
      <c r="T316" s="47">
        <v>1</v>
      </c>
      <c r="U316" s="47">
        <v>1</v>
      </c>
      <c r="V316" s="47">
        <v>3</v>
      </c>
      <c r="W316" s="51">
        <f t="shared" si="40"/>
        <v>46037</v>
      </c>
      <c r="X316" s="60"/>
    </row>
    <row r="317" spans="1:24" hidden="1">
      <c r="A317" s="46" t="s">
        <v>349</v>
      </c>
      <c r="B317" s="46" t="s">
        <v>457</v>
      </c>
      <c r="C317" s="47" t="s">
        <v>199</v>
      </c>
      <c r="D317" s="47" t="s">
        <v>199</v>
      </c>
      <c r="E317" s="47">
        <v>50113649</v>
      </c>
      <c r="F317" s="47" t="s">
        <v>56</v>
      </c>
      <c r="G317" s="46">
        <v>1840000</v>
      </c>
      <c r="H317" s="47">
        <v>0.45</v>
      </c>
      <c r="I317" s="46">
        <f t="shared" si="31"/>
        <v>828000</v>
      </c>
      <c r="J317" s="46" t="s">
        <v>374</v>
      </c>
      <c r="K317" s="46"/>
      <c r="L317" s="46"/>
      <c r="M317" s="47">
        <v>25501619</v>
      </c>
      <c r="N317" s="48">
        <v>9300794312</v>
      </c>
      <c r="O317" s="49">
        <v>46010</v>
      </c>
      <c r="P317" s="50">
        <v>3</v>
      </c>
      <c r="Q317" s="49">
        <v>46037</v>
      </c>
      <c r="R317" s="52" t="s">
        <v>463</v>
      </c>
      <c r="S317" s="52">
        <v>46032</v>
      </c>
      <c r="T317" s="47">
        <v>1</v>
      </c>
      <c r="U317" s="47">
        <v>1</v>
      </c>
      <c r="V317" s="47">
        <v>3</v>
      </c>
      <c r="W317" s="51">
        <f t="shared" si="40"/>
        <v>46037</v>
      </c>
      <c r="X317" s="60"/>
    </row>
    <row r="318" spans="1:24" hidden="1">
      <c r="A318" s="46" t="s">
        <v>349</v>
      </c>
      <c r="B318" s="46" t="s">
        <v>457</v>
      </c>
      <c r="C318" s="47" t="s">
        <v>199</v>
      </c>
      <c r="D318" s="47" t="s">
        <v>199</v>
      </c>
      <c r="E318" s="47">
        <v>50081723</v>
      </c>
      <c r="F318" s="47" t="s">
        <v>55</v>
      </c>
      <c r="G318" s="46">
        <v>1259650</v>
      </c>
      <c r="H318" s="47">
        <v>1.1599999999999999</v>
      </c>
      <c r="I318" s="46">
        <f t="shared" si="31"/>
        <v>1461194</v>
      </c>
      <c r="J318" s="46" t="s">
        <v>374</v>
      </c>
      <c r="K318" s="46"/>
      <c r="L318" s="46"/>
      <c r="M318" s="47">
        <v>25501619</v>
      </c>
      <c r="N318" s="48">
        <v>9300794312</v>
      </c>
      <c r="O318" s="49">
        <v>46010</v>
      </c>
      <c r="P318" s="50">
        <v>4.0999999999999996</v>
      </c>
      <c r="Q318" s="49">
        <v>46037</v>
      </c>
      <c r="R318" s="52" t="s">
        <v>462</v>
      </c>
      <c r="S318" s="52">
        <v>46032</v>
      </c>
      <c r="T318" s="47">
        <v>1</v>
      </c>
      <c r="U318" s="47">
        <v>1</v>
      </c>
      <c r="V318" s="47">
        <v>3</v>
      </c>
      <c r="W318" s="51">
        <f t="shared" si="40"/>
        <v>46037</v>
      </c>
      <c r="X318" s="60"/>
    </row>
    <row r="319" spans="1:24" hidden="1">
      <c r="A319" s="46" t="s">
        <v>349</v>
      </c>
      <c r="B319" s="46" t="s">
        <v>457</v>
      </c>
      <c r="C319" s="47" t="s">
        <v>199</v>
      </c>
      <c r="D319" s="47" t="s">
        <v>199</v>
      </c>
      <c r="E319" s="47">
        <v>50081670</v>
      </c>
      <c r="F319" s="47" t="s">
        <v>30</v>
      </c>
      <c r="G319" s="46">
        <v>373600</v>
      </c>
      <c r="H319" s="47">
        <v>1.1599999999999999</v>
      </c>
      <c r="I319" s="46">
        <f t="shared" si="31"/>
        <v>433375.99999999994</v>
      </c>
      <c r="J319" s="46" t="s">
        <v>374</v>
      </c>
      <c r="K319" s="46"/>
      <c r="L319" s="46" t="s">
        <v>482</v>
      </c>
      <c r="M319" s="47">
        <v>25501619</v>
      </c>
      <c r="N319" s="48">
        <v>9300794312</v>
      </c>
      <c r="O319" s="49">
        <v>46010</v>
      </c>
      <c r="P319" s="50">
        <v>5.0999999999999996</v>
      </c>
      <c r="Q319" s="49">
        <v>46073</v>
      </c>
      <c r="R319" s="52" t="s">
        <v>462</v>
      </c>
      <c r="S319" s="52">
        <v>46022</v>
      </c>
      <c r="T319" s="47">
        <v>1</v>
      </c>
      <c r="U319" s="47">
        <v>1</v>
      </c>
      <c r="V319" s="47">
        <v>3</v>
      </c>
      <c r="W319" s="51">
        <f t="shared" si="40"/>
        <v>46027</v>
      </c>
      <c r="X319" s="60"/>
    </row>
    <row r="320" spans="1:24" hidden="1">
      <c r="A320" s="46" t="s">
        <v>349</v>
      </c>
      <c r="B320" s="46" t="s">
        <v>457</v>
      </c>
      <c r="C320" s="47" t="s">
        <v>199</v>
      </c>
      <c r="D320" s="47" t="s">
        <v>199</v>
      </c>
      <c r="E320" s="47">
        <v>50114364</v>
      </c>
      <c r="F320" s="47" t="s">
        <v>143</v>
      </c>
      <c r="G320" s="46">
        <v>970000</v>
      </c>
      <c r="H320" s="47">
        <v>1.44</v>
      </c>
      <c r="I320" s="46">
        <f t="shared" si="31"/>
        <v>1396800</v>
      </c>
      <c r="J320" s="46" t="s">
        <v>374</v>
      </c>
      <c r="K320" s="46"/>
      <c r="L320" s="46"/>
      <c r="M320" s="47">
        <v>25501619</v>
      </c>
      <c r="N320" s="48">
        <v>9300794312</v>
      </c>
      <c r="O320" s="49">
        <v>46010</v>
      </c>
      <c r="P320" s="50">
        <v>6</v>
      </c>
      <c r="Q320" s="49">
        <v>46069</v>
      </c>
      <c r="R320" s="52" t="s">
        <v>462</v>
      </c>
      <c r="S320" s="52">
        <v>46029</v>
      </c>
      <c r="T320" s="47">
        <v>1</v>
      </c>
      <c r="U320" s="47">
        <v>1</v>
      </c>
      <c r="V320" s="47">
        <v>3</v>
      </c>
      <c r="W320" s="51">
        <f t="shared" si="40"/>
        <v>46034</v>
      </c>
      <c r="X320" s="60"/>
    </row>
    <row r="321" spans="1:24" hidden="1">
      <c r="A321" s="46" t="s">
        <v>349</v>
      </c>
      <c r="B321" s="46" t="s">
        <v>457</v>
      </c>
      <c r="C321" s="47" t="s">
        <v>199</v>
      </c>
      <c r="D321" s="47" t="s">
        <v>199</v>
      </c>
      <c r="E321" s="47">
        <v>50114368</v>
      </c>
      <c r="F321" s="47" t="s">
        <v>15</v>
      </c>
      <c r="G321" s="46">
        <v>360000</v>
      </c>
      <c r="H321" s="47">
        <v>1.52</v>
      </c>
      <c r="I321" s="46">
        <f t="shared" si="31"/>
        <v>547200</v>
      </c>
      <c r="J321" s="46" t="s">
        <v>374</v>
      </c>
      <c r="K321" s="46"/>
      <c r="L321" s="46"/>
      <c r="M321" s="47">
        <v>25501619</v>
      </c>
      <c r="N321" s="48">
        <v>9300794312</v>
      </c>
      <c r="O321" s="49">
        <v>46010</v>
      </c>
      <c r="P321" s="50">
        <v>7</v>
      </c>
      <c r="Q321" s="49">
        <v>46065</v>
      </c>
      <c r="R321" s="51" t="s">
        <v>462</v>
      </c>
      <c r="S321" s="51">
        <v>46026</v>
      </c>
      <c r="T321" s="47">
        <v>1</v>
      </c>
      <c r="U321" s="47">
        <v>1</v>
      </c>
      <c r="V321" s="47">
        <v>3</v>
      </c>
      <c r="W321" s="51">
        <f t="shared" si="40"/>
        <v>46031</v>
      </c>
      <c r="X321" s="60"/>
    </row>
    <row r="322" spans="1:24" hidden="1">
      <c r="A322" s="46" t="s">
        <v>349</v>
      </c>
      <c r="B322" s="46" t="s">
        <v>457</v>
      </c>
      <c r="C322" s="47" t="s">
        <v>199</v>
      </c>
      <c r="D322" s="47" t="s">
        <v>199</v>
      </c>
      <c r="E322" s="47">
        <v>50081878</v>
      </c>
      <c r="F322" s="47" t="s">
        <v>261</v>
      </c>
      <c r="G322" s="46">
        <v>18600</v>
      </c>
      <c r="H322" s="47">
        <v>1.97</v>
      </c>
      <c r="I322" s="46">
        <f t="shared" si="31"/>
        <v>36642</v>
      </c>
      <c r="J322" s="46" t="s">
        <v>374</v>
      </c>
      <c r="K322" s="46"/>
      <c r="L322" s="46"/>
      <c r="M322" s="47">
        <v>25501619</v>
      </c>
      <c r="N322" s="48">
        <v>9300794312</v>
      </c>
      <c r="O322" s="49">
        <v>46010</v>
      </c>
      <c r="P322" s="50">
        <v>10.199999999999999</v>
      </c>
      <c r="Q322" s="49">
        <v>46032</v>
      </c>
      <c r="R322" s="47" t="s">
        <v>463</v>
      </c>
      <c r="S322" s="51">
        <v>46026</v>
      </c>
      <c r="T322" s="47">
        <v>1</v>
      </c>
      <c r="U322" s="47">
        <v>1</v>
      </c>
      <c r="V322" s="47">
        <v>3</v>
      </c>
      <c r="W322" s="51">
        <f t="shared" si="40"/>
        <v>46031</v>
      </c>
      <c r="X322" s="60"/>
    </row>
    <row r="323" spans="1:24" hidden="1">
      <c r="A323" s="46" t="s">
        <v>349</v>
      </c>
      <c r="B323" s="46" t="s">
        <v>457</v>
      </c>
      <c r="C323" s="47" t="s">
        <v>199</v>
      </c>
      <c r="D323" s="47" t="s">
        <v>199</v>
      </c>
      <c r="E323" s="47">
        <v>50114341</v>
      </c>
      <c r="F323" s="47" t="s">
        <v>180</v>
      </c>
      <c r="G323" s="46">
        <v>87000</v>
      </c>
      <c r="H323" s="47">
        <v>0.45</v>
      </c>
      <c r="I323" s="46">
        <f t="shared" si="31"/>
        <v>39150</v>
      </c>
      <c r="J323" s="46" t="s">
        <v>374</v>
      </c>
      <c r="K323" s="46"/>
      <c r="L323" s="46" t="s">
        <v>482</v>
      </c>
      <c r="M323" s="47">
        <v>25501619</v>
      </c>
      <c r="N323" s="48">
        <v>9300794312</v>
      </c>
      <c r="O323" s="49">
        <v>46010</v>
      </c>
      <c r="P323" s="50">
        <v>11</v>
      </c>
      <c r="Q323" s="49">
        <v>46058</v>
      </c>
      <c r="R323" s="47" t="s">
        <v>463</v>
      </c>
      <c r="S323" s="51">
        <v>46026</v>
      </c>
      <c r="T323" s="47">
        <v>1</v>
      </c>
      <c r="U323" s="47">
        <v>1</v>
      </c>
      <c r="V323" s="47">
        <v>3</v>
      </c>
      <c r="W323" s="51">
        <f t="shared" si="40"/>
        <v>46031</v>
      </c>
      <c r="X323" s="60"/>
    </row>
    <row r="324" spans="1:24" hidden="1">
      <c r="A324" s="46" t="s">
        <v>351</v>
      </c>
      <c r="B324" s="46" t="s">
        <v>457</v>
      </c>
      <c r="C324" s="47" t="s">
        <v>141</v>
      </c>
      <c r="D324" s="47" t="s">
        <v>141</v>
      </c>
      <c r="E324" s="47">
        <v>50081866</v>
      </c>
      <c r="F324" s="47" t="s">
        <v>153</v>
      </c>
      <c r="G324" s="46">
        <v>208100</v>
      </c>
      <c r="H324" s="47">
        <v>1.48</v>
      </c>
      <c r="I324" s="46">
        <f t="shared" si="31"/>
        <v>307988</v>
      </c>
      <c r="J324" s="46" t="s">
        <v>374</v>
      </c>
      <c r="K324" s="46"/>
      <c r="L324" s="46" t="s">
        <v>482</v>
      </c>
      <c r="M324" s="47">
        <v>25501620</v>
      </c>
      <c r="N324" s="48" t="s">
        <v>262</v>
      </c>
      <c r="O324" s="49">
        <v>46010</v>
      </c>
      <c r="P324" s="50">
        <v>1</v>
      </c>
      <c r="Q324" s="49">
        <v>46041</v>
      </c>
      <c r="R324" s="47" t="s">
        <v>462</v>
      </c>
      <c r="S324" s="51">
        <v>46038</v>
      </c>
      <c r="T324" s="47">
        <v>1</v>
      </c>
      <c r="U324" s="47">
        <v>1</v>
      </c>
      <c r="V324" s="47">
        <v>3</v>
      </c>
      <c r="W324" s="51">
        <f t="shared" si="40"/>
        <v>46043</v>
      </c>
      <c r="X324" s="60"/>
    </row>
    <row r="325" spans="1:24" hidden="1">
      <c r="A325" s="46" t="s">
        <v>351</v>
      </c>
      <c r="B325" s="46" t="s">
        <v>457</v>
      </c>
      <c r="C325" s="47" t="s">
        <v>141</v>
      </c>
      <c r="D325" s="47" t="s">
        <v>141</v>
      </c>
      <c r="E325" s="47">
        <v>50082011</v>
      </c>
      <c r="F325" s="47" t="s">
        <v>154</v>
      </c>
      <c r="G325" s="46">
        <v>208100</v>
      </c>
      <c r="H325" s="47">
        <v>0.6</v>
      </c>
      <c r="I325" s="46">
        <f t="shared" si="31"/>
        <v>124860</v>
      </c>
      <c r="J325" s="46" t="s">
        <v>374</v>
      </c>
      <c r="K325" s="46"/>
      <c r="L325" s="46" t="s">
        <v>482</v>
      </c>
      <c r="M325" s="47">
        <v>25501620</v>
      </c>
      <c r="N325" s="48" t="s">
        <v>262</v>
      </c>
      <c r="O325" s="49">
        <v>46010</v>
      </c>
      <c r="P325" s="50">
        <v>2</v>
      </c>
      <c r="Q325" s="49">
        <v>46041</v>
      </c>
      <c r="R325" s="47" t="s">
        <v>462</v>
      </c>
      <c r="S325" s="51">
        <v>46038</v>
      </c>
      <c r="T325" s="47">
        <v>1</v>
      </c>
      <c r="U325" s="47">
        <v>1</v>
      </c>
      <c r="V325" s="47">
        <v>3</v>
      </c>
      <c r="W325" s="51">
        <f t="shared" si="40"/>
        <v>46043</v>
      </c>
      <c r="X325" s="60"/>
    </row>
    <row r="326" spans="1:24" hidden="1">
      <c r="A326" s="46" t="s">
        <v>351</v>
      </c>
      <c r="B326" s="46" t="s">
        <v>457</v>
      </c>
      <c r="C326" s="47" t="s">
        <v>141</v>
      </c>
      <c r="D326" s="47" t="s">
        <v>141</v>
      </c>
      <c r="E326" s="47">
        <v>50105010</v>
      </c>
      <c r="F326" s="47" t="s">
        <v>155</v>
      </c>
      <c r="G326" s="46">
        <v>208100</v>
      </c>
      <c r="H326" s="47">
        <v>0.27</v>
      </c>
      <c r="I326" s="46">
        <f t="shared" si="31"/>
        <v>56187.000000000007</v>
      </c>
      <c r="J326" s="46" t="s">
        <v>374</v>
      </c>
      <c r="K326" s="46"/>
      <c r="L326" s="46" t="s">
        <v>482</v>
      </c>
      <c r="M326" s="47">
        <v>25501620</v>
      </c>
      <c r="N326" s="48" t="s">
        <v>262</v>
      </c>
      <c r="O326" s="49">
        <v>46010</v>
      </c>
      <c r="P326" s="50">
        <v>3</v>
      </c>
      <c r="Q326" s="49">
        <v>46041</v>
      </c>
      <c r="R326" s="47" t="s">
        <v>462</v>
      </c>
      <c r="S326" s="51">
        <v>46038</v>
      </c>
      <c r="T326" s="47">
        <v>1</v>
      </c>
      <c r="U326" s="47">
        <v>1</v>
      </c>
      <c r="V326" s="47">
        <v>3</v>
      </c>
      <c r="W326" s="51">
        <f t="shared" si="40"/>
        <v>46043</v>
      </c>
      <c r="X326" s="60"/>
    </row>
    <row r="327" spans="1:24" hidden="1">
      <c r="A327" s="46" t="s">
        <v>351</v>
      </c>
      <c r="B327" s="46" t="s">
        <v>457</v>
      </c>
      <c r="C327" s="47" t="s">
        <v>144</v>
      </c>
      <c r="D327" s="47" t="s">
        <v>144</v>
      </c>
      <c r="E327" s="47">
        <v>50114370</v>
      </c>
      <c r="F327" s="47" t="s">
        <v>146</v>
      </c>
      <c r="G327" s="46">
        <v>60000</v>
      </c>
      <c r="H327" s="47">
        <v>1.62</v>
      </c>
      <c r="I327" s="46">
        <f t="shared" si="31"/>
        <v>97200</v>
      </c>
      <c r="J327" s="46" t="s">
        <v>374</v>
      </c>
      <c r="K327" s="46"/>
      <c r="L327" s="46" t="s">
        <v>482</v>
      </c>
      <c r="M327" s="47">
        <v>25501621</v>
      </c>
      <c r="N327" s="48">
        <v>4100315060</v>
      </c>
      <c r="O327" s="49">
        <v>46010</v>
      </c>
      <c r="P327" s="50">
        <v>1</v>
      </c>
      <c r="Q327" s="49">
        <v>46054</v>
      </c>
      <c r="R327" s="51" t="s">
        <v>462</v>
      </c>
      <c r="S327" s="51">
        <v>46035</v>
      </c>
      <c r="T327" s="47">
        <v>1</v>
      </c>
      <c r="U327" s="47">
        <v>1</v>
      </c>
      <c r="V327" s="47">
        <v>3</v>
      </c>
      <c r="W327" s="51">
        <f t="shared" si="40"/>
        <v>46040</v>
      </c>
      <c r="X327" s="60"/>
    </row>
    <row r="328" spans="1:24" hidden="1">
      <c r="A328" s="46" t="s">
        <v>351</v>
      </c>
      <c r="B328" s="46" t="s">
        <v>457</v>
      </c>
      <c r="C328" s="47" t="s">
        <v>144</v>
      </c>
      <c r="D328" s="47" t="s">
        <v>144</v>
      </c>
      <c r="E328" s="47">
        <v>50115090</v>
      </c>
      <c r="F328" s="47" t="s">
        <v>263</v>
      </c>
      <c r="G328" s="46">
        <v>60000</v>
      </c>
      <c r="H328" s="47">
        <v>0.77</v>
      </c>
      <c r="I328" s="46">
        <f t="shared" si="31"/>
        <v>46200</v>
      </c>
      <c r="J328" s="46" t="s">
        <v>374</v>
      </c>
      <c r="K328" s="46"/>
      <c r="L328" s="46" t="s">
        <v>482</v>
      </c>
      <c r="M328" s="47">
        <v>25501621</v>
      </c>
      <c r="N328" s="48">
        <v>4100315060</v>
      </c>
      <c r="O328" s="49">
        <v>46010</v>
      </c>
      <c r="P328" s="50">
        <v>2</v>
      </c>
      <c r="Q328" s="49">
        <v>46054</v>
      </c>
      <c r="R328" s="51" t="s">
        <v>463</v>
      </c>
      <c r="S328" s="51">
        <v>46035</v>
      </c>
      <c r="T328" s="47">
        <v>1</v>
      </c>
      <c r="U328" s="47">
        <v>1</v>
      </c>
      <c r="V328" s="47">
        <v>3</v>
      </c>
      <c r="W328" s="51">
        <f t="shared" si="40"/>
        <v>46040</v>
      </c>
      <c r="X328" s="60"/>
    </row>
    <row r="329" spans="1:24" hidden="1">
      <c r="A329" s="46" t="s">
        <v>351</v>
      </c>
      <c r="B329" s="46" t="s">
        <v>457</v>
      </c>
      <c r="C329" s="47" t="s">
        <v>144</v>
      </c>
      <c r="D329" s="47" t="s">
        <v>144</v>
      </c>
      <c r="E329" s="47">
        <v>50081947</v>
      </c>
      <c r="F329" s="47" t="s">
        <v>148</v>
      </c>
      <c r="G329" s="46">
        <v>60000</v>
      </c>
      <c r="H329" s="47">
        <v>0.27</v>
      </c>
      <c r="I329" s="46">
        <f t="shared" ref="I329:I392" si="43">G329*H329</f>
        <v>16200.000000000002</v>
      </c>
      <c r="J329" s="46" t="s">
        <v>374</v>
      </c>
      <c r="K329" s="46"/>
      <c r="L329" s="46" t="s">
        <v>482</v>
      </c>
      <c r="M329" s="47">
        <v>25501621</v>
      </c>
      <c r="N329" s="48">
        <v>4100315060</v>
      </c>
      <c r="O329" s="49">
        <v>46010</v>
      </c>
      <c r="P329" s="50">
        <v>3</v>
      </c>
      <c r="Q329" s="49">
        <v>46054</v>
      </c>
      <c r="R329" s="51" t="s">
        <v>463</v>
      </c>
      <c r="S329" s="51">
        <v>46035</v>
      </c>
      <c r="T329" s="47">
        <v>1</v>
      </c>
      <c r="U329" s="47">
        <v>1</v>
      </c>
      <c r="V329" s="47">
        <v>3</v>
      </c>
      <c r="W329" s="51">
        <f t="shared" si="40"/>
        <v>46040</v>
      </c>
      <c r="X329" s="60"/>
    </row>
    <row r="330" spans="1:24" hidden="1">
      <c r="A330" s="46" t="s">
        <v>347</v>
      </c>
      <c r="B330" s="46" t="s">
        <v>455</v>
      </c>
      <c r="C330" s="47" t="s">
        <v>44</v>
      </c>
      <c r="D330" s="47" t="s">
        <v>45</v>
      </c>
      <c r="E330" s="47">
        <v>50101140</v>
      </c>
      <c r="F330" s="47" t="s">
        <v>46</v>
      </c>
      <c r="G330" s="46">
        <v>174000</v>
      </c>
      <c r="H330" s="47">
        <v>3.43</v>
      </c>
      <c r="I330" s="46">
        <f t="shared" si="43"/>
        <v>596820</v>
      </c>
      <c r="J330" s="46" t="s">
        <v>374</v>
      </c>
      <c r="K330" s="46">
        <v>100000</v>
      </c>
      <c r="L330" s="46"/>
      <c r="M330" s="47"/>
      <c r="N330" s="48"/>
      <c r="O330" s="49"/>
      <c r="P330" s="50"/>
      <c r="Q330" s="49"/>
      <c r="R330" s="47" t="s">
        <v>495</v>
      </c>
      <c r="S330" s="52">
        <v>46028</v>
      </c>
      <c r="T330" s="47">
        <v>1</v>
      </c>
      <c r="U330" s="47">
        <v>1</v>
      </c>
      <c r="V330" s="47"/>
      <c r="W330" s="52">
        <f>S330+T330+U330</f>
        <v>46030</v>
      </c>
      <c r="X330" s="59"/>
    </row>
    <row r="331" spans="1:24" hidden="1">
      <c r="A331" s="46" t="s">
        <v>351</v>
      </c>
      <c r="B331" s="46" t="s">
        <v>457</v>
      </c>
      <c r="C331" s="47" t="s">
        <v>144</v>
      </c>
      <c r="D331" s="47" t="s">
        <v>144</v>
      </c>
      <c r="E331" s="47">
        <v>50109736</v>
      </c>
      <c r="F331" s="47" t="s">
        <v>145</v>
      </c>
      <c r="G331" s="46">
        <v>200000</v>
      </c>
      <c r="H331" s="47">
        <v>1.5</v>
      </c>
      <c r="I331" s="46">
        <f t="shared" si="43"/>
        <v>300000</v>
      </c>
      <c r="J331" s="46" t="s">
        <v>374</v>
      </c>
      <c r="K331" s="46"/>
      <c r="L331" s="46"/>
      <c r="M331" s="47">
        <v>25501623</v>
      </c>
      <c r="N331" s="48">
        <v>4100315059</v>
      </c>
      <c r="O331" s="49">
        <v>46011</v>
      </c>
      <c r="P331" s="50">
        <v>1</v>
      </c>
      <c r="Q331" s="49">
        <v>46054</v>
      </c>
      <c r="R331" s="47" t="s">
        <v>462</v>
      </c>
      <c r="S331" s="51">
        <v>46039</v>
      </c>
      <c r="T331" s="47">
        <v>1</v>
      </c>
      <c r="U331" s="47">
        <v>1</v>
      </c>
      <c r="V331" s="47">
        <v>3</v>
      </c>
      <c r="W331" s="51">
        <f t="shared" ref="W331:W351" si="44">S331+T331+U331+V331</f>
        <v>46044</v>
      </c>
      <c r="X331" s="60"/>
    </row>
    <row r="332" spans="1:24" hidden="1">
      <c r="A332" s="46" t="s">
        <v>351</v>
      </c>
      <c r="B332" s="46" t="s">
        <v>457</v>
      </c>
      <c r="C332" s="47" t="s">
        <v>144</v>
      </c>
      <c r="D332" s="47" t="s">
        <v>144</v>
      </c>
      <c r="E332" s="47">
        <v>50081808</v>
      </c>
      <c r="F332" s="47" t="s">
        <v>23</v>
      </c>
      <c r="G332" s="46">
        <v>200000</v>
      </c>
      <c r="H332" s="47">
        <v>0.56000000000000005</v>
      </c>
      <c r="I332" s="46">
        <f t="shared" si="43"/>
        <v>112000.00000000001</v>
      </c>
      <c r="J332" s="46" t="s">
        <v>374</v>
      </c>
      <c r="K332" s="46"/>
      <c r="L332" s="46"/>
      <c r="M332" s="47">
        <v>25501623</v>
      </c>
      <c r="N332" s="48">
        <v>4100315059</v>
      </c>
      <c r="O332" s="49">
        <v>46011</v>
      </c>
      <c r="P332" s="50">
        <v>2</v>
      </c>
      <c r="Q332" s="49">
        <v>46054</v>
      </c>
      <c r="R332" s="47" t="s">
        <v>462</v>
      </c>
      <c r="S332" s="51">
        <v>46039</v>
      </c>
      <c r="T332" s="47">
        <v>1</v>
      </c>
      <c r="U332" s="47">
        <v>1</v>
      </c>
      <c r="V332" s="47">
        <v>3</v>
      </c>
      <c r="W332" s="51">
        <f t="shared" si="44"/>
        <v>46044</v>
      </c>
      <c r="X332" s="60"/>
    </row>
    <row r="333" spans="1:24" hidden="1">
      <c r="A333" s="46" t="s">
        <v>351</v>
      </c>
      <c r="B333" s="46" t="s">
        <v>457</v>
      </c>
      <c r="C333" s="47" t="s">
        <v>144</v>
      </c>
      <c r="D333" s="47" t="s">
        <v>144</v>
      </c>
      <c r="E333" s="47">
        <v>50111939</v>
      </c>
      <c r="F333" s="47" t="s">
        <v>39</v>
      </c>
      <c r="G333" s="46">
        <v>200000</v>
      </c>
      <c r="H333" s="47">
        <v>0.26</v>
      </c>
      <c r="I333" s="46">
        <f t="shared" si="43"/>
        <v>52000</v>
      </c>
      <c r="J333" s="46" t="s">
        <v>374</v>
      </c>
      <c r="K333" s="46"/>
      <c r="L333" s="46"/>
      <c r="M333" s="47">
        <v>25501623</v>
      </c>
      <c r="N333" s="48">
        <v>4100315059</v>
      </c>
      <c r="O333" s="49">
        <v>46011</v>
      </c>
      <c r="P333" s="50">
        <v>3</v>
      </c>
      <c r="Q333" s="49">
        <v>46054</v>
      </c>
      <c r="R333" s="47" t="s">
        <v>463</v>
      </c>
      <c r="S333" s="51">
        <v>46039</v>
      </c>
      <c r="T333" s="47">
        <v>1</v>
      </c>
      <c r="U333" s="47">
        <v>1</v>
      </c>
      <c r="V333" s="47">
        <v>3</v>
      </c>
      <c r="W333" s="51">
        <f t="shared" si="44"/>
        <v>46044</v>
      </c>
      <c r="X333" s="60"/>
    </row>
    <row r="334" spans="1:24" hidden="1">
      <c r="A334" s="46" t="s">
        <v>351</v>
      </c>
      <c r="B334" s="46" t="s">
        <v>457</v>
      </c>
      <c r="C334" s="47" t="s">
        <v>144</v>
      </c>
      <c r="D334" s="47" t="s">
        <v>144</v>
      </c>
      <c r="E334" s="47">
        <v>50111528</v>
      </c>
      <c r="F334" s="47" t="s">
        <v>38</v>
      </c>
      <c r="G334" s="46">
        <v>155000</v>
      </c>
      <c r="H334" s="47">
        <v>1.63</v>
      </c>
      <c r="I334" s="46">
        <f t="shared" si="43"/>
        <v>252649.99999999997</v>
      </c>
      <c r="J334" s="46" t="s">
        <v>374</v>
      </c>
      <c r="K334" s="46"/>
      <c r="L334" s="46"/>
      <c r="M334" s="47">
        <v>25501623</v>
      </c>
      <c r="N334" s="48">
        <v>4100315059</v>
      </c>
      <c r="O334" s="49">
        <v>46011</v>
      </c>
      <c r="P334" s="50">
        <v>4</v>
      </c>
      <c r="Q334" s="49">
        <v>46054</v>
      </c>
      <c r="R334" s="47" t="s">
        <v>462</v>
      </c>
      <c r="S334" s="51">
        <v>46033</v>
      </c>
      <c r="T334" s="47">
        <v>1</v>
      </c>
      <c r="U334" s="47">
        <v>1</v>
      </c>
      <c r="V334" s="47">
        <v>3</v>
      </c>
      <c r="W334" s="51">
        <f t="shared" si="44"/>
        <v>46038</v>
      </c>
      <c r="X334" s="60"/>
    </row>
    <row r="335" spans="1:24" hidden="1">
      <c r="A335" s="46" t="s">
        <v>351</v>
      </c>
      <c r="B335" s="46" t="s">
        <v>457</v>
      </c>
      <c r="C335" s="47" t="s">
        <v>144</v>
      </c>
      <c r="D335" s="47" t="s">
        <v>144</v>
      </c>
      <c r="E335" s="47">
        <v>50081808</v>
      </c>
      <c r="F335" s="47" t="s">
        <v>23</v>
      </c>
      <c r="G335" s="46">
        <v>155000</v>
      </c>
      <c r="H335" s="47">
        <v>0.56000000000000005</v>
      </c>
      <c r="I335" s="46">
        <f t="shared" si="43"/>
        <v>86800.000000000015</v>
      </c>
      <c r="J335" s="46" t="s">
        <v>374</v>
      </c>
      <c r="K335" s="46"/>
      <c r="L335" s="46"/>
      <c r="M335" s="47">
        <v>25501623</v>
      </c>
      <c r="N335" s="48">
        <v>4100315059</v>
      </c>
      <c r="O335" s="49">
        <v>46011</v>
      </c>
      <c r="P335" s="50">
        <v>5</v>
      </c>
      <c r="Q335" s="49">
        <v>46054</v>
      </c>
      <c r="R335" s="47" t="s">
        <v>462</v>
      </c>
      <c r="S335" s="51">
        <v>46033</v>
      </c>
      <c r="T335" s="47">
        <v>1</v>
      </c>
      <c r="U335" s="47">
        <v>1</v>
      </c>
      <c r="V335" s="47">
        <v>3</v>
      </c>
      <c r="W335" s="51">
        <f t="shared" si="44"/>
        <v>46038</v>
      </c>
      <c r="X335" s="60"/>
    </row>
    <row r="336" spans="1:24" hidden="1">
      <c r="A336" s="46" t="s">
        <v>351</v>
      </c>
      <c r="B336" s="46" t="s">
        <v>457</v>
      </c>
      <c r="C336" s="47" t="s">
        <v>144</v>
      </c>
      <c r="D336" s="47" t="s">
        <v>144</v>
      </c>
      <c r="E336" s="47">
        <v>50111939</v>
      </c>
      <c r="F336" s="47" t="s">
        <v>39</v>
      </c>
      <c r="G336" s="46">
        <v>155000</v>
      </c>
      <c r="H336" s="47">
        <v>0.26</v>
      </c>
      <c r="I336" s="46">
        <f t="shared" si="43"/>
        <v>40300</v>
      </c>
      <c r="J336" s="46" t="s">
        <v>374</v>
      </c>
      <c r="K336" s="46"/>
      <c r="L336" s="46"/>
      <c r="M336" s="47">
        <v>25501623</v>
      </c>
      <c r="N336" s="48">
        <v>4100315059</v>
      </c>
      <c r="O336" s="49">
        <v>46011</v>
      </c>
      <c r="P336" s="50">
        <v>6</v>
      </c>
      <c r="Q336" s="49">
        <v>46054</v>
      </c>
      <c r="R336" s="47" t="s">
        <v>463</v>
      </c>
      <c r="S336" s="51">
        <v>46033</v>
      </c>
      <c r="T336" s="47">
        <v>1</v>
      </c>
      <c r="U336" s="47">
        <v>1</v>
      </c>
      <c r="V336" s="47">
        <v>3</v>
      </c>
      <c r="W336" s="51">
        <f t="shared" si="44"/>
        <v>46038</v>
      </c>
      <c r="X336" s="60"/>
    </row>
    <row r="337" spans="1:24" hidden="1">
      <c r="A337" s="46" t="s">
        <v>351</v>
      </c>
      <c r="B337" s="46" t="s">
        <v>457</v>
      </c>
      <c r="C337" s="47" t="s">
        <v>141</v>
      </c>
      <c r="D337" s="47" t="s">
        <v>141</v>
      </c>
      <c r="E337" s="47">
        <v>50099319</v>
      </c>
      <c r="F337" s="47" t="s">
        <v>172</v>
      </c>
      <c r="G337" s="46">
        <v>120100</v>
      </c>
      <c r="H337" s="47">
        <v>1.78</v>
      </c>
      <c r="I337" s="46">
        <f t="shared" si="43"/>
        <v>213778</v>
      </c>
      <c r="J337" s="46" t="s">
        <v>374</v>
      </c>
      <c r="K337" s="46"/>
      <c r="L337" s="46" t="s">
        <v>482</v>
      </c>
      <c r="M337" s="47">
        <v>25501624</v>
      </c>
      <c r="N337" s="48" t="s">
        <v>265</v>
      </c>
      <c r="O337" s="49">
        <v>46011</v>
      </c>
      <c r="P337" s="50">
        <v>1</v>
      </c>
      <c r="Q337" s="49">
        <v>46042</v>
      </c>
      <c r="R337" s="47" t="s">
        <v>462</v>
      </c>
      <c r="S337" s="51">
        <v>46031</v>
      </c>
      <c r="T337" s="47">
        <v>1</v>
      </c>
      <c r="U337" s="47">
        <v>1</v>
      </c>
      <c r="V337" s="47">
        <v>3</v>
      </c>
      <c r="W337" s="51">
        <f t="shared" si="44"/>
        <v>46036</v>
      </c>
      <c r="X337" s="60"/>
    </row>
    <row r="338" spans="1:24" hidden="1">
      <c r="A338" s="46" t="s">
        <v>351</v>
      </c>
      <c r="B338" s="46" t="s">
        <v>457</v>
      </c>
      <c r="C338" s="47" t="s">
        <v>141</v>
      </c>
      <c r="D338" s="47" t="s">
        <v>141</v>
      </c>
      <c r="E338" s="47">
        <v>50115676</v>
      </c>
      <c r="F338" s="47" t="s">
        <v>156</v>
      </c>
      <c r="G338" s="46">
        <v>120100</v>
      </c>
      <c r="H338" s="47">
        <v>0.6</v>
      </c>
      <c r="I338" s="46">
        <f t="shared" si="43"/>
        <v>72060</v>
      </c>
      <c r="J338" s="46" t="s">
        <v>374</v>
      </c>
      <c r="K338" s="46"/>
      <c r="L338" s="46" t="s">
        <v>482</v>
      </c>
      <c r="M338" s="47">
        <v>25501624</v>
      </c>
      <c r="N338" s="48" t="s">
        <v>265</v>
      </c>
      <c r="O338" s="49">
        <v>46011</v>
      </c>
      <c r="P338" s="50">
        <v>2</v>
      </c>
      <c r="Q338" s="49">
        <v>46042</v>
      </c>
      <c r="R338" s="47" t="s">
        <v>462</v>
      </c>
      <c r="S338" s="51">
        <v>46031</v>
      </c>
      <c r="T338" s="47">
        <v>1</v>
      </c>
      <c r="U338" s="47">
        <v>1</v>
      </c>
      <c r="V338" s="47">
        <v>3</v>
      </c>
      <c r="W338" s="51">
        <f t="shared" si="44"/>
        <v>46036</v>
      </c>
      <c r="X338" s="60"/>
    </row>
    <row r="339" spans="1:24" hidden="1">
      <c r="A339" s="46" t="s">
        <v>351</v>
      </c>
      <c r="B339" s="46" t="s">
        <v>457</v>
      </c>
      <c r="C339" s="47" t="s">
        <v>141</v>
      </c>
      <c r="D339" s="47" t="s">
        <v>141</v>
      </c>
      <c r="E339" s="47">
        <v>50105010</v>
      </c>
      <c r="F339" s="47" t="s">
        <v>155</v>
      </c>
      <c r="G339" s="46">
        <v>120100</v>
      </c>
      <c r="H339" s="47">
        <v>0.27</v>
      </c>
      <c r="I339" s="46">
        <f t="shared" si="43"/>
        <v>32427.000000000004</v>
      </c>
      <c r="J339" s="46" t="s">
        <v>374</v>
      </c>
      <c r="K339" s="46"/>
      <c r="L339" s="46" t="s">
        <v>482</v>
      </c>
      <c r="M339" s="47">
        <v>25501624</v>
      </c>
      <c r="N339" s="48" t="s">
        <v>265</v>
      </c>
      <c r="O339" s="49">
        <v>46011</v>
      </c>
      <c r="P339" s="50">
        <v>3</v>
      </c>
      <c r="Q339" s="49">
        <v>46042</v>
      </c>
      <c r="R339" s="47" t="s">
        <v>462</v>
      </c>
      <c r="S339" s="51">
        <v>46031</v>
      </c>
      <c r="T339" s="47">
        <v>1</v>
      </c>
      <c r="U339" s="47">
        <v>1</v>
      </c>
      <c r="V339" s="47">
        <v>3</v>
      </c>
      <c r="W339" s="51">
        <f t="shared" si="44"/>
        <v>46036</v>
      </c>
      <c r="X339" s="60"/>
    </row>
    <row r="340" spans="1:24" hidden="1">
      <c r="A340" s="46" t="s">
        <v>351</v>
      </c>
      <c r="B340" s="46" t="s">
        <v>460</v>
      </c>
      <c r="C340" s="47" t="s">
        <v>266</v>
      </c>
      <c r="D340" s="47" t="s">
        <v>266</v>
      </c>
      <c r="E340" s="47">
        <v>50111522</v>
      </c>
      <c r="F340" s="47" t="s">
        <v>267</v>
      </c>
      <c r="G340" s="46">
        <v>10000</v>
      </c>
      <c r="H340" s="47">
        <v>1.6</v>
      </c>
      <c r="I340" s="46">
        <f t="shared" si="43"/>
        <v>16000</v>
      </c>
      <c r="J340" s="46" t="s">
        <v>374</v>
      </c>
      <c r="K340" s="46"/>
      <c r="L340" s="46"/>
      <c r="M340" s="47">
        <v>25501625</v>
      </c>
      <c r="N340" s="48">
        <v>4500040082</v>
      </c>
      <c r="O340" s="49">
        <v>46011</v>
      </c>
      <c r="P340" s="50">
        <v>1</v>
      </c>
      <c r="Q340" s="49">
        <v>46042</v>
      </c>
      <c r="R340" s="47" t="s">
        <v>463</v>
      </c>
      <c r="S340" s="51">
        <v>46027</v>
      </c>
      <c r="T340" s="47">
        <v>1</v>
      </c>
      <c r="U340" s="47">
        <v>1</v>
      </c>
      <c r="V340" s="47">
        <v>3</v>
      </c>
      <c r="W340" s="51">
        <f t="shared" si="44"/>
        <v>46032</v>
      </c>
      <c r="X340" s="60"/>
    </row>
    <row r="341" spans="1:24" hidden="1">
      <c r="A341" s="46" t="s">
        <v>351</v>
      </c>
      <c r="B341" s="46" t="s">
        <v>460</v>
      </c>
      <c r="C341" s="47" t="s">
        <v>266</v>
      </c>
      <c r="D341" s="47" t="s">
        <v>266</v>
      </c>
      <c r="E341" s="47">
        <v>50081808</v>
      </c>
      <c r="F341" s="47" t="s">
        <v>23</v>
      </c>
      <c r="G341" s="46">
        <v>10000</v>
      </c>
      <c r="H341" s="47">
        <v>0.65</v>
      </c>
      <c r="I341" s="46">
        <f t="shared" si="43"/>
        <v>6500</v>
      </c>
      <c r="J341" s="46" t="s">
        <v>374</v>
      </c>
      <c r="K341" s="46"/>
      <c r="L341" s="46"/>
      <c r="M341" s="47">
        <v>25501625</v>
      </c>
      <c r="N341" s="48">
        <v>4500040082</v>
      </c>
      <c r="O341" s="49">
        <v>46011</v>
      </c>
      <c r="P341" s="50">
        <v>2</v>
      </c>
      <c r="Q341" s="49">
        <v>46042</v>
      </c>
      <c r="R341" s="47" t="s">
        <v>463</v>
      </c>
      <c r="S341" s="51">
        <v>46027</v>
      </c>
      <c r="T341" s="47">
        <v>1</v>
      </c>
      <c r="U341" s="47">
        <v>1</v>
      </c>
      <c r="V341" s="47">
        <v>3</v>
      </c>
      <c r="W341" s="51">
        <f t="shared" si="44"/>
        <v>46032</v>
      </c>
      <c r="X341" s="60"/>
    </row>
    <row r="342" spans="1:24" hidden="1">
      <c r="A342" s="46" t="s">
        <v>351</v>
      </c>
      <c r="B342" s="46" t="s">
        <v>460</v>
      </c>
      <c r="C342" s="47" t="s">
        <v>266</v>
      </c>
      <c r="D342" s="47" t="s">
        <v>266</v>
      </c>
      <c r="E342" s="47">
        <v>50111939</v>
      </c>
      <c r="F342" s="47" t="s">
        <v>39</v>
      </c>
      <c r="G342" s="46">
        <v>10000</v>
      </c>
      <c r="H342" s="47">
        <v>0.3</v>
      </c>
      <c r="I342" s="46">
        <f t="shared" si="43"/>
        <v>3000</v>
      </c>
      <c r="J342" s="46" t="s">
        <v>374</v>
      </c>
      <c r="K342" s="46"/>
      <c r="L342" s="46"/>
      <c r="M342" s="47">
        <v>25501625</v>
      </c>
      <c r="N342" s="48">
        <v>4500040082</v>
      </c>
      <c r="O342" s="49">
        <v>46011</v>
      </c>
      <c r="P342" s="50">
        <v>3</v>
      </c>
      <c r="Q342" s="49">
        <v>46042</v>
      </c>
      <c r="R342" s="47" t="s">
        <v>463</v>
      </c>
      <c r="S342" s="51">
        <v>46027</v>
      </c>
      <c r="T342" s="47">
        <v>1</v>
      </c>
      <c r="U342" s="47">
        <v>1</v>
      </c>
      <c r="V342" s="47">
        <v>3</v>
      </c>
      <c r="W342" s="51">
        <f t="shared" si="44"/>
        <v>46032</v>
      </c>
      <c r="X342" s="60"/>
    </row>
    <row r="343" spans="1:24" hidden="1">
      <c r="A343" s="46" t="s">
        <v>351</v>
      </c>
      <c r="B343" s="46" t="s">
        <v>460</v>
      </c>
      <c r="C343" s="47" t="s">
        <v>266</v>
      </c>
      <c r="D343" s="47" t="s">
        <v>266</v>
      </c>
      <c r="E343" s="47">
        <v>50081863</v>
      </c>
      <c r="F343" s="47" t="s">
        <v>268</v>
      </c>
      <c r="G343" s="46">
        <v>10000</v>
      </c>
      <c r="H343" s="47">
        <v>1.41</v>
      </c>
      <c r="I343" s="46">
        <f t="shared" si="43"/>
        <v>14100</v>
      </c>
      <c r="J343" s="46" t="s">
        <v>374</v>
      </c>
      <c r="K343" s="46"/>
      <c r="L343" s="46"/>
      <c r="M343" s="47">
        <v>25501625</v>
      </c>
      <c r="N343" s="48">
        <v>4500040082</v>
      </c>
      <c r="O343" s="49">
        <v>46011</v>
      </c>
      <c r="P343" s="50">
        <v>4</v>
      </c>
      <c r="Q343" s="49">
        <v>46042</v>
      </c>
      <c r="R343" s="47" t="s">
        <v>463</v>
      </c>
      <c r="S343" s="51">
        <v>46027</v>
      </c>
      <c r="T343" s="47">
        <v>1</v>
      </c>
      <c r="U343" s="47">
        <v>1</v>
      </c>
      <c r="V343" s="47">
        <v>3</v>
      </c>
      <c r="W343" s="51">
        <f t="shared" si="44"/>
        <v>46032</v>
      </c>
      <c r="X343" s="60"/>
    </row>
    <row r="344" spans="1:24" hidden="1">
      <c r="A344" s="46" t="s">
        <v>351</v>
      </c>
      <c r="B344" s="46" t="s">
        <v>460</v>
      </c>
      <c r="C344" s="47" t="s">
        <v>266</v>
      </c>
      <c r="D344" s="47" t="s">
        <v>266</v>
      </c>
      <c r="E344" s="47">
        <v>50081808</v>
      </c>
      <c r="F344" s="47" t="s">
        <v>23</v>
      </c>
      <c r="G344" s="46">
        <v>10000</v>
      </c>
      <c r="H344" s="47">
        <v>0.65</v>
      </c>
      <c r="I344" s="46">
        <f t="shared" si="43"/>
        <v>6500</v>
      </c>
      <c r="J344" s="46" t="s">
        <v>374</v>
      </c>
      <c r="K344" s="46"/>
      <c r="L344" s="46"/>
      <c r="M344" s="47">
        <v>25501625</v>
      </c>
      <c r="N344" s="48">
        <v>4500040082</v>
      </c>
      <c r="O344" s="49">
        <v>46011</v>
      </c>
      <c r="P344" s="50">
        <v>5</v>
      </c>
      <c r="Q344" s="49">
        <v>46042</v>
      </c>
      <c r="R344" s="47" t="s">
        <v>463</v>
      </c>
      <c r="S344" s="51">
        <v>46027</v>
      </c>
      <c r="T344" s="47">
        <v>1</v>
      </c>
      <c r="U344" s="47">
        <v>1</v>
      </c>
      <c r="V344" s="47">
        <v>3</v>
      </c>
      <c r="W344" s="51">
        <f t="shared" si="44"/>
        <v>46032</v>
      </c>
      <c r="X344" s="60"/>
    </row>
    <row r="345" spans="1:24" hidden="1">
      <c r="A345" s="46" t="s">
        <v>351</v>
      </c>
      <c r="B345" s="46" t="s">
        <v>460</v>
      </c>
      <c r="C345" s="47" t="s">
        <v>266</v>
      </c>
      <c r="D345" s="47" t="s">
        <v>266</v>
      </c>
      <c r="E345" s="47">
        <v>50111939</v>
      </c>
      <c r="F345" s="47" t="s">
        <v>39</v>
      </c>
      <c r="G345" s="46">
        <v>10000</v>
      </c>
      <c r="H345" s="47">
        <v>0.3</v>
      </c>
      <c r="I345" s="46">
        <f t="shared" si="43"/>
        <v>3000</v>
      </c>
      <c r="J345" s="46" t="s">
        <v>374</v>
      </c>
      <c r="K345" s="46"/>
      <c r="L345" s="46"/>
      <c r="M345" s="47">
        <v>25501625</v>
      </c>
      <c r="N345" s="48">
        <v>4500040082</v>
      </c>
      <c r="O345" s="49">
        <v>46011</v>
      </c>
      <c r="P345" s="50">
        <v>6</v>
      </c>
      <c r="Q345" s="49">
        <v>46042</v>
      </c>
      <c r="R345" s="47" t="s">
        <v>463</v>
      </c>
      <c r="S345" s="51">
        <v>46027</v>
      </c>
      <c r="T345" s="47">
        <v>1</v>
      </c>
      <c r="U345" s="47">
        <v>1</v>
      </c>
      <c r="V345" s="47">
        <v>3</v>
      </c>
      <c r="W345" s="51">
        <f t="shared" si="44"/>
        <v>46032</v>
      </c>
      <c r="X345" s="60"/>
    </row>
    <row r="346" spans="1:24" hidden="1">
      <c r="A346" s="46" t="s">
        <v>351</v>
      </c>
      <c r="B346" s="46" t="s">
        <v>457</v>
      </c>
      <c r="C346" s="47" t="s">
        <v>270</v>
      </c>
      <c r="D346" s="47" t="s">
        <v>270</v>
      </c>
      <c r="E346" s="47">
        <v>50102486</v>
      </c>
      <c r="F346" s="47" t="s">
        <v>271</v>
      </c>
      <c r="G346" s="46">
        <v>50000</v>
      </c>
      <c r="H346" s="47">
        <v>1.72</v>
      </c>
      <c r="I346" s="46">
        <f t="shared" si="43"/>
        <v>86000</v>
      </c>
      <c r="J346" s="46" t="s">
        <v>374</v>
      </c>
      <c r="K346" s="46"/>
      <c r="L346" s="46"/>
      <c r="M346" s="47">
        <v>25501626</v>
      </c>
      <c r="N346" s="48" t="s">
        <v>269</v>
      </c>
      <c r="O346" s="49">
        <v>46011</v>
      </c>
      <c r="P346" s="50">
        <v>1</v>
      </c>
      <c r="Q346" s="49">
        <v>46042</v>
      </c>
      <c r="R346" s="47" t="s">
        <v>462</v>
      </c>
      <c r="S346" s="51">
        <v>46047</v>
      </c>
      <c r="T346" s="47">
        <v>1</v>
      </c>
      <c r="U346" s="47">
        <v>1</v>
      </c>
      <c r="V346" s="47">
        <v>3</v>
      </c>
      <c r="W346" s="51">
        <f t="shared" si="44"/>
        <v>46052</v>
      </c>
      <c r="X346" s="60"/>
    </row>
    <row r="347" spans="1:24" hidden="1">
      <c r="A347" s="46" t="s">
        <v>351</v>
      </c>
      <c r="B347" s="46" t="s">
        <v>457</v>
      </c>
      <c r="C347" s="47" t="s">
        <v>270</v>
      </c>
      <c r="D347" s="47" t="s">
        <v>270</v>
      </c>
      <c r="E347" s="47">
        <v>50081929</v>
      </c>
      <c r="F347" s="47" t="s">
        <v>273</v>
      </c>
      <c r="G347" s="46">
        <v>50000</v>
      </c>
      <c r="H347" s="47">
        <v>0.56999999999999995</v>
      </c>
      <c r="I347" s="46">
        <f t="shared" si="43"/>
        <v>28499.999999999996</v>
      </c>
      <c r="J347" s="46" t="s">
        <v>374</v>
      </c>
      <c r="K347" s="46"/>
      <c r="L347" s="46"/>
      <c r="M347" s="47">
        <v>25501626</v>
      </c>
      <c r="N347" s="48" t="s">
        <v>269</v>
      </c>
      <c r="O347" s="49">
        <v>46011</v>
      </c>
      <c r="P347" s="50">
        <v>3</v>
      </c>
      <c r="Q347" s="49">
        <v>46042</v>
      </c>
      <c r="R347" s="47" t="s">
        <v>462</v>
      </c>
      <c r="S347" s="51">
        <v>46047</v>
      </c>
      <c r="T347" s="47">
        <v>1</v>
      </c>
      <c r="U347" s="47">
        <v>1</v>
      </c>
      <c r="V347" s="47">
        <v>3</v>
      </c>
      <c r="W347" s="51">
        <f t="shared" si="44"/>
        <v>46052</v>
      </c>
      <c r="X347" s="60"/>
    </row>
    <row r="348" spans="1:24" hidden="1">
      <c r="A348" s="46" t="s">
        <v>351</v>
      </c>
      <c r="B348" s="46" t="s">
        <v>457</v>
      </c>
      <c r="C348" s="47" t="s">
        <v>270</v>
      </c>
      <c r="D348" s="47" t="s">
        <v>270</v>
      </c>
      <c r="E348" s="47">
        <v>50115920</v>
      </c>
      <c r="F348" s="47" t="s">
        <v>274</v>
      </c>
      <c r="G348" s="46">
        <v>50000</v>
      </c>
      <c r="H348" s="47">
        <v>0.33</v>
      </c>
      <c r="I348" s="46">
        <f t="shared" si="43"/>
        <v>16500</v>
      </c>
      <c r="J348" s="46" t="s">
        <v>374</v>
      </c>
      <c r="K348" s="46"/>
      <c r="L348" s="46"/>
      <c r="M348" s="47">
        <v>25501626</v>
      </c>
      <c r="N348" s="48" t="s">
        <v>269</v>
      </c>
      <c r="O348" s="49">
        <v>46011</v>
      </c>
      <c r="P348" s="50">
        <v>4</v>
      </c>
      <c r="Q348" s="49">
        <v>46042</v>
      </c>
      <c r="R348" s="47" t="s">
        <v>462</v>
      </c>
      <c r="S348" s="51">
        <v>46047</v>
      </c>
      <c r="T348" s="47">
        <v>1</v>
      </c>
      <c r="U348" s="47">
        <v>1</v>
      </c>
      <c r="V348" s="47">
        <v>3</v>
      </c>
      <c r="W348" s="51">
        <f t="shared" si="44"/>
        <v>46052</v>
      </c>
      <c r="X348" s="60"/>
    </row>
    <row r="349" spans="1:24" hidden="1">
      <c r="A349" s="46" t="s">
        <v>351</v>
      </c>
      <c r="B349" s="46" t="s">
        <v>457</v>
      </c>
      <c r="C349" s="47" t="s">
        <v>270</v>
      </c>
      <c r="D349" s="47" t="s">
        <v>270</v>
      </c>
      <c r="E349" s="47">
        <v>50104746</v>
      </c>
      <c r="F349" s="47" t="s">
        <v>272</v>
      </c>
      <c r="G349" s="46">
        <v>50000</v>
      </c>
      <c r="H349" s="47">
        <v>1.6</v>
      </c>
      <c r="I349" s="46">
        <f t="shared" si="43"/>
        <v>80000</v>
      </c>
      <c r="J349" s="46" t="s">
        <v>374</v>
      </c>
      <c r="K349" s="46"/>
      <c r="L349" s="46"/>
      <c r="M349" s="47">
        <v>25501626</v>
      </c>
      <c r="N349" s="48" t="s">
        <v>269</v>
      </c>
      <c r="O349" s="49">
        <v>46011</v>
      </c>
      <c r="P349" s="50">
        <v>2</v>
      </c>
      <c r="Q349" s="49">
        <v>46042</v>
      </c>
      <c r="R349" s="47" t="s">
        <v>462</v>
      </c>
      <c r="S349" s="51">
        <v>46037</v>
      </c>
      <c r="T349" s="47">
        <v>1</v>
      </c>
      <c r="U349" s="47">
        <v>1</v>
      </c>
      <c r="V349" s="47">
        <v>3</v>
      </c>
      <c r="W349" s="51">
        <f t="shared" si="44"/>
        <v>46042</v>
      </c>
      <c r="X349" s="60"/>
    </row>
    <row r="350" spans="1:24" hidden="1">
      <c r="A350" s="46" t="s">
        <v>351</v>
      </c>
      <c r="B350" s="46" t="s">
        <v>457</v>
      </c>
      <c r="C350" s="47" t="s">
        <v>270</v>
      </c>
      <c r="D350" s="47" t="s">
        <v>270</v>
      </c>
      <c r="E350" s="47">
        <v>50081929</v>
      </c>
      <c r="F350" s="47" t="s">
        <v>273</v>
      </c>
      <c r="G350" s="46">
        <v>50000</v>
      </c>
      <c r="H350" s="47">
        <v>0.56999999999999995</v>
      </c>
      <c r="I350" s="46">
        <f t="shared" si="43"/>
        <v>28499.999999999996</v>
      </c>
      <c r="J350" s="46" t="s">
        <v>374</v>
      </c>
      <c r="K350" s="46"/>
      <c r="L350" s="46"/>
      <c r="M350" s="47">
        <v>25501626</v>
      </c>
      <c r="N350" s="48" t="s">
        <v>269</v>
      </c>
      <c r="O350" s="49">
        <v>46011</v>
      </c>
      <c r="P350" s="50">
        <v>3</v>
      </c>
      <c r="Q350" s="49">
        <v>46042</v>
      </c>
      <c r="R350" s="47" t="s">
        <v>462</v>
      </c>
      <c r="S350" s="51">
        <v>46037</v>
      </c>
      <c r="T350" s="47">
        <v>1</v>
      </c>
      <c r="U350" s="47">
        <v>1</v>
      </c>
      <c r="V350" s="47">
        <v>3</v>
      </c>
      <c r="W350" s="51">
        <f t="shared" si="44"/>
        <v>46042</v>
      </c>
      <c r="X350" s="60"/>
    </row>
    <row r="351" spans="1:24" hidden="1">
      <c r="A351" s="46" t="s">
        <v>351</v>
      </c>
      <c r="B351" s="46" t="s">
        <v>457</v>
      </c>
      <c r="C351" s="47" t="s">
        <v>270</v>
      </c>
      <c r="D351" s="47" t="s">
        <v>270</v>
      </c>
      <c r="E351" s="47">
        <v>50115920</v>
      </c>
      <c r="F351" s="47" t="s">
        <v>274</v>
      </c>
      <c r="G351" s="46">
        <v>50000</v>
      </c>
      <c r="H351" s="47">
        <v>0.33</v>
      </c>
      <c r="I351" s="46">
        <f t="shared" si="43"/>
        <v>16500</v>
      </c>
      <c r="J351" s="46" t="s">
        <v>374</v>
      </c>
      <c r="K351" s="46"/>
      <c r="L351" s="46"/>
      <c r="M351" s="47">
        <v>25501626</v>
      </c>
      <c r="N351" s="48" t="s">
        <v>269</v>
      </c>
      <c r="O351" s="49">
        <v>46011</v>
      </c>
      <c r="P351" s="50">
        <v>4</v>
      </c>
      <c r="Q351" s="49">
        <v>46042</v>
      </c>
      <c r="R351" s="47" t="s">
        <v>462</v>
      </c>
      <c r="S351" s="51">
        <v>46037</v>
      </c>
      <c r="T351" s="47">
        <v>1</v>
      </c>
      <c r="U351" s="47">
        <v>1</v>
      </c>
      <c r="V351" s="47">
        <v>3</v>
      </c>
      <c r="W351" s="51">
        <f t="shared" si="44"/>
        <v>46042</v>
      </c>
      <c r="X351" s="60"/>
    </row>
    <row r="352" spans="1:24" hidden="1">
      <c r="A352" s="46" t="s">
        <v>347</v>
      </c>
      <c r="B352" s="46" t="s">
        <v>455</v>
      </c>
      <c r="C352" s="47" t="s">
        <v>44</v>
      </c>
      <c r="D352" s="47" t="s">
        <v>45</v>
      </c>
      <c r="E352" s="47">
        <v>50101140</v>
      </c>
      <c r="F352" s="47" t="s">
        <v>46</v>
      </c>
      <c r="G352" s="46">
        <v>300000</v>
      </c>
      <c r="H352" s="47">
        <v>3.43</v>
      </c>
      <c r="I352" s="46">
        <f t="shared" si="43"/>
        <v>1029000</v>
      </c>
      <c r="J352" s="46" t="s">
        <v>374</v>
      </c>
      <c r="K352" s="46">
        <v>300000</v>
      </c>
      <c r="L352" s="46"/>
      <c r="M352" s="47"/>
      <c r="N352" s="48"/>
      <c r="O352" s="49"/>
      <c r="P352" s="50"/>
      <c r="Q352" s="49"/>
      <c r="R352" s="47" t="s">
        <v>495</v>
      </c>
      <c r="S352" s="52">
        <v>46028</v>
      </c>
      <c r="T352" s="47">
        <v>1</v>
      </c>
      <c r="U352" s="47">
        <v>1</v>
      </c>
      <c r="V352" s="47"/>
      <c r="W352" s="52">
        <f>S352+T352+U352</f>
        <v>46030</v>
      </c>
      <c r="X352" s="59"/>
    </row>
    <row r="353" spans="1:24" hidden="1">
      <c r="A353" s="46" t="s">
        <v>351</v>
      </c>
      <c r="B353" s="46" t="s">
        <v>457</v>
      </c>
      <c r="C353" s="47" t="s">
        <v>141</v>
      </c>
      <c r="D353" s="47" t="s">
        <v>141</v>
      </c>
      <c r="E353" s="47">
        <v>50081866</v>
      </c>
      <c r="F353" s="47" t="s">
        <v>153</v>
      </c>
      <c r="G353" s="46">
        <v>200000</v>
      </c>
      <c r="H353" s="47">
        <v>1.48</v>
      </c>
      <c r="I353" s="46">
        <f t="shared" si="43"/>
        <v>296000</v>
      </c>
      <c r="J353" s="46" t="s">
        <v>374</v>
      </c>
      <c r="K353" s="46"/>
      <c r="L353" s="46"/>
      <c r="M353" s="47">
        <v>25501628</v>
      </c>
      <c r="N353" s="48" t="s">
        <v>275</v>
      </c>
      <c r="O353" s="49">
        <v>46013</v>
      </c>
      <c r="P353" s="50">
        <v>1</v>
      </c>
      <c r="Q353" s="49">
        <v>46044</v>
      </c>
      <c r="R353" s="47" t="s">
        <v>462</v>
      </c>
      <c r="S353" s="51">
        <v>46042</v>
      </c>
      <c r="T353" s="47">
        <v>1</v>
      </c>
      <c r="U353" s="47">
        <v>1</v>
      </c>
      <c r="V353" s="47">
        <v>3</v>
      </c>
      <c r="W353" s="51">
        <f t="shared" ref="W353:W358" si="45">S353+T353+U353+V353</f>
        <v>46047</v>
      </c>
      <c r="X353" s="60"/>
    </row>
    <row r="354" spans="1:24" hidden="1">
      <c r="A354" s="46" t="s">
        <v>351</v>
      </c>
      <c r="B354" s="46" t="s">
        <v>457</v>
      </c>
      <c r="C354" s="47" t="s">
        <v>141</v>
      </c>
      <c r="D354" s="47" t="s">
        <v>141</v>
      </c>
      <c r="E354" s="47">
        <v>50115676</v>
      </c>
      <c r="F354" s="47" t="s">
        <v>156</v>
      </c>
      <c r="G354" s="46">
        <v>200000</v>
      </c>
      <c r="H354" s="47">
        <v>0.6</v>
      </c>
      <c r="I354" s="46">
        <f t="shared" si="43"/>
        <v>120000</v>
      </c>
      <c r="J354" s="46" t="s">
        <v>374</v>
      </c>
      <c r="K354" s="46"/>
      <c r="L354" s="46"/>
      <c r="M354" s="47">
        <v>25501628</v>
      </c>
      <c r="N354" s="48" t="s">
        <v>275</v>
      </c>
      <c r="O354" s="49">
        <v>46013</v>
      </c>
      <c r="P354" s="50">
        <v>2</v>
      </c>
      <c r="Q354" s="49">
        <v>46044</v>
      </c>
      <c r="R354" s="47" t="s">
        <v>462</v>
      </c>
      <c r="S354" s="51">
        <v>46042</v>
      </c>
      <c r="T354" s="47">
        <v>1</v>
      </c>
      <c r="U354" s="47">
        <v>1</v>
      </c>
      <c r="V354" s="47">
        <v>3</v>
      </c>
      <c r="W354" s="51">
        <f t="shared" si="45"/>
        <v>46047</v>
      </c>
      <c r="X354" s="60"/>
    </row>
    <row r="355" spans="1:24" hidden="1">
      <c r="A355" s="46" t="s">
        <v>351</v>
      </c>
      <c r="B355" s="46" t="s">
        <v>457</v>
      </c>
      <c r="C355" s="47" t="s">
        <v>141</v>
      </c>
      <c r="D355" s="47" t="s">
        <v>141</v>
      </c>
      <c r="E355" s="47">
        <v>50105010</v>
      </c>
      <c r="F355" s="47" t="s">
        <v>155</v>
      </c>
      <c r="G355" s="46">
        <v>200000</v>
      </c>
      <c r="H355" s="47">
        <v>0.27</v>
      </c>
      <c r="I355" s="46">
        <f t="shared" si="43"/>
        <v>54000</v>
      </c>
      <c r="J355" s="46" t="s">
        <v>374</v>
      </c>
      <c r="K355" s="46"/>
      <c r="L355" s="46"/>
      <c r="M355" s="47">
        <v>25501628</v>
      </c>
      <c r="N355" s="48" t="s">
        <v>275</v>
      </c>
      <c r="O355" s="49">
        <v>46013</v>
      </c>
      <c r="P355" s="50">
        <v>3</v>
      </c>
      <c r="Q355" s="49">
        <v>46044</v>
      </c>
      <c r="R355" s="47" t="s">
        <v>462</v>
      </c>
      <c r="S355" s="51">
        <v>46042</v>
      </c>
      <c r="T355" s="47">
        <v>1</v>
      </c>
      <c r="U355" s="47">
        <v>1</v>
      </c>
      <c r="V355" s="47">
        <v>3</v>
      </c>
      <c r="W355" s="51">
        <f t="shared" si="45"/>
        <v>46047</v>
      </c>
      <c r="X355" s="60"/>
    </row>
    <row r="356" spans="1:24" hidden="1">
      <c r="A356" s="46" t="s">
        <v>351</v>
      </c>
      <c r="B356" s="46" t="s">
        <v>457</v>
      </c>
      <c r="C356" s="47" t="s">
        <v>141</v>
      </c>
      <c r="D356" s="47" t="s">
        <v>141</v>
      </c>
      <c r="E356" s="47">
        <v>50081866</v>
      </c>
      <c r="F356" s="47" t="s">
        <v>153</v>
      </c>
      <c r="G356" s="46">
        <v>347000</v>
      </c>
      <c r="H356" s="47">
        <v>1.48</v>
      </c>
      <c r="I356" s="46">
        <f t="shared" si="43"/>
        <v>513560</v>
      </c>
      <c r="J356" s="46" t="s">
        <v>467</v>
      </c>
      <c r="K356" s="46"/>
      <c r="L356" s="46"/>
      <c r="M356" s="47">
        <v>25501628</v>
      </c>
      <c r="N356" s="48" t="s">
        <v>275</v>
      </c>
      <c r="O356" s="49">
        <v>46013</v>
      </c>
      <c r="P356" s="50">
        <v>1</v>
      </c>
      <c r="Q356" s="49">
        <v>46044</v>
      </c>
      <c r="R356" s="47" t="s">
        <v>462</v>
      </c>
      <c r="S356" s="51"/>
      <c r="T356" s="47">
        <v>1</v>
      </c>
      <c r="U356" s="47">
        <v>1</v>
      </c>
      <c r="V356" s="47">
        <v>3</v>
      </c>
      <c r="W356" s="51">
        <f t="shared" si="45"/>
        <v>5</v>
      </c>
      <c r="X356" s="60"/>
    </row>
    <row r="357" spans="1:24" hidden="1">
      <c r="A357" s="46" t="s">
        <v>351</v>
      </c>
      <c r="B357" s="46" t="s">
        <v>457</v>
      </c>
      <c r="C357" s="47" t="s">
        <v>141</v>
      </c>
      <c r="D357" s="47" t="s">
        <v>141</v>
      </c>
      <c r="E357" s="47">
        <v>50115676</v>
      </c>
      <c r="F357" s="47" t="s">
        <v>156</v>
      </c>
      <c r="G357" s="46">
        <v>347000</v>
      </c>
      <c r="H357" s="47">
        <v>0.6</v>
      </c>
      <c r="I357" s="46">
        <f t="shared" si="43"/>
        <v>208200</v>
      </c>
      <c r="J357" s="46" t="s">
        <v>467</v>
      </c>
      <c r="K357" s="46"/>
      <c r="L357" s="46"/>
      <c r="M357" s="47">
        <v>25501628</v>
      </c>
      <c r="N357" s="48" t="s">
        <v>275</v>
      </c>
      <c r="O357" s="49">
        <v>46013</v>
      </c>
      <c r="P357" s="50">
        <v>2</v>
      </c>
      <c r="Q357" s="49">
        <v>46044</v>
      </c>
      <c r="R357" s="47" t="s">
        <v>462</v>
      </c>
      <c r="S357" s="51"/>
      <c r="T357" s="47">
        <v>1</v>
      </c>
      <c r="U357" s="47">
        <v>1</v>
      </c>
      <c r="V357" s="47">
        <v>3</v>
      </c>
      <c r="W357" s="51">
        <f t="shared" si="45"/>
        <v>5</v>
      </c>
      <c r="X357" s="60"/>
    </row>
    <row r="358" spans="1:24" hidden="1">
      <c r="A358" s="46" t="s">
        <v>351</v>
      </c>
      <c r="B358" s="46" t="s">
        <v>457</v>
      </c>
      <c r="C358" s="47" t="s">
        <v>141</v>
      </c>
      <c r="D358" s="47" t="s">
        <v>141</v>
      </c>
      <c r="E358" s="47">
        <v>50105010</v>
      </c>
      <c r="F358" s="47" t="s">
        <v>155</v>
      </c>
      <c r="G358" s="46">
        <v>347000</v>
      </c>
      <c r="H358" s="47">
        <v>0.27</v>
      </c>
      <c r="I358" s="46">
        <f t="shared" si="43"/>
        <v>93690</v>
      </c>
      <c r="J358" s="46" t="s">
        <v>467</v>
      </c>
      <c r="K358" s="46"/>
      <c r="L358" s="46"/>
      <c r="M358" s="47">
        <v>25501628</v>
      </c>
      <c r="N358" s="48" t="s">
        <v>275</v>
      </c>
      <c r="O358" s="49">
        <v>46013</v>
      </c>
      <c r="P358" s="50">
        <v>3</v>
      </c>
      <c r="Q358" s="49">
        <v>46044</v>
      </c>
      <c r="R358" s="47" t="s">
        <v>462</v>
      </c>
      <c r="S358" s="51"/>
      <c r="T358" s="47">
        <v>1</v>
      </c>
      <c r="U358" s="47">
        <v>1</v>
      </c>
      <c r="V358" s="47">
        <v>3</v>
      </c>
      <c r="W358" s="51">
        <f t="shared" si="45"/>
        <v>5</v>
      </c>
      <c r="X358" s="60"/>
    </row>
    <row r="359" spans="1:24" hidden="1">
      <c r="A359" s="46" t="s">
        <v>347</v>
      </c>
      <c r="B359" s="46" t="s">
        <v>458</v>
      </c>
      <c r="C359" s="47" t="s">
        <v>235</v>
      </c>
      <c r="D359" s="47" t="s">
        <v>235</v>
      </c>
      <c r="E359" s="47">
        <v>50115936</v>
      </c>
      <c r="F359" s="47" t="s">
        <v>236</v>
      </c>
      <c r="G359" s="46">
        <v>66000</v>
      </c>
      <c r="H359" s="47">
        <v>3</v>
      </c>
      <c r="I359" s="46">
        <f t="shared" si="43"/>
        <v>198000</v>
      </c>
      <c r="J359" s="46" t="s">
        <v>374</v>
      </c>
      <c r="K359" s="46">
        <v>66000</v>
      </c>
      <c r="L359" s="46"/>
      <c r="M359" s="47">
        <v>25501586</v>
      </c>
      <c r="N359" s="48">
        <v>4503753597</v>
      </c>
      <c r="O359" s="49">
        <v>46008</v>
      </c>
      <c r="P359" s="50">
        <v>1</v>
      </c>
      <c r="Q359" s="49">
        <v>46022</v>
      </c>
      <c r="R359" s="47" t="s">
        <v>495</v>
      </c>
      <c r="S359" s="52">
        <v>46028</v>
      </c>
      <c r="T359" s="47">
        <v>1</v>
      </c>
      <c r="U359" s="47">
        <v>1</v>
      </c>
      <c r="V359" s="47"/>
      <c r="W359" s="52">
        <f>S359+T359+U359</f>
        <v>46030</v>
      </c>
      <c r="X359" s="59"/>
    </row>
    <row r="360" spans="1:24" hidden="1">
      <c r="A360" s="46" t="s">
        <v>346</v>
      </c>
      <c r="B360" s="46" t="s">
        <v>455</v>
      </c>
      <c r="C360" s="47" t="s">
        <v>119</v>
      </c>
      <c r="D360" s="47" t="s">
        <v>119</v>
      </c>
      <c r="E360" s="47">
        <v>50091632</v>
      </c>
      <c r="F360" s="47" t="s">
        <v>221</v>
      </c>
      <c r="G360" s="46">
        <v>60000</v>
      </c>
      <c r="H360" s="47">
        <v>3.3</v>
      </c>
      <c r="I360" s="46">
        <f t="shared" si="43"/>
        <v>198000</v>
      </c>
      <c r="J360" s="46" t="s">
        <v>504</v>
      </c>
      <c r="K360" s="46"/>
      <c r="L360" s="46" t="s">
        <v>477</v>
      </c>
      <c r="M360" s="47">
        <v>25501633</v>
      </c>
      <c r="N360" s="48">
        <v>9500168422</v>
      </c>
      <c r="O360" s="49">
        <v>46013</v>
      </c>
      <c r="P360" s="50">
        <v>1</v>
      </c>
      <c r="Q360" s="49">
        <v>46052</v>
      </c>
      <c r="R360" s="47" t="s">
        <v>463</v>
      </c>
      <c r="S360" s="52">
        <v>46024</v>
      </c>
      <c r="T360" s="47">
        <v>1</v>
      </c>
      <c r="U360" s="47">
        <v>1</v>
      </c>
      <c r="V360" s="47">
        <v>3</v>
      </c>
      <c r="W360" s="52">
        <f>S360+T360+U360+V360</f>
        <v>46029</v>
      </c>
      <c r="X360" s="59"/>
    </row>
    <row r="361" spans="1:24" hidden="1">
      <c r="A361" s="46" t="s">
        <v>347</v>
      </c>
      <c r="B361" s="46" t="s">
        <v>457</v>
      </c>
      <c r="C361" s="47" t="s">
        <v>89</v>
      </c>
      <c r="D361" s="47" t="s">
        <v>90</v>
      </c>
      <c r="E361" s="47">
        <v>50113461</v>
      </c>
      <c r="F361" s="47" t="s">
        <v>91</v>
      </c>
      <c r="G361" s="46">
        <v>108400</v>
      </c>
      <c r="H361" s="47">
        <v>2.15</v>
      </c>
      <c r="I361" s="46">
        <f t="shared" si="43"/>
        <v>233060</v>
      </c>
      <c r="J361" s="46" t="s">
        <v>374</v>
      </c>
      <c r="K361" s="46">
        <v>27000</v>
      </c>
      <c r="L361" s="46" t="s">
        <v>482</v>
      </c>
      <c r="M361" s="47">
        <v>25500966</v>
      </c>
      <c r="N361" s="48">
        <v>4500025793</v>
      </c>
      <c r="O361" s="49">
        <v>45912</v>
      </c>
      <c r="P361" s="50">
        <v>1</v>
      </c>
      <c r="Q361" s="49">
        <v>46022</v>
      </c>
      <c r="R361" s="47" t="s">
        <v>495</v>
      </c>
      <c r="S361" s="52">
        <v>46028</v>
      </c>
      <c r="T361" s="47">
        <v>1</v>
      </c>
      <c r="U361" s="47">
        <v>1</v>
      </c>
      <c r="V361" s="47"/>
      <c r="W361" s="52">
        <f t="shared" ref="W361:W362" si="46">S361+T361+U361</f>
        <v>46030</v>
      </c>
      <c r="X361" s="59"/>
    </row>
    <row r="362" spans="1:24" hidden="1">
      <c r="A362" s="46" t="s">
        <v>347</v>
      </c>
      <c r="B362" s="46" t="s">
        <v>460</v>
      </c>
      <c r="C362" s="47" t="s">
        <v>323</v>
      </c>
      <c r="D362" s="47" t="s">
        <v>323</v>
      </c>
      <c r="E362" s="47">
        <v>50114184</v>
      </c>
      <c r="F362" s="47" t="s">
        <v>324</v>
      </c>
      <c r="G362" s="46">
        <v>170000</v>
      </c>
      <c r="H362" s="47">
        <v>2.91</v>
      </c>
      <c r="I362" s="46">
        <f t="shared" si="43"/>
        <v>494700</v>
      </c>
      <c r="J362" s="46" t="s">
        <v>375</v>
      </c>
      <c r="K362" s="46"/>
      <c r="L362" s="46"/>
      <c r="M362" s="47">
        <v>25500223</v>
      </c>
      <c r="N362" s="48">
        <v>4510203469</v>
      </c>
      <c r="O362" s="49">
        <v>46003</v>
      </c>
      <c r="P362" s="50">
        <v>3</v>
      </c>
      <c r="Q362" s="49">
        <v>46078</v>
      </c>
      <c r="R362" s="47" t="s">
        <v>463</v>
      </c>
      <c r="S362" s="51">
        <v>46026</v>
      </c>
      <c r="T362" s="47">
        <v>1</v>
      </c>
      <c r="U362" s="47">
        <v>1</v>
      </c>
      <c r="V362" s="47"/>
      <c r="W362" s="52">
        <f t="shared" si="46"/>
        <v>46028</v>
      </c>
      <c r="X362" s="59"/>
    </row>
    <row r="363" spans="1:24" hidden="1">
      <c r="A363" s="46" t="s">
        <v>349</v>
      </c>
      <c r="B363" s="46" t="s">
        <v>457</v>
      </c>
      <c r="C363" s="47" t="s">
        <v>111</v>
      </c>
      <c r="D363" s="47" t="s">
        <v>111</v>
      </c>
      <c r="E363" s="47">
        <v>50082022</v>
      </c>
      <c r="F363" s="47" t="s">
        <v>276</v>
      </c>
      <c r="G363" s="46">
        <v>25000</v>
      </c>
      <c r="H363" s="47">
        <v>2.74</v>
      </c>
      <c r="I363" s="46">
        <f t="shared" si="43"/>
        <v>68500</v>
      </c>
      <c r="J363" s="46" t="s">
        <v>374</v>
      </c>
      <c r="K363" s="46"/>
      <c r="L363" s="46"/>
      <c r="M363" s="47">
        <v>25501637</v>
      </c>
      <c r="N363" s="48">
        <v>4500045399</v>
      </c>
      <c r="O363" s="49">
        <v>46013</v>
      </c>
      <c r="P363" s="50">
        <v>1</v>
      </c>
      <c r="Q363" s="49">
        <v>46039</v>
      </c>
      <c r="R363" s="47" t="s">
        <v>462</v>
      </c>
      <c r="S363" s="51">
        <v>46032</v>
      </c>
      <c r="T363" s="47">
        <v>1</v>
      </c>
      <c r="U363" s="47">
        <v>1</v>
      </c>
      <c r="V363" s="47">
        <v>3</v>
      </c>
      <c r="W363" s="51">
        <f t="shared" ref="W363:W387" si="47">S363+T363+U363+V363</f>
        <v>46037</v>
      </c>
      <c r="X363" s="60"/>
    </row>
    <row r="364" spans="1:24" hidden="1">
      <c r="A364" s="46" t="s">
        <v>346</v>
      </c>
      <c r="B364" s="46" t="s">
        <v>456</v>
      </c>
      <c r="C364" s="47" t="s">
        <v>278</v>
      </c>
      <c r="D364" s="47" t="s">
        <v>278</v>
      </c>
      <c r="E364" s="47">
        <v>50114358</v>
      </c>
      <c r="F364" s="47" t="s">
        <v>60</v>
      </c>
      <c r="G364" s="46">
        <v>40000</v>
      </c>
      <c r="H364" s="47">
        <v>2.2000000000000002</v>
      </c>
      <c r="I364" s="46">
        <f t="shared" si="43"/>
        <v>88000</v>
      </c>
      <c r="J364" s="46" t="s">
        <v>374</v>
      </c>
      <c r="K364" s="46"/>
      <c r="L364" s="46" t="s">
        <v>482</v>
      </c>
      <c r="M364" s="47">
        <v>25501640</v>
      </c>
      <c r="N364" s="48" t="s">
        <v>277</v>
      </c>
      <c r="O364" s="49">
        <v>46014</v>
      </c>
      <c r="P364" s="50">
        <v>1</v>
      </c>
      <c r="Q364" s="49">
        <v>46022</v>
      </c>
      <c r="R364" s="47" t="s">
        <v>463</v>
      </c>
      <c r="S364" s="51">
        <v>46026</v>
      </c>
      <c r="T364" s="47">
        <v>1</v>
      </c>
      <c r="U364" s="47">
        <v>1</v>
      </c>
      <c r="V364" s="47">
        <v>3</v>
      </c>
      <c r="W364" s="52">
        <f t="shared" si="47"/>
        <v>46031</v>
      </c>
      <c r="X364" s="59"/>
    </row>
    <row r="365" spans="1:24" hidden="1">
      <c r="A365" s="46" t="s">
        <v>346</v>
      </c>
      <c r="B365" s="46" t="s">
        <v>457</v>
      </c>
      <c r="C365" s="47" t="s">
        <v>223</v>
      </c>
      <c r="D365" s="47" t="s">
        <v>223</v>
      </c>
      <c r="E365" s="47">
        <v>50093242</v>
      </c>
      <c r="F365" s="47" t="s">
        <v>224</v>
      </c>
      <c r="G365" s="46">
        <v>180000</v>
      </c>
      <c r="H365" s="47">
        <v>3.52</v>
      </c>
      <c r="I365" s="46">
        <f t="shared" si="43"/>
        <v>633600</v>
      </c>
      <c r="J365" s="46"/>
      <c r="K365" s="46"/>
      <c r="L365" s="46"/>
      <c r="M365" s="47">
        <v>25501641</v>
      </c>
      <c r="N365" s="48">
        <v>4500087876</v>
      </c>
      <c r="O365" s="49">
        <v>46014</v>
      </c>
      <c r="P365" s="50">
        <v>1</v>
      </c>
      <c r="Q365" s="49">
        <v>46143</v>
      </c>
      <c r="R365" s="47" t="s">
        <v>462</v>
      </c>
      <c r="S365" s="51"/>
      <c r="T365" s="47">
        <v>1</v>
      </c>
      <c r="U365" s="47">
        <v>1</v>
      </c>
      <c r="V365" s="47">
        <v>3</v>
      </c>
      <c r="W365" s="52">
        <f t="shared" si="47"/>
        <v>5</v>
      </c>
      <c r="X365" s="59"/>
    </row>
    <row r="366" spans="1:24" hidden="1">
      <c r="A366" s="46" t="s">
        <v>346</v>
      </c>
      <c r="B366" s="46" t="s">
        <v>457</v>
      </c>
      <c r="C366" s="47" t="s">
        <v>223</v>
      </c>
      <c r="D366" s="47" t="s">
        <v>223</v>
      </c>
      <c r="E366" s="47">
        <v>50106297</v>
      </c>
      <c r="F366" s="47" t="s">
        <v>226</v>
      </c>
      <c r="G366" s="46">
        <v>180000</v>
      </c>
      <c r="H366" s="47">
        <v>1.86</v>
      </c>
      <c r="I366" s="46">
        <f t="shared" si="43"/>
        <v>334800</v>
      </c>
      <c r="J366" s="46"/>
      <c r="K366" s="46"/>
      <c r="L366" s="46"/>
      <c r="M366" s="47">
        <v>25501641</v>
      </c>
      <c r="N366" s="48">
        <v>4500087876</v>
      </c>
      <c r="O366" s="49">
        <v>46014</v>
      </c>
      <c r="P366" s="50">
        <v>2</v>
      </c>
      <c r="Q366" s="49">
        <v>46143</v>
      </c>
      <c r="R366" s="47" t="s">
        <v>462</v>
      </c>
      <c r="S366" s="47"/>
      <c r="T366" s="47">
        <v>1</v>
      </c>
      <c r="U366" s="47">
        <v>1</v>
      </c>
      <c r="V366" s="47">
        <v>3</v>
      </c>
      <c r="W366" s="52">
        <f t="shared" si="47"/>
        <v>5</v>
      </c>
      <c r="X366" s="59"/>
    </row>
    <row r="367" spans="1:24" hidden="1">
      <c r="A367" s="46" t="s">
        <v>346</v>
      </c>
      <c r="B367" s="46" t="s">
        <v>457</v>
      </c>
      <c r="C367" s="47" t="s">
        <v>223</v>
      </c>
      <c r="D367" s="47" t="s">
        <v>223</v>
      </c>
      <c r="E367" s="47">
        <v>50081841</v>
      </c>
      <c r="F367" s="47" t="s">
        <v>11</v>
      </c>
      <c r="G367" s="46">
        <v>180000</v>
      </c>
      <c r="H367" s="47">
        <v>1.39</v>
      </c>
      <c r="I367" s="46">
        <f t="shared" si="43"/>
        <v>250199.99999999997</v>
      </c>
      <c r="J367" s="46"/>
      <c r="K367" s="46"/>
      <c r="L367" s="46"/>
      <c r="M367" s="47">
        <v>25501641</v>
      </c>
      <c r="N367" s="48">
        <v>4500087876</v>
      </c>
      <c r="O367" s="49">
        <v>46014</v>
      </c>
      <c r="P367" s="50">
        <v>3</v>
      </c>
      <c r="Q367" s="49">
        <v>46143</v>
      </c>
      <c r="R367" s="47" t="s">
        <v>462</v>
      </c>
      <c r="S367" s="47"/>
      <c r="T367" s="47">
        <v>1</v>
      </c>
      <c r="U367" s="47">
        <v>1</v>
      </c>
      <c r="V367" s="47">
        <v>3</v>
      </c>
      <c r="W367" s="52">
        <f t="shared" si="47"/>
        <v>5</v>
      </c>
      <c r="X367" s="59"/>
    </row>
    <row r="368" spans="1:24" hidden="1">
      <c r="A368" s="46" t="s">
        <v>351</v>
      </c>
      <c r="B368" s="46" t="s">
        <v>455</v>
      </c>
      <c r="C368" s="47" t="s">
        <v>74</v>
      </c>
      <c r="D368" s="47" t="s">
        <v>74</v>
      </c>
      <c r="E368" s="47">
        <v>50082096</v>
      </c>
      <c r="F368" s="47" t="s">
        <v>76</v>
      </c>
      <c r="G368" s="46">
        <v>300000</v>
      </c>
      <c r="H368" s="47">
        <v>0.25</v>
      </c>
      <c r="I368" s="46">
        <f t="shared" si="43"/>
        <v>75000</v>
      </c>
      <c r="J368" s="46" t="s">
        <v>374</v>
      </c>
      <c r="K368" s="46"/>
      <c r="L368" s="46" t="s">
        <v>477</v>
      </c>
      <c r="M368" s="47">
        <v>25501643</v>
      </c>
      <c r="N368" s="48">
        <v>4521003629</v>
      </c>
      <c r="O368" s="49">
        <v>46014</v>
      </c>
      <c r="P368" s="50">
        <v>1</v>
      </c>
      <c r="Q368" s="49">
        <v>46053</v>
      </c>
      <c r="R368" s="47" t="s">
        <v>463</v>
      </c>
      <c r="S368" s="51">
        <v>42373</v>
      </c>
      <c r="T368" s="47">
        <v>1</v>
      </c>
      <c r="U368" s="47">
        <v>1</v>
      </c>
      <c r="V368" s="47">
        <v>3</v>
      </c>
      <c r="W368" s="51">
        <f t="shared" si="47"/>
        <v>42378</v>
      </c>
      <c r="X368" s="60"/>
    </row>
    <row r="369" spans="1:24" hidden="1">
      <c r="A369" s="46" t="s">
        <v>351</v>
      </c>
      <c r="B369" s="46" t="s">
        <v>455</v>
      </c>
      <c r="C369" s="47" t="s">
        <v>74</v>
      </c>
      <c r="D369" s="47" t="s">
        <v>74</v>
      </c>
      <c r="E369" s="47">
        <v>50081903</v>
      </c>
      <c r="F369" s="47" t="s">
        <v>50</v>
      </c>
      <c r="G369" s="46">
        <v>300000</v>
      </c>
      <c r="H369" s="47">
        <v>0.72</v>
      </c>
      <c r="I369" s="46">
        <f t="shared" si="43"/>
        <v>216000</v>
      </c>
      <c r="J369" s="46" t="s">
        <v>374</v>
      </c>
      <c r="K369" s="46"/>
      <c r="L369" s="46" t="s">
        <v>477</v>
      </c>
      <c r="M369" s="47">
        <v>25501409</v>
      </c>
      <c r="N369" s="48">
        <v>4521003374</v>
      </c>
      <c r="O369" s="49">
        <v>45986</v>
      </c>
      <c r="P369" s="50">
        <v>1.2</v>
      </c>
      <c r="Q369" s="49">
        <v>46001</v>
      </c>
      <c r="R369" s="47" t="s">
        <v>463</v>
      </c>
      <c r="S369" s="51">
        <v>42373</v>
      </c>
      <c r="T369" s="47">
        <v>1</v>
      </c>
      <c r="U369" s="47">
        <v>1</v>
      </c>
      <c r="V369" s="47">
        <v>3</v>
      </c>
      <c r="W369" s="51">
        <f t="shared" si="47"/>
        <v>42378</v>
      </c>
      <c r="X369" s="60"/>
    </row>
    <row r="370" spans="1:24" hidden="1">
      <c r="A370" s="46" t="s">
        <v>351</v>
      </c>
      <c r="B370" s="46" t="s">
        <v>455</v>
      </c>
      <c r="C370" s="47" t="s">
        <v>74</v>
      </c>
      <c r="D370" s="47" t="s">
        <v>74</v>
      </c>
      <c r="E370" s="47">
        <v>50113256</v>
      </c>
      <c r="F370" s="47" t="s">
        <v>75</v>
      </c>
      <c r="G370" s="46">
        <v>300000</v>
      </c>
      <c r="H370" s="47">
        <v>2.21</v>
      </c>
      <c r="I370" s="46">
        <f t="shared" si="43"/>
        <v>663000</v>
      </c>
      <c r="J370" s="46" t="s">
        <v>375</v>
      </c>
      <c r="K370" s="46"/>
      <c r="L370" s="46" t="s">
        <v>477</v>
      </c>
      <c r="M370" s="47">
        <v>25500198</v>
      </c>
      <c r="N370" s="48">
        <v>4521003371</v>
      </c>
      <c r="O370" s="49">
        <v>45986</v>
      </c>
      <c r="P370" s="50">
        <v>1.5</v>
      </c>
      <c r="Q370" s="49">
        <v>46053</v>
      </c>
      <c r="R370" s="47" t="s">
        <v>462</v>
      </c>
      <c r="S370" s="51">
        <v>42373</v>
      </c>
      <c r="T370" s="47">
        <v>1</v>
      </c>
      <c r="U370" s="47">
        <v>1</v>
      </c>
      <c r="V370" s="47">
        <v>3</v>
      </c>
      <c r="W370" s="51">
        <f t="shared" si="47"/>
        <v>42378</v>
      </c>
      <c r="X370" s="60"/>
    </row>
    <row r="371" spans="1:24" hidden="1">
      <c r="A371" s="46" t="s">
        <v>351</v>
      </c>
      <c r="B371" s="46" t="s">
        <v>455</v>
      </c>
      <c r="C371" s="47" t="s">
        <v>74</v>
      </c>
      <c r="D371" s="47" t="s">
        <v>74</v>
      </c>
      <c r="E371" s="47">
        <v>50082096</v>
      </c>
      <c r="F371" s="47" t="s">
        <v>76</v>
      </c>
      <c r="G371" s="46">
        <v>100000</v>
      </c>
      <c r="H371" s="47">
        <v>0.25</v>
      </c>
      <c r="I371" s="46">
        <f t="shared" si="43"/>
        <v>25000</v>
      </c>
      <c r="J371" s="46" t="s">
        <v>374</v>
      </c>
      <c r="K371" s="46"/>
      <c r="L371" s="46"/>
      <c r="M371" s="47">
        <v>25501643</v>
      </c>
      <c r="N371" s="48">
        <v>4521003629</v>
      </c>
      <c r="O371" s="49">
        <v>46014</v>
      </c>
      <c r="P371" s="50">
        <v>1</v>
      </c>
      <c r="Q371" s="49">
        <v>46053</v>
      </c>
      <c r="R371" s="47" t="s">
        <v>463</v>
      </c>
      <c r="S371" s="51">
        <v>46029</v>
      </c>
      <c r="T371" s="47">
        <v>1</v>
      </c>
      <c r="U371" s="47">
        <v>1</v>
      </c>
      <c r="V371" s="47">
        <v>3</v>
      </c>
      <c r="W371" s="51">
        <f t="shared" si="47"/>
        <v>46034</v>
      </c>
      <c r="X371" s="60"/>
    </row>
    <row r="372" spans="1:24" hidden="1">
      <c r="A372" s="46" t="s">
        <v>351</v>
      </c>
      <c r="B372" s="46" t="s">
        <v>455</v>
      </c>
      <c r="C372" s="47" t="s">
        <v>74</v>
      </c>
      <c r="D372" s="47" t="s">
        <v>74</v>
      </c>
      <c r="E372" s="47">
        <v>50081903</v>
      </c>
      <c r="F372" s="47" t="s">
        <v>50</v>
      </c>
      <c r="G372" s="46">
        <v>100000</v>
      </c>
      <c r="H372" s="47">
        <v>0.72</v>
      </c>
      <c r="I372" s="46">
        <f t="shared" si="43"/>
        <v>72000</v>
      </c>
      <c r="J372" s="46" t="s">
        <v>374</v>
      </c>
      <c r="K372" s="46"/>
      <c r="L372" s="46"/>
      <c r="M372" s="47">
        <v>25501409</v>
      </c>
      <c r="N372" s="48">
        <v>4521003374</v>
      </c>
      <c r="O372" s="49">
        <v>45986</v>
      </c>
      <c r="P372" s="50">
        <v>1.2</v>
      </c>
      <c r="Q372" s="49">
        <v>46001</v>
      </c>
      <c r="R372" s="47" t="s">
        <v>463</v>
      </c>
      <c r="S372" s="51">
        <v>46029</v>
      </c>
      <c r="T372" s="47">
        <v>1</v>
      </c>
      <c r="U372" s="47">
        <v>1</v>
      </c>
      <c r="V372" s="47">
        <v>3</v>
      </c>
      <c r="W372" s="51">
        <f t="shared" si="47"/>
        <v>46034</v>
      </c>
      <c r="X372" s="60"/>
    </row>
    <row r="373" spans="1:24" hidden="1">
      <c r="A373" s="46" t="s">
        <v>351</v>
      </c>
      <c r="B373" s="46" t="s">
        <v>455</v>
      </c>
      <c r="C373" s="47" t="s">
        <v>74</v>
      </c>
      <c r="D373" s="47" t="s">
        <v>74</v>
      </c>
      <c r="E373" s="47">
        <v>50113256</v>
      </c>
      <c r="F373" s="47" t="s">
        <v>75</v>
      </c>
      <c r="G373" s="46">
        <v>100000</v>
      </c>
      <c r="H373" s="47">
        <v>2.21</v>
      </c>
      <c r="I373" s="46">
        <f t="shared" si="43"/>
        <v>221000</v>
      </c>
      <c r="J373" s="46" t="s">
        <v>375</v>
      </c>
      <c r="K373" s="46"/>
      <c r="L373" s="46"/>
      <c r="M373" s="47">
        <v>25500198</v>
      </c>
      <c r="N373" s="48">
        <v>4521003371</v>
      </c>
      <c r="O373" s="49">
        <v>45986</v>
      </c>
      <c r="P373" s="50">
        <v>1.5</v>
      </c>
      <c r="Q373" s="49">
        <v>46053</v>
      </c>
      <c r="R373" s="47" t="s">
        <v>462</v>
      </c>
      <c r="S373" s="51">
        <v>46029</v>
      </c>
      <c r="T373" s="47">
        <v>1</v>
      </c>
      <c r="U373" s="47">
        <v>1</v>
      </c>
      <c r="V373" s="47">
        <v>3</v>
      </c>
      <c r="W373" s="51">
        <f t="shared" si="47"/>
        <v>46034</v>
      </c>
      <c r="X373" s="60"/>
    </row>
    <row r="374" spans="1:24" hidden="1">
      <c r="A374" s="46" t="s">
        <v>351</v>
      </c>
      <c r="B374" s="46" t="s">
        <v>455</v>
      </c>
      <c r="C374" s="47" t="s">
        <v>74</v>
      </c>
      <c r="D374" s="47" t="s">
        <v>74</v>
      </c>
      <c r="E374" s="47">
        <v>50082096</v>
      </c>
      <c r="F374" s="47" t="s">
        <v>76</v>
      </c>
      <c r="G374" s="46">
        <v>200000</v>
      </c>
      <c r="H374" s="47">
        <v>0.25</v>
      </c>
      <c r="I374" s="46">
        <f t="shared" si="43"/>
        <v>50000</v>
      </c>
      <c r="J374" s="46" t="s">
        <v>374</v>
      </c>
      <c r="K374" s="46"/>
      <c r="L374" s="46"/>
      <c r="M374" s="47">
        <v>25501643</v>
      </c>
      <c r="N374" s="48">
        <v>4521003629</v>
      </c>
      <c r="O374" s="49">
        <v>46014</v>
      </c>
      <c r="P374" s="50">
        <v>1</v>
      </c>
      <c r="Q374" s="49">
        <v>46053</v>
      </c>
      <c r="R374" s="47" t="s">
        <v>463</v>
      </c>
      <c r="S374" s="51">
        <v>42378</v>
      </c>
      <c r="T374" s="47">
        <v>1</v>
      </c>
      <c r="U374" s="47">
        <v>1</v>
      </c>
      <c r="V374" s="47">
        <v>3</v>
      </c>
      <c r="W374" s="51">
        <f t="shared" si="47"/>
        <v>42383</v>
      </c>
      <c r="X374" s="60"/>
    </row>
    <row r="375" spans="1:24" hidden="1">
      <c r="A375" s="46" t="s">
        <v>351</v>
      </c>
      <c r="B375" s="46" t="s">
        <v>455</v>
      </c>
      <c r="C375" s="47" t="s">
        <v>74</v>
      </c>
      <c r="D375" s="47" t="s">
        <v>74</v>
      </c>
      <c r="E375" s="47">
        <v>50081903</v>
      </c>
      <c r="F375" s="47" t="s">
        <v>50</v>
      </c>
      <c r="G375" s="46">
        <v>200000</v>
      </c>
      <c r="H375" s="47">
        <v>0.72</v>
      </c>
      <c r="I375" s="46">
        <f t="shared" si="43"/>
        <v>144000</v>
      </c>
      <c r="J375" s="46" t="s">
        <v>374</v>
      </c>
      <c r="K375" s="46"/>
      <c r="L375" s="46"/>
      <c r="M375" s="47">
        <v>25501409</v>
      </c>
      <c r="N375" s="48">
        <v>4521003374</v>
      </c>
      <c r="O375" s="49">
        <v>45986</v>
      </c>
      <c r="P375" s="50">
        <v>1.2</v>
      </c>
      <c r="Q375" s="49">
        <v>46001</v>
      </c>
      <c r="R375" s="47" t="s">
        <v>463</v>
      </c>
      <c r="S375" s="51">
        <v>42378</v>
      </c>
      <c r="T375" s="47">
        <v>1</v>
      </c>
      <c r="U375" s="47">
        <v>1</v>
      </c>
      <c r="V375" s="47">
        <v>3</v>
      </c>
      <c r="W375" s="51">
        <f t="shared" si="47"/>
        <v>42383</v>
      </c>
      <c r="X375" s="60"/>
    </row>
    <row r="376" spans="1:24" hidden="1">
      <c r="A376" s="46" t="s">
        <v>351</v>
      </c>
      <c r="B376" s="46" t="s">
        <v>455</v>
      </c>
      <c r="C376" s="47" t="s">
        <v>74</v>
      </c>
      <c r="D376" s="47" t="s">
        <v>74</v>
      </c>
      <c r="E376" s="47">
        <v>50113256</v>
      </c>
      <c r="F376" s="47" t="s">
        <v>75</v>
      </c>
      <c r="G376" s="46">
        <v>200000</v>
      </c>
      <c r="H376" s="47">
        <v>2.21</v>
      </c>
      <c r="I376" s="46">
        <f t="shared" si="43"/>
        <v>442000</v>
      </c>
      <c r="J376" s="46" t="s">
        <v>375</v>
      </c>
      <c r="K376" s="46"/>
      <c r="L376" s="46"/>
      <c r="M376" s="47">
        <v>25500198</v>
      </c>
      <c r="N376" s="48">
        <v>4521003371</v>
      </c>
      <c r="O376" s="49">
        <v>45986</v>
      </c>
      <c r="P376" s="50">
        <v>1.5</v>
      </c>
      <c r="Q376" s="49">
        <v>46053</v>
      </c>
      <c r="R376" s="47" t="s">
        <v>462</v>
      </c>
      <c r="S376" s="51">
        <v>42378</v>
      </c>
      <c r="T376" s="47">
        <v>1</v>
      </c>
      <c r="U376" s="47">
        <v>1</v>
      </c>
      <c r="V376" s="47">
        <v>3</v>
      </c>
      <c r="W376" s="51">
        <f t="shared" si="47"/>
        <v>42383</v>
      </c>
      <c r="X376" s="60"/>
    </row>
    <row r="377" spans="1:24" hidden="1">
      <c r="A377" s="46" t="s">
        <v>351</v>
      </c>
      <c r="B377" s="46" t="s">
        <v>455</v>
      </c>
      <c r="C377" s="47" t="s">
        <v>74</v>
      </c>
      <c r="D377" s="47" t="s">
        <v>74</v>
      </c>
      <c r="E377" s="47">
        <v>50082096</v>
      </c>
      <c r="F377" s="47" t="s">
        <v>76</v>
      </c>
      <c r="G377" s="46">
        <v>200000</v>
      </c>
      <c r="H377" s="47">
        <v>0.25</v>
      </c>
      <c r="I377" s="46">
        <f t="shared" si="43"/>
        <v>50000</v>
      </c>
      <c r="J377" s="46" t="s">
        <v>374</v>
      </c>
      <c r="K377" s="46"/>
      <c r="L377" s="46"/>
      <c r="M377" s="47">
        <v>25501643</v>
      </c>
      <c r="N377" s="48">
        <v>4521003629</v>
      </c>
      <c r="O377" s="49">
        <v>46014</v>
      </c>
      <c r="P377" s="50">
        <v>1</v>
      </c>
      <c r="Q377" s="49">
        <v>46053</v>
      </c>
      <c r="R377" s="47" t="s">
        <v>463</v>
      </c>
      <c r="S377" s="51">
        <v>46034</v>
      </c>
      <c r="T377" s="47">
        <v>1</v>
      </c>
      <c r="U377" s="47">
        <v>1</v>
      </c>
      <c r="V377" s="47">
        <v>3</v>
      </c>
      <c r="W377" s="51">
        <f t="shared" si="47"/>
        <v>46039</v>
      </c>
      <c r="X377" s="60"/>
    </row>
    <row r="378" spans="1:24" hidden="1">
      <c r="A378" s="46" t="s">
        <v>351</v>
      </c>
      <c r="B378" s="46" t="s">
        <v>455</v>
      </c>
      <c r="C378" s="47" t="s">
        <v>74</v>
      </c>
      <c r="D378" s="47" t="s">
        <v>74</v>
      </c>
      <c r="E378" s="47">
        <v>50081903</v>
      </c>
      <c r="F378" s="47" t="s">
        <v>50</v>
      </c>
      <c r="G378" s="46">
        <v>200000</v>
      </c>
      <c r="H378" s="47">
        <v>0.72</v>
      </c>
      <c r="I378" s="46">
        <f t="shared" si="43"/>
        <v>144000</v>
      </c>
      <c r="J378" s="46" t="s">
        <v>374</v>
      </c>
      <c r="K378" s="46"/>
      <c r="L378" s="46"/>
      <c r="M378" s="47">
        <v>25501409</v>
      </c>
      <c r="N378" s="48">
        <v>4521003374</v>
      </c>
      <c r="O378" s="49">
        <v>45986</v>
      </c>
      <c r="P378" s="50">
        <v>1.2</v>
      </c>
      <c r="Q378" s="49">
        <v>46001</v>
      </c>
      <c r="R378" s="47" t="s">
        <v>463</v>
      </c>
      <c r="S378" s="51">
        <v>46034</v>
      </c>
      <c r="T378" s="47">
        <v>1</v>
      </c>
      <c r="U378" s="47">
        <v>1</v>
      </c>
      <c r="V378" s="47">
        <v>3</v>
      </c>
      <c r="W378" s="51">
        <f t="shared" si="47"/>
        <v>46039</v>
      </c>
      <c r="X378" s="60"/>
    </row>
    <row r="379" spans="1:24" hidden="1">
      <c r="A379" s="46" t="s">
        <v>351</v>
      </c>
      <c r="B379" s="46" t="s">
        <v>455</v>
      </c>
      <c r="C379" s="47" t="s">
        <v>74</v>
      </c>
      <c r="D379" s="47" t="s">
        <v>74</v>
      </c>
      <c r="E379" s="47">
        <v>50113256</v>
      </c>
      <c r="F379" s="47" t="s">
        <v>75</v>
      </c>
      <c r="G379" s="46">
        <v>200000</v>
      </c>
      <c r="H379" s="47">
        <v>2.21</v>
      </c>
      <c r="I379" s="46">
        <f t="shared" si="43"/>
        <v>442000</v>
      </c>
      <c r="J379" s="46" t="s">
        <v>375</v>
      </c>
      <c r="K379" s="46"/>
      <c r="L379" s="46"/>
      <c r="M379" s="47">
        <v>25500198</v>
      </c>
      <c r="N379" s="48">
        <v>4521003371</v>
      </c>
      <c r="O379" s="49">
        <v>45986</v>
      </c>
      <c r="P379" s="50">
        <v>1.5</v>
      </c>
      <c r="Q379" s="49">
        <v>46053</v>
      </c>
      <c r="R379" s="47" t="s">
        <v>462</v>
      </c>
      <c r="S379" s="51">
        <v>46034</v>
      </c>
      <c r="T379" s="47">
        <v>1</v>
      </c>
      <c r="U379" s="47">
        <v>1</v>
      </c>
      <c r="V379" s="47">
        <v>3</v>
      </c>
      <c r="W379" s="51">
        <f t="shared" si="47"/>
        <v>46039</v>
      </c>
      <c r="X379" s="60"/>
    </row>
    <row r="380" spans="1:24" hidden="1">
      <c r="A380" s="46" t="s">
        <v>351</v>
      </c>
      <c r="B380" s="46" t="s">
        <v>455</v>
      </c>
      <c r="C380" s="47" t="s">
        <v>74</v>
      </c>
      <c r="D380" s="47" t="s">
        <v>74</v>
      </c>
      <c r="E380" s="47">
        <v>50082096</v>
      </c>
      <c r="F380" s="47" t="s">
        <v>76</v>
      </c>
      <c r="G380" s="46">
        <v>200000</v>
      </c>
      <c r="H380" s="47">
        <v>0.25</v>
      </c>
      <c r="I380" s="46">
        <f t="shared" si="43"/>
        <v>50000</v>
      </c>
      <c r="J380" s="46" t="s">
        <v>374</v>
      </c>
      <c r="K380" s="46"/>
      <c r="L380" s="46"/>
      <c r="M380" s="47">
        <v>25501643</v>
      </c>
      <c r="N380" s="48">
        <v>4521003629</v>
      </c>
      <c r="O380" s="49">
        <v>46014</v>
      </c>
      <c r="P380" s="50">
        <v>1</v>
      </c>
      <c r="Q380" s="49">
        <v>46053</v>
      </c>
      <c r="R380" s="47" t="s">
        <v>463</v>
      </c>
      <c r="S380" s="51">
        <v>46038</v>
      </c>
      <c r="T380" s="47">
        <v>1</v>
      </c>
      <c r="U380" s="47">
        <v>1</v>
      </c>
      <c r="V380" s="47">
        <v>3</v>
      </c>
      <c r="W380" s="51">
        <f t="shared" si="47"/>
        <v>46043</v>
      </c>
      <c r="X380" s="60"/>
    </row>
    <row r="381" spans="1:24" hidden="1">
      <c r="A381" s="46" t="s">
        <v>351</v>
      </c>
      <c r="B381" s="46" t="s">
        <v>455</v>
      </c>
      <c r="C381" s="47" t="s">
        <v>74</v>
      </c>
      <c r="D381" s="47" t="s">
        <v>74</v>
      </c>
      <c r="E381" s="47">
        <v>50081903</v>
      </c>
      <c r="F381" s="47" t="s">
        <v>50</v>
      </c>
      <c r="G381" s="46">
        <v>200000</v>
      </c>
      <c r="H381" s="47">
        <v>0.72</v>
      </c>
      <c r="I381" s="46">
        <f t="shared" si="43"/>
        <v>144000</v>
      </c>
      <c r="J381" s="46" t="s">
        <v>374</v>
      </c>
      <c r="K381" s="46"/>
      <c r="L381" s="46"/>
      <c r="M381" s="47">
        <v>25501409</v>
      </c>
      <c r="N381" s="48">
        <v>4521003374</v>
      </c>
      <c r="O381" s="49">
        <v>45986</v>
      </c>
      <c r="P381" s="50">
        <v>1.2</v>
      </c>
      <c r="Q381" s="49">
        <v>46001</v>
      </c>
      <c r="R381" s="47" t="s">
        <v>463</v>
      </c>
      <c r="S381" s="51">
        <v>46038</v>
      </c>
      <c r="T381" s="47">
        <v>1</v>
      </c>
      <c r="U381" s="47">
        <v>1</v>
      </c>
      <c r="V381" s="47">
        <v>3</v>
      </c>
      <c r="W381" s="51">
        <f t="shared" si="47"/>
        <v>46043</v>
      </c>
      <c r="X381" s="60"/>
    </row>
    <row r="382" spans="1:24" hidden="1">
      <c r="A382" s="46" t="s">
        <v>351</v>
      </c>
      <c r="B382" s="46" t="s">
        <v>455</v>
      </c>
      <c r="C382" s="47" t="s">
        <v>74</v>
      </c>
      <c r="D382" s="47" t="s">
        <v>74</v>
      </c>
      <c r="E382" s="47">
        <v>50113256</v>
      </c>
      <c r="F382" s="47" t="s">
        <v>75</v>
      </c>
      <c r="G382" s="46">
        <v>200000</v>
      </c>
      <c r="H382" s="47">
        <v>2.21</v>
      </c>
      <c r="I382" s="46">
        <f t="shared" si="43"/>
        <v>442000</v>
      </c>
      <c r="J382" s="46" t="s">
        <v>375</v>
      </c>
      <c r="K382" s="46"/>
      <c r="L382" s="46"/>
      <c r="M382" s="47">
        <v>25500198</v>
      </c>
      <c r="N382" s="48">
        <v>4521003371</v>
      </c>
      <c r="O382" s="49">
        <v>45986</v>
      </c>
      <c r="P382" s="50">
        <v>1.5</v>
      </c>
      <c r="Q382" s="49">
        <v>46053</v>
      </c>
      <c r="R382" s="47" t="s">
        <v>462</v>
      </c>
      <c r="S382" s="51">
        <v>46038</v>
      </c>
      <c r="T382" s="47">
        <v>1</v>
      </c>
      <c r="U382" s="47">
        <v>1</v>
      </c>
      <c r="V382" s="47">
        <v>3</v>
      </c>
      <c r="W382" s="51">
        <f t="shared" si="47"/>
        <v>46043</v>
      </c>
      <c r="X382" s="60"/>
    </row>
    <row r="383" spans="1:24" hidden="1">
      <c r="A383" s="46" t="s">
        <v>351</v>
      </c>
      <c r="B383" s="46" t="s">
        <v>455</v>
      </c>
      <c r="C383" s="47" t="s">
        <v>74</v>
      </c>
      <c r="D383" s="47" t="s">
        <v>74</v>
      </c>
      <c r="E383" s="47">
        <v>50082096</v>
      </c>
      <c r="F383" s="47" t="s">
        <v>76</v>
      </c>
      <c r="G383" s="46">
        <v>200000</v>
      </c>
      <c r="H383" s="47">
        <v>0.25</v>
      </c>
      <c r="I383" s="46">
        <f t="shared" si="43"/>
        <v>50000</v>
      </c>
      <c r="J383" s="46" t="s">
        <v>374</v>
      </c>
      <c r="K383" s="46"/>
      <c r="L383" s="46"/>
      <c r="M383" s="47">
        <v>25501643</v>
      </c>
      <c r="N383" s="48">
        <v>4521003629</v>
      </c>
      <c r="O383" s="49">
        <v>46014</v>
      </c>
      <c r="P383" s="50">
        <v>1</v>
      </c>
      <c r="Q383" s="49">
        <v>46053</v>
      </c>
      <c r="R383" s="47" t="s">
        <v>463</v>
      </c>
      <c r="S383" s="51">
        <v>46040</v>
      </c>
      <c r="T383" s="47">
        <v>1</v>
      </c>
      <c r="U383" s="47">
        <v>1</v>
      </c>
      <c r="V383" s="47">
        <v>3</v>
      </c>
      <c r="W383" s="51">
        <f t="shared" si="47"/>
        <v>46045</v>
      </c>
      <c r="X383" s="60"/>
    </row>
    <row r="384" spans="1:24" hidden="1">
      <c r="A384" s="46" t="s">
        <v>351</v>
      </c>
      <c r="B384" s="46" t="s">
        <v>457</v>
      </c>
      <c r="C384" s="47" t="s">
        <v>144</v>
      </c>
      <c r="D384" s="47" t="s">
        <v>144</v>
      </c>
      <c r="E384" s="47">
        <v>50114370</v>
      </c>
      <c r="F384" s="47" t="s">
        <v>146</v>
      </c>
      <c r="G384" s="46">
        <v>400000</v>
      </c>
      <c r="H384" s="47">
        <v>1.62</v>
      </c>
      <c r="I384" s="46">
        <f t="shared" si="43"/>
        <v>648000</v>
      </c>
      <c r="J384" s="46" t="s">
        <v>374</v>
      </c>
      <c r="K384" s="46"/>
      <c r="L384" s="46"/>
      <c r="M384" s="47">
        <v>25501647</v>
      </c>
      <c r="N384" s="48">
        <v>4100315241</v>
      </c>
      <c r="O384" s="49">
        <v>46014</v>
      </c>
      <c r="P384" s="50">
        <v>1</v>
      </c>
      <c r="Q384" s="49">
        <v>46054</v>
      </c>
      <c r="R384" s="51" t="s">
        <v>462</v>
      </c>
      <c r="S384" s="51">
        <v>46042</v>
      </c>
      <c r="T384" s="47">
        <v>1</v>
      </c>
      <c r="U384" s="47">
        <v>1</v>
      </c>
      <c r="V384" s="47">
        <v>3</v>
      </c>
      <c r="W384" s="51">
        <f t="shared" si="47"/>
        <v>46047</v>
      </c>
      <c r="X384" s="60"/>
    </row>
    <row r="385" spans="1:24" hidden="1">
      <c r="A385" s="46" t="s">
        <v>351</v>
      </c>
      <c r="B385" s="46" t="s">
        <v>457</v>
      </c>
      <c r="C385" s="47" t="s">
        <v>144</v>
      </c>
      <c r="D385" s="47" t="s">
        <v>144</v>
      </c>
      <c r="E385" s="47">
        <v>50081805</v>
      </c>
      <c r="F385" s="47" t="s">
        <v>207</v>
      </c>
      <c r="G385" s="46">
        <v>400000</v>
      </c>
      <c r="H385" s="47">
        <v>0.62</v>
      </c>
      <c r="I385" s="46">
        <f t="shared" si="43"/>
        <v>248000</v>
      </c>
      <c r="J385" s="46" t="s">
        <v>374</v>
      </c>
      <c r="K385" s="46"/>
      <c r="L385" s="46"/>
      <c r="M385" s="47">
        <v>25501647</v>
      </c>
      <c r="N385" s="48">
        <v>4100315241</v>
      </c>
      <c r="O385" s="49">
        <v>46014</v>
      </c>
      <c r="P385" s="50">
        <v>2</v>
      </c>
      <c r="Q385" s="49">
        <v>46054</v>
      </c>
      <c r="R385" s="51" t="s">
        <v>462</v>
      </c>
      <c r="S385" s="51">
        <v>46042</v>
      </c>
      <c r="T385" s="47">
        <v>1</v>
      </c>
      <c r="U385" s="47">
        <v>1</v>
      </c>
      <c r="V385" s="47">
        <v>3</v>
      </c>
      <c r="W385" s="51">
        <f t="shared" si="47"/>
        <v>46047</v>
      </c>
      <c r="X385" s="60"/>
    </row>
    <row r="386" spans="1:24" hidden="1">
      <c r="A386" s="46" t="s">
        <v>351</v>
      </c>
      <c r="B386" s="46" t="s">
        <v>457</v>
      </c>
      <c r="C386" s="47" t="s">
        <v>144</v>
      </c>
      <c r="D386" s="47" t="s">
        <v>144</v>
      </c>
      <c r="E386" s="47">
        <v>50081947</v>
      </c>
      <c r="F386" s="47" t="s">
        <v>148</v>
      </c>
      <c r="G386" s="46">
        <v>400000</v>
      </c>
      <c r="H386" s="47">
        <v>0.27</v>
      </c>
      <c r="I386" s="46">
        <f t="shared" si="43"/>
        <v>108000</v>
      </c>
      <c r="J386" s="46" t="s">
        <v>374</v>
      </c>
      <c r="K386" s="46"/>
      <c r="L386" s="46"/>
      <c r="M386" s="47">
        <v>25501647</v>
      </c>
      <c r="N386" s="48">
        <v>4100315241</v>
      </c>
      <c r="O386" s="49">
        <v>46014</v>
      </c>
      <c r="P386" s="50">
        <v>3</v>
      </c>
      <c r="Q386" s="49">
        <v>46054</v>
      </c>
      <c r="R386" s="51" t="s">
        <v>462</v>
      </c>
      <c r="S386" s="51">
        <v>46042</v>
      </c>
      <c r="T386" s="47">
        <v>1</v>
      </c>
      <c r="U386" s="47">
        <v>1</v>
      </c>
      <c r="V386" s="47">
        <v>3</v>
      </c>
      <c r="W386" s="51">
        <f t="shared" si="47"/>
        <v>46047</v>
      </c>
      <c r="X386" s="60"/>
    </row>
    <row r="387" spans="1:24" hidden="1">
      <c r="A387" s="46" t="s">
        <v>351</v>
      </c>
      <c r="B387" s="46" t="s">
        <v>457</v>
      </c>
      <c r="C387" s="47" t="s">
        <v>313</v>
      </c>
      <c r="D387" s="47" t="s">
        <v>313</v>
      </c>
      <c r="E387" s="47">
        <v>50082156</v>
      </c>
      <c r="F387" s="47" t="s">
        <v>138</v>
      </c>
      <c r="G387" s="46">
        <v>10000</v>
      </c>
      <c r="H387" s="47">
        <v>0.39</v>
      </c>
      <c r="I387" s="46">
        <f t="shared" si="43"/>
        <v>3900</v>
      </c>
      <c r="J387" s="46" t="s">
        <v>374</v>
      </c>
      <c r="K387" s="46"/>
      <c r="L387" s="46"/>
      <c r="M387" s="47">
        <v>25501648</v>
      </c>
      <c r="N387" s="48">
        <v>2500245602</v>
      </c>
      <c r="O387" s="49">
        <v>46014</v>
      </c>
      <c r="P387" s="50">
        <v>1</v>
      </c>
      <c r="Q387" s="49">
        <v>46057</v>
      </c>
      <c r="R387" s="47" t="s">
        <v>462</v>
      </c>
      <c r="S387" s="51">
        <v>46041</v>
      </c>
      <c r="T387" s="47">
        <v>1</v>
      </c>
      <c r="U387" s="47">
        <v>1</v>
      </c>
      <c r="V387" s="47">
        <v>3</v>
      </c>
      <c r="W387" s="51">
        <f t="shared" si="47"/>
        <v>46046</v>
      </c>
      <c r="X387" s="60"/>
    </row>
    <row r="388" spans="1:24" hidden="1">
      <c r="A388" s="46" t="s">
        <v>347</v>
      </c>
      <c r="B388" s="46" t="s">
        <v>460</v>
      </c>
      <c r="C388" s="47" t="s">
        <v>327</v>
      </c>
      <c r="D388" s="47" t="s">
        <v>327</v>
      </c>
      <c r="E388" s="47">
        <v>50114184</v>
      </c>
      <c r="F388" s="47" t="s">
        <v>324</v>
      </c>
      <c r="G388" s="46">
        <v>250000</v>
      </c>
      <c r="H388" s="47">
        <v>2.91</v>
      </c>
      <c r="I388" s="46">
        <f t="shared" si="43"/>
        <v>727500</v>
      </c>
      <c r="J388" s="46" t="s">
        <v>375</v>
      </c>
      <c r="K388" s="46"/>
      <c r="L388" s="46"/>
      <c r="M388" s="47">
        <v>25500222</v>
      </c>
      <c r="N388" s="48">
        <v>4510203405</v>
      </c>
      <c r="O388" s="49">
        <v>46002</v>
      </c>
      <c r="P388" s="50">
        <v>1</v>
      </c>
      <c r="Q388" s="49">
        <v>46065</v>
      </c>
      <c r="R388" s="47" t="s">
        <v>463</v>
      </c>
      <c r="S388" s="51">
        <v>46026</v>
      </c>
      <c r="T388" s="47">
        <v>1</v>
      </c>
      <c r="U388" s="47">
        <v>1</v>
      </c>
      <c r="V388" s="47"/>
      <c r="W388" s="52">
        <f>S388+T388+U388</f>
        <v>46028</v>
      </c>
      <c r="X388" s="59"/>
    </row>
    <row r="389" spans="1:24" hidden="1">
      <c r="A389" s="46" t="s">
        <v>353</v>
      </c>
      <c r="B389" s="46" t="s">
        <v>455</v>
      </c>
      <c r="C389" s="47" t="s">
        <v>294</v>
      </c>
      <c r="D389" s="47" t="s">
        <v>286</v>
      </c>
      <c r="E389" s="47">
        <v>50096987</v>
      </c>
      <c r="F389" s="47" t="s">
        <v>285</v>
      </c>
      <c r="G389" s="46">
        <v>432000</v>
      </c>
      <c r="H389" s="47">
        <v>5.74</v>
      </c>
      <c r="I389" s="46">
        <f t="shared" si="43"/>
        <v>2479680</v>
      </c>
      <c r="J389" s="46" t="s">
        <v>449</v>
      </c>
      <c r="K389" s="46"/>
      <c r="L389" s="46"/>
      <c r="M389" s="47">
        <v>25880016</v>
      </c>
      <c r="N389" s="48" t="s">
        <v>284</v>
      </c>
      <c r="O389" s="49">
        <v>45824</v>
      </c>
      <c r="P389" s="50">
        <v>4.0999999999999996</v>
      </c>
      <c r="Q389" s="49">
        <v>46022</v>
      </c>
      <c r="R389" s="47"/>
      <c r="S389" s="51">
        <v>46028</v>
      </c>
      <c r="T389" s="47">
        <v>1</v>
      </c>
      <c r="U389" s="47">
        <v>1</v>
      </c>
      <c r="V389" s="47"/>
      <c r="W389" s="51">
        <f>S389+T389+U389+V389</f>
        <v>46030</v>
      </c>
      <c r="X389" s="60"/>
    </row>
    <row r="390" spans="1:24" hidden="1">
      <c r="A390" s="46" t="s">
        <v>353</v>
      </c>
      <c r="B390" s="46" t="s">
        <v>455</v>
      </c>
      <c r="C390" s="47" t="s">
        <v>283</v>
      </c>
      <c r="D390" s="47" t="s">
        <v>283</v>
      </c>
      <c r="E390" s="47">
        <v>50096987</v>
      </c>
      <c r="F390" s="47" t="s">
        <v>285</v>
      </c>
      <c r="G390" s="46">
        <v>575000</v>
      </c>
      <c r="H390" s="47">
        <v>3.4338000000000002</v>
      </c>
      <c r="I390" s="46">
        <f t="shared" si="43"/>
        <v>1974435</v>
      </c>
      <c r="J390" s="46" t="s">
        <v>374</v>
      </c>
      <c r="K390" s="46"/>
      <c r="L390" s="46" t="s">
        <v>482</v>
      </c>
      <c r="M390" s="47">
        <v>25880016</v>
      </c>
      <c r="N390" s="48" t="s">
        <v>284</v>
      </c>
      <c r="O390" s="49">
        <v>45824</v>
      </c>
      <c r="P390" s="50">
        <v>4.0999999999999996</v>
      </c>
      <c r="Q390" s="49">
        <v>46022</v>
      </c>
      <c r="R390" s="47"/>
      <c r="S390" s="51">
        <v>46034</v>
      </c>
      <c r="T390" s="47">
        <v>1</v>
      </c>
      <c r="U390" s="47">
        <v>1</v>
      </c>
      <c r="V390" s="47"/>
      <c r="W390" s="51">
        <f>S390+T390+U390+V390</f>
        <v>46036</v>
      </c>
      <c r="X390" s="60"/>
    </row>
    <row r="391" spans="1:24" hidden="1">
      <c r="A391" s="46" t="s">
        <v>353</v>
      </c>
      <c r="B391" s="46" t="s">
        <v>455</v>
      </c>
      <c r="C391" s="47" t="s">
        <v>283</v>
      </c>
      <c r="D391" s="47" t="s">
        <v>283</v>
      </c>
      <c r="E391" s="47">
        <v>50096987</v>
      </c>
      <c r="F391" s="47" t="s">
        <v>285</v>
      </c>
      <c r="G391" s="46">
        <v>575000</v>
      </c>
      <c r="H391" s="47">
        <v>3.4338000000000002</v>
      </c>
      <c r="I391" s="46">
        <f t="shared" si="43"/>
        <v>1974435</v>
      </c>
      <c r="J391" s="46" t="s">
        <v>374</v>
      </c>
      <c r="K391" s="46"/>
      <c r="L391" s="46" t="s">
        <v>482</v>
      </c>
      <c r="M391" s="47">
        <v>25880016</v>
      </c>
      <c r="N391" s="48" t="s">
        <v>284</v>
      </c>
      <c r="O391" s="49">
        <v>45824</v>
      </c>
      <c r="P391" s="50">
        <v>4.0999999999999996</v>
      </c>
      <c r="Q391" s="49">
        <v>46022</v>
      </c>
      <c r="R391" s="47"/>
      <c r="S391" s="51">
        <v>46040</v>
      </c>
      <c r="T391" s="47">
        <v>1</v>
      </c>
      <c r="U391" s="47">
        <v>1</v>
      </c>
      <c r="V391" s="47"/>
      <c r="W391" s="51">
        <f>S391+T391+U391+V391</f>
        <v>46042</v>
      </c>
      <c r="X391" s="60"/>
    </row>
    <row r="392" spans="1:24" hidden="1">
      <c r="A392" s="46" t="s">
        <v>353</v>
      </c>
      <c r="B392" s="46" t="s">
        <v>455</v>
      </c>
      <c r="C392" s="47" t="s">
        <v>283</v>
      </c>
      <c r="D392" s="47" t="s">
        <v>283</v>
      </c>
      <c r="E392" s="47">
        <v>50096987</v>
      </c>
      <c r="F392" s="47" t="s">
        <v>285</v>
      </c>
      <c r="G392" s="46">
        <v>575000</v>
      </c>
      <c r="H392" s="47">
        <v>3.4338000000000002</v>
      </c>
      <c r="I392" s="46">
        <f t="shared" si="43"/>
        <v>1974435</v>
      </c>
      <c r="J392" s="46" t="s">
        <v>374</v>
      </c>
      <c r="K392" s="46"/>
      <c r="L392" s="46"/>
      <c r="M392" s="47">
        <v>25880016</v>
      </c>
      <c r="N392" s="48" t="s">
        <v>284</v>
      </c>
      <c r="O392" s="49">
        <v>45824</v>
      </c>
      <c r="P392" s="50">
        <v>4.0999999999999996</v>
      </c>
      <c r="Q392" s="49">
        <v>46022</v>
      </c>
      <c r="R392" s="47"/>
      <c r="S392" s="51">
        <v>46046</v>
      </c>
      <c r="T392" s="47">
        <v>1</v>
      </c>
      <c r="U392" s="47">
        <v>1</v>
      </c>
      <c r="V392" s="47"/>
      <c r="W392" s="51">
        <f>S392+T392+U392+V392</f>
        <v>46048</v>
      </c>
      <c r="X392" s="60"/>
    </row>
    <row r="393" spans="1:24" hidden="1">
      <c r="A393" s="46" t="s">
        <v>354</v>
      </c>
      <c r="B393" s="46" t="s">
        <v>460</v>
      </c>
      <c r="C393" s="47" t="s">
        <v>288</v>
      </c>
      <c r="D393" s="47" t="s">
        <v>288</v>
      </c>
      <c r="E393" s="47">
        <v>50082406</v>
      </c>
      <c r="F393" s="47" t="s">
        <v>289</v>
      </c>
      <c r="G393" s="46">
        <v>184000</v>
      </c>
      <c r="H393" s="47">
        <v>6.8364000000000003</v>
      </c>
      <c r="I393" s="46">
        <f t="shared" ref="I393:I456" si="48">G393*H393</f>
        <v>1257897.6000000001</v>
      </c>
      <c r="J393" s="46" t="s">
        <v>374</v>
      </c>
      <c r="K393" s="46"/>
      <c r="L393" s="46" t="s">
        <v>482</v>
      </c>
      <c r="M393" s="47">
        <v>25880028</v>
      </c>
      <c r="N393" s="48">
        <v>4503611930</v>
      </c>
      <c r="O393" s="49">
        <v>45856</v>
      </c>
      <c r="P393" s="50">
        <v>1</v>
      </c>
      <c r="Q393" s="49">
        <v>46036</v>
      </c>
      <c r="R393" s="47" t="s">
        <v>462</v>
      </c>
      <c r="S393" s="51">
        <v>46042</v>
      </c>
      <c r="T393" s="47"/>
      <c r="U393" s="47"/>
      <c r="V393" s="47"/>
      <c r="W393" s="51">
        <f>S393</f>
        <v>46042</v>
      </c>
      <c r="X393" s="60"/>
    </row>
    <row r="394" spans="1:24" hidden="1">
      <c r="A394" s="46" t="s">
        <v>346</v>
      </c>
      <c r="B394" s="46" t="s">
        <v>457</v>
      </c>
      <c r="C394" s="47" t="s">
        <v>291</v>
      </c>
      <c r="D394" s="47" t="s">
        <v>292</v>
      </c>
      <c r="E394" s="47">
        <v>50091672</v>
      </c>
      <c r="F394" s="47" t="s">
        <v>108</v>
      </c>
      <c r="G394" s="46">
        <v>107000</v>
      </c>
      <c r="H394" s="47">
        <v>3.3668999999999998</v>
      </c>
      <c r="I394" s="46">
        <f t="shared" si="48"/>
        <v>360258.3</v>
      </c>
      <c r="J394" s="46" t="s">
        <v>374</v>
      </c>
      <c r="K394" s="46"/>
      <c r="L394" s="46"/>
      <c r="M394" s="47">
        <v>25880031</v>
      </c>
      <c r="N394" s="48" t="s">
        <v>290</v>
      </c>
      <c r="O394" s="49">
        <v>45860</v>
      </c>
      <c r="P394" s="50">
        <v>1</v>
      </c>
      <c r="Q394" s="49">
        <v>46022</v>
      </c>
      <c r="R394" s="47" t="s">
        <v>462</v>
      </c>
      <c r="S394" s="51">
        <v>46030</v>
      </c>
      <c r="T394" s="47">
        <v>1</v>
      </c>
      <c r="U394" s="47">
        <v>1</v>
      </c>
      <c r="V394" s="47">
        <v>3</v>
      </c>
      <c r="W394" s="52">
        <f t="shared" ref="W394:W410" si="49">S394+T394+U394+V394</f>
        <v>46035</v>
      </c>
      <c r="X394" s="59"/>
    </row>
    <row r="395" spans="1:24" hidden="1">
      <c r="A395" s="46" t="s">
        <v>346</v>
      </c>
      <c r="B395" s="46" t="s">
        <v>457</v>
      </c>
      <c r="C395" s="47" t="s">
        <v>291</v>
      </c>
      <c r="D395" s="47" t="s">
        <v>292</v>
      </c>
      <c r="E395" s="47">
        <v>50114341</v>
      </c>
      <c r="F395" s="47" t="s">
        <v>180</v>
      </c>
      <c r="G395" s="46">
        <v>75000</v>
      </c>
      <c r="H395" s="47">
        <v>2.3329</v>
      </c>
      <c r="I395" s="46">
        <f t="shared" si="48"/>
        <v>174967.5</v>
      </c>
      <c r="J395" s="46" t="s">
        <v>374</v>
      </c>
      <c r="K395" s="46"/>
      <c r="L395" s="46"/>
      <c r="M395" s="47">
        <v>25880031</v>
      </c>
      <c r="N395" s="48" t="s">
        <v>290</v>
      </c>
      <c r="O395" s="49">
        <v>45860</v>
      </c>
      <c r="P395" s="50">
        <v>2</v>
      </c>
      <c r="Q395" s="49">
        <v>46022</v>
      </c>
      <c r="R395" s="47" t="s">
        <v>463</v>
      </c>
      <c r="S395" s="51">
        <v>46030</v>
      </c>
      <c r="T395" s="47">
        <v>1</v>
      </c>
      <c r="U395" s="47">
        <v>1</v>
      </c>
      <c r="V395" s="47">
        <v>3</v>
      </c>
      <c r="W395" s="52">
        <f t="shared" si="49"/>
        <v>46035</v>
      </c>
      <c r="X395" s="59"/>
    </row>
    <row r="396" spans="1:24" hidden="1">
      <c r="A396" s="46" t="s">
        <v>353</v>
      </c>
      <c r="B396" s="46" t="s">
        <v>455</v>
      </c>
      <c r="C396" s="47" t="s">
        <v>283</v>
      </c>
      <c r="D396" s="47" t="s">
        <v>283</v>
      </c>
      <c r="E396" s="47">
        <v>50096987</v>
      </c>
      <c r="F396" s="47" t="s">
        <v>285</v>
      </c>
      <c r="G396" s="46">
        <v>575000</v>
      </c>
      <c r="H396" s="47">
        <v>3.4338000000000002</v>
      </c>
      <c r="I396" s="46">
        <f t="shared" si="48"/>
        <v>1974435</v>
      </c>
      <c r="J396" s="46" t="s">
        <v>374</v>
      </c>
      <c r="K396" s="46"/>
      <c r="L396" s="46"/>
      <c r="M396" s="47">
        <v>25880045</v>
      </c>
      <c r="N396" s="48" t="s">
        <v>293</v>
      </c>
      <c r="O396" s="49">
        <v>45926</v>
      </c>
      <c r="P396" s="50">
        <v>1</v>
      </c>
      <c r="Q396" s="49">
        <v>46065</v>
      </c>
      <c r="R396" s="47"/>
      <c r="S396" s="51">
        <v>46029</v>
      </c>
      <c r="T396" s="47">
        <v>1</v>
      </c>
      <c r="U396" s="47">
        <v>1</v>
      </c>
      <c r="V396" s="47"/>
      <c r="W396" s="51">
        <f t="shared" si="49"/>
        <v>46031</v>
      </c>
      <c r="X396" s="60"/>
    </row>
    <row r="397" spans="1:24" hidden="1">
      <c r="A397" s="46" t="s">
        <v>346</v>
      </c>
      <c r="B397" s="46" t="s">
        <v>457</v>
      </c>
      <c r="C397" s="47" t="s">
        <v>295</v>
      </c>
      <c r="D397" s="47" t="s">
        <v>295</v>
      </c>
      <c r="E397" s="47">
        <v>50113738</v>
      </c>
      <c r="F397" s="47" t="s">
        <v>12</v>
      </c>
      <c r="G397" s="46">
        <v>150000</v>
      </c>
      <c r="H397" s="47">
        <v>3.5834000000000001</v>
      </c>
      <c r="I397" s="46">
        <f t="shared" si="48"/>
        <v>537510</v>
      </c>
      <c r="J397" s="46" t="s">
        <v>374</v>
      </c>
      <c r="K397" s="46"/>
      <c r="L397" s="46"/>
      <c r="M397" s="47">
        <v>25880048</v>
      </c>
      <c r="N397" s="48">
        <v>186</v>
      </c>
      <c r="O397" s="49">
        <v>45937</v>
      </c>
      <c r="P397" s="50">
        <v>2</v>
      </c>
      <c r="Q397" s="49">
        <v>46010</v>
      </c>
      <c r="R397" s="47" t="s">
        <v>463</v>
      </c>
      <c r="S397" s="51">
        <v>46042</v>
      </c>
      <c r="T397" s="47">
        <v>1</v>
      </c>
      <c r="U397" s="47">
        <v>1</v>
      </c>
      <c r="V397" s="47">
        <v>3</v>
      </c>
      <c r="W397" s="52">
        <f t="shared" si="49"/>
        <v>46047</v>
      </c>
      <c r="X397" s="59"/>
    </row>
    <row r="398" spans="1:24" hidden="1">
      <c r="A398" s="46" t="s">
        <v>353</v>
      </c>
      <c r="B398" s="46" t="s">
        <v>455</v>
      </c>
      <c r="C398" s="47" t="s">
        <v>283</v>
      </c>
      <c r="D398" s="47" t="s">
        <v>283</v>
      </c>
      <c r="E398" s="47">
        <v>50096987</v>
      </c>
      <c r="F398" s="47" t="s">
        <v>285</v>
      </c>
      <c r="G398" s="46">
        <v>575000</v>
      </c>
      <c r="H398" s="47">
        <v>3.4338000000000002</v>
      </c>
      <c r="I398" s="46">
        <f t="shared" si="48"/>
        <v>1974435</v>
      </c>
      <c r="J398" s="46" t="s">
        <v>374</v>
      </c>
      <c r="K398" s="46"/>
      <c r="L398" s="46"/>
      <c r="M398" s="47">
        <v>25880045</v>
      </c>
      <c r="N398" s="48" t="s">
        <v>293</v>
      </c>
      <c r="O398" s="49">
        <v>45926</v>
      </c>
      <c r="P398" s="50">
        <v>1</v>
      </c>
      <c r="Q398" s="49">
        <v>46065</v>
      </c>
      <c r="R398" s="47"/>
      <c r="S398" s="51">
        <v>46052</v>
      </c>
      <c r="T398" s="47">
        <v>1</v>
      </c>
      <c r="U398" s="47">
        <v>1</v>
      </c>
      <c r="V398" s="47"/>
      <c r="W398" s="51">
        <f t="shared" si="49"/>
        <v>46054</v>
      </c>
      <c r="X398" s="60"/>
    </row>
    <row r="399" spans="1:24" hidden="1">
      <c r="A399" s="46" t="s">
        <v>353</v>
      </c>
      <c r="B399" s="46" t="s">
        <v>455</v>
      </c>
      <c r="C399" s="47" t="s">
        <v>283</v>
      </c>
      <c r="D399" s="47" t="s">
        <v>283</v>
      </c>
      <c r="E399" s="47">
        <v>50096985</v>
      </c>
      <c r="F399" s="47" t="s">
        <v>297</v>
      </c>
      <c r="G399" s="46">
        <v>1151000</v>
      </c>
      <c r="H399" s="47">
        <v>2.5367999999999999</v>
      </c>
      <c r="I399" s="46">
        <f t="shared" si="48"/>
        <v>2919856.8</v>
      </c>
      <c r="J399" s="46" t="s">
        <v>374</v>
      </c>
      <c r="K399" s="46"/>
      <c r="L399" s="46" t="s">
        <v>482</v>
      </c>
      <c r="M399" s="47">
        <v>25880054</v>
      </c>
      <c r="N399" s="48" t="s">
        <v>296</v>
      </c>
      <c r="O399" s="49">
        <v>45958</v>
      </c>
      <c r="P399" s="50">
        <v>4.3</v>
      </c>
      <c r="Q399" s="49">
        <v>46168</v>
      </c>
      <c r="R399" s="47"/>
      <c r="S399" s="51">
        <v>46025</v>
      </c>
      <c r="T399" s="47">
        <v>1</v>
      </c>
      <c r="U399" s="47">
        <v>1</v>
      </c>
      <c r="V399" s="47"/>
      <c r="W399" s="51">
        <f t="shared" si="49"/>
        <v>46027</v>
      </c>
      <c r="X399" s="60"/>
    </row>
    <row r="400" spans="1:24" hidden="1">
      <c r="A400" s="46" t="s">
        <v>353</v>
      </c>
      <c r="B400" s="46" t="s">
        <v>455</v>
      </c>
      <c r="C400" s="47" t="s">
        <v>283</v>
      </c>
      <c r="D400" s="47" t="s">
        <v>283</v>
      </c>
      <c r="E400" s="47">
        <v>50096985</v>
      </c>
      <c r="F400" s="47" t="s">
        <v>297</v>
      </c>
      <c r="G400" s="46">
        <v>1151000</v>
      </c>
      <c r="H400" s="47">
        <v>2.5367999999999999</v>
      </c>
      <c r="I400" s="46">
        <f t="shared" si="48"/>
        <v>2919856.8</v>
      </c>
      <c r="J400" s="46" t="s">
        <v>374</v>
      </c>
      <c r="K400" s="46"/>
      <c r="L400" s="46" t="s">
        <v>482</v>
      </c>
      <c r="M400" s="47">
        <v>25880054</v>
      </c>
      <c r="N400" s="48" t="s">
        <v>296</v>
      </c>
      <c r="O400" s="49">
        <v>45958</v>
      </c>
      <c r="P400" s="50">
        <v>4.3</v>
      </c>
      <c r="Q400" s="49">
        <v>46168</v>
      </c>
      <c r="R400" s="47"/>
      <c r="S400" s="51">
        <v>46034</v>
      </c>
      <c r="T400" s="47">
        <v>1</v>
      </c>
      <c r="U400" s="47">
        <v>1</v>
      </c>
      <c r="V400" s="47"/>
      <c r="W400" s="51">
        <f t="shared" si="49"/>
        <v>46036</v>
      </c>
      <c r="X400" s="60"/>
    </row>
    <row r="401" spans="1:24" hidden="1">
      <c r="A401" s="46" t="s">
        <v>353</v>
      </c>
      <c r="B401" s="46" t="s">
        <v>455</v>
      </c>
      <c r="C401" s="47" t="s">
        <v>283</v>
      </c>
      <c r="D401" s="47" t="s">
        <v>283</v>
      </c>
      <c r="E401" s="47">
        <v>50096985</v>
      </c>
      <c r="F401" s="47" t="s">
        <v>297</v>
      </c>
      <c r="G401" s="46">
        <v>1151000</v>
      </c>
      <c r="H401" s="47">
        <v>2.5367999999999999</v>
      </c>
      <c r="I401" s="46">
        <f t="shared" si="48"/>
        <v>2919856.8</v>
      </c>
      <c r="J401" s="46" t="s">
        <v>374</v>
      </c>
      <c r="K401" s="46"/>
      <c r="L401" s="46"/>
      <c r="M401" s="47">
        <v>25880054</v>
      </c>
      <c r="N401" s="48" t="s">
        <v>296</v>
      </c>
      <c r="O401" s="49">
        <v>45958</v>
      </c>
      <c r="P401" s="50">
        <v>4.3</v>
      </c>
      <c r="Q401" s="49">
        <v>46168</v>
      </c>
      <c r="R401" s="47"/>
      <c r="S401" s="51">
        <v>46042</v>
      </c>
      <c r="T401" s="47">
        <v>1</v>
      </c>
      <c r="U401" s="47">
        <v>1</v>
      </c>
      <c r="V401" s="47"/>
      <c r="W401" s="51">
        <f t="shared" si="49"/>
        <v>46044</v>
      </c>
      <c r="X401" s="60"/>
    </row>
    <row r="402" spans="1:24" hidden="1">
      <c r="A402" s="46" t="s">
        <v>353</v>
      </c>
      <c r="B402" s="46" t="s">
        <v>455</v>
      </c>
      <c r="C402" s="47" t="s">
        <v>283</v>
      </c>
      <c r="D402" s="47" t="s">
        <v>283</v>
      </c>
      <c r="E402" s="47">
        <v>50096985</v>
      </c>
      <c r="F402" s="47" t="s">
        <v>297</v>
      </c>
      <c r="G402" s="46">
        <v>900000</v>
      </c>
      <c r="H402" s="47">
        <v>2.5367999999999999</v>
      </c>
      <c r="I402" s="46">
        <f t="shared" si="48"/>
        <v>2283120</v>
      </c>
      <c r="J402" s="46" t="s">
        <v>374</v>
      </c>
      <c r="K402" s="46"/>
      <c r="L402" s="46"/>
      <c r="M402" s="47">
        <v>25880054</v>
      </c>
      <c r="N402" s="48" t="s">
        <v>296</v>
      </c>
      <c r="O402" s="49">
        <v>45958</v>
      </c>
      <c r="P402" s="50">
        <v>4.3</v>
      </c>
      <c r="Q402" s="49">
        <v>46168</v>
      </c>
      <c r="R402" s="47"/>
      <c r="S402" s="51">
        <v>46050</v>
      </c>
      <c r="T402" s="47">
        <v>1</v>
      </c>
      <c r="U402" s="47">
        <v>1</v>
      </c>
      <c r="V402" s="47"/>
      <c r="W402" s="51">
        <f t="shared" si="49"/>
        <v>46052</v>
      </c>
      <c r="X402" s="60"/>
    </row>
    <row r="403" spans="1:24" hidden="1">
      <c r="A403" s="46" t="s">
        <v>346</v>
      </c>
      <c r="B403" s="46" t="s">
        <v>457</v>
      </c>
      <c r="C403" s="47" t="s">
        <v>295</v>
      </c>
      <c r="D403" s="47" t="s">
        <v>295</v>
      </c>
      <c r="E403" s="47">
        <v>50105703</v>
      </c>
      <c r="F403" s="47" t="s">
        <v>260</v>
      </c>
      <c r="G403" s="46">
        <v>15000</v>
      </c>
      <c r="H403" s="47">
        <v>3.5539999999999998</v>
      </c>
      <c r="I403" s="46">
        <f t="shared" si="48"/>
        <v>53310</v>
      </c>
      <c r="J403" s="46" t="s">
        <v>374</v>
      </c>
      <c r="K403" s="46"/>
      <c r="L403" s="46"/>
      <c r="M403" s="47">
        <v>25880057</v>
      </c>
      <c r="N403" s="48">
        <v>219</v>
      </c>
      <c r="O403" s="49">
        <v>45978</v>
      </c>
      <c r="P403" s="50">
        <v>1</v>
      </c>
      <c r="Q403" s="49">
        <v>46058</v>
      </c>
      <c r="R403" s="47" t="s">
        <v>463</v>
      </c>
      <c r="S403" s="51">
        <v>46042</v>
      </c>
      <c r="T403" s="47">
        <v>1</v>
      </c>
      <c r="U403" s="47">
        <v>1</v>
      </c>
      <c r="V403" s="47">
        <v>3</v>
      </c>
      <c r="W403" s="52">
        <f t="shared" si="49"/>
        <v>46047</v>
      </c>
      <c r="X403" s="59"/>
    </row>
    <row r="404" spans="1:24" hidden="1">
      <c r="A404" s="46" t="s">
        <v>353</v>
      </c>
      <c r="B404" s="46" t="s">
        <v>455</v>
      </c>
      <c r="C404" s="47" t="s">
        <v>283</v>
      </c>
      <c r="D404" s="47" t="s">
        <v>283</v>
      </c>
      <c r="E404" s="47">
        <v>50096986</v>
      </c>
      <c r="F404" s="47" t="s">
        <v>287</v>
      </c>
      <c r="G404" s="46">
        <v>576000</v>
      </c>
      <c r="H404" s="47">
        <v>4.95</v>
      </c>
      <c r="I404" s="46">
        <f t="shared" si="48"/>
        <v>2851200</v>
      </c>
      <c r="J404" s="46" t="s">
        <v>449</v>
      </c>
      <c r="K404" s="46"/>
      <c r="L404" s="46"/>
      <c r="M404" s="47">
        <v>25880060</v>
      </c>
      <c r="N404" s="48" t="s">
        <v>301</v>
      </c>
      <c r="O404" s="49">
        <v>45989</v>
      </c>
      <c r="P404" s="50">
        <v>1.1000000000000001</v>
      </c>
      <c r="Q404" s="49">
        <v>46101</v>
      </c>
      <c r="R404" s="47"/>
      <c r="S404" s="51">
        <v>45661</v>
      </c>
      <c r="T404" s="47">
        <v>1</v>
      </c>
      <c r="U404" s="47">
        <v>3</v>
      </c>
      <c r="V404" s="47"/>
      <c r="W404" s="51">
        <f t="shared" si="49"/>
        <v>45665</v>
      </c>
      <c r="X404" s="60"/>
    </row>
    <row r="405" spans="1:24" hidden="1">
      <c r="A405" s="46" t="s">
        <v>353</v>
      </c>
      <c r="B405" s="46" t="s">
        <v>455</v>
      </c>
      <c r="C405" s="47" t="s">
        <v>283</v>
      </c>
      <c r="D405" s="47" t="s">
        <v>283</v>
      </c>
      <c r="E405" s="47">
        <v>50096986</v>
      </c>
      <c r="F405" s="47" t="s">
        <v>287</v>
      </c>
      <c r="G405" s="46">
        <v>767000</v>
      </c>
      <c r="H405" s="47">
        <v>3.2172000000000001</v>
      </c>
      <c r="I405" s="46">
        <f t="shared" si="48"/>
        <v>2467592.4</v>
      </c>
      <c r="J405" s="46" t="s">
        <v>374</v>
      </c>
      <c r="K405" s="46"/>
      <c r="L405" s="46" t="s">
        <v>482</v>
      </c>
      <c r="M405" s="47">
        <v>25880060</v>
      </c>
      <c r="N405" s="48" t="s">
        <v>301</v>
      </c>
      <c r="O405" s="49">
        <v>45989</v>
      </c>
      <c r="P405" s="50">
        <v>1.1000000000000001</v>
      </c>
      <c r="Q405" s="49">
        <v>46101</v>
      </c>
      <c r="R405" s="47"/>
      <c r="S405" s="51">
        <v>46033</v>
      </c>
      <c r="T405" s="47">
        <v>1</v>
      </c>
      <c r="U405" s="47">
        <v>1</v>
      </c>
      <c r="V405" s="47"/>
      <c r="W405" s="51">
        <f t="shared" si="49"/>
        <v>46035</v>
      </c>
      <c r="X405" s="60"/>
    </row>
    <row r="406" spans="1:24" hidden="1">
      <c r="A406" s="46" t="s">
        <v>353</v>
      </c>
      <c r="B406" s="46" t="s">
        <v>455</v>
      </c>
      <c r="C406" s="47" t="s">
        <v>283</v>
      </c>
      <c r="D406" s="47" t="s">
        <v>283</v>
      </c>
      <c r="E406" s="47">
        <v>50096986</v>
      </c>
      <c r="F406" s="47" t="s">
        <v>287</v>
      </c>
      <c r="G406" s="46">
        <v>767000</v>
      </c>
      <c r="H406" s="47">
        <v>3.2172000000000001</v>
      </c>
      <c r="I406" s="46">
        <f t="shared" si="48"/>
        <v>2467592.4</v>
      </c>
      <c r="J406" s="46" t="s">
        <v>374</v>
      </c>
      <c r="K406" s="46"/>
      <c r="L406" s="46" t="s">
        <v>482</v>
      </c>
      <c r="M406" s="47">
        <v>25880060</v>
      </c>
      <c r="N406" s="48" t="s">
        <v>301</v>
      </c>
      <c r="O406" s="49">
        <v>45989</v>
      </c>
      <c r="P406" s="50">
        <v>1.1000000000000001</v>
      </c>
      <c r="Q406" s="49">
        <v>46101</v>
      </c>
      <c r="R406" s="47"/>
      <c r="S406" s="51">
        <v>46041</v>
      </c>
      <c r="T406" s="47">
        <v>1</v>
      </c>
      <c r="U406" s="47">
        <v>1</v>
      </c>
      <c r="V406" s="47"/>
      <c r="W406" s="51">
        <f t="shared" si="49"/>
        <v>46043</v>
      </c>
      <c r="X406" s="60"/>
    </row>
    <row r="407" spans="1:24" hidden="1">
      <c r="A407" s="46" t="s">
        <v>353</v>
      </c>
      <c r="B407" s="46" t="s">
        <v>455</v>
      </c>
      <c r="C407" s="47" t="s">
        <v>283</v>
      </c>
      <c r="D407" s="47" t="s">
        <v>283</v>
      </c>
      <c r="E407" s="47">
        <v>50096986</v>
      </c>
      <c r="F407" s="47" t="s">
        <v>287</v>
      </c>
      <c r="G407" s="46">
        <v>767000</v>
      </c>
      <c r="H407" s="47">
        <v>3.2172000000000001</v>
      </c>
      <c r="I407" s="46">
        <f t="shared" si="48"/>
        <v>2467592.4</v>
      </c>
      <c r="J407" s="46" t="s">
        <v>374</v>
      </c>
      <c r="K407" s="46"/>
      <c r="L407" s="46"/>
      <c r="M407" s="47">
        <v>25880060</v>
      </c>
      <c r="N407" s="48" t="s">
        <v>301</v>
      </c>
      <c r="O407" s="49">
        <v>45989</v>
      </c>
      <c r="P407" s="50">
        <v>1.1000000000000001</v>
      </c>
      <c r="Q407" s="49">
        <v>46101</v>
      </c>
      <c r="R407" s="47"/>
      <c r="S407" s="51">
        <v>46047</v>
      </c>
      <c r="T407" s="47">
        <v>1</v>
      </c>
      <c r="U407" s="47">
        <v>1</v>
      </c>
      <c r="V407" s="47"/>
      <c r="W407" s="51">
        <f t="shared" si="49"/>
        <v>46049</v>
      </c>
      <c r="X407" s="60"/>
    </row>
    <row r="408" spans="1:24" hidden="1">
      <c r="A408" s="46" t="s">
        <v>353</v>
      </c>
      <c r="B408" s="46" t="s">
        <v>455</v>
      </c>
      <c r="C408" s="47" t="s">
        <v>283</v>
      </c>
      <c r="D408" s="47" t="s">
        <v>283</v>
      </c>
      <c r="E408" s="47">
        <v>50096986</v>
      </c>
      <c r="F408" s="47" t="s">
        <v>287</v>
      </c>
      <c r="G408" s="46">
        <v>500000</v>
      </c>
      <c r="H408" s="47">
        <v>3.2172000000000001</v>
      </c>
      <c r="I408" s="46">
        <f t="shared" si="48"/>
        <v>1608600</v>
      </c>
      <c r="J408" s="46" t="s">
        <v>374</v>
      </c>
      <c r="K408" s="46"/>
      <c r="L408" s="46"/>
      <c r="M408" s="47">
        <v>25880060</v>
      </c>
      <c r="N408" s="48" t="s">
        <v>301</v>
      </c>
      <c r="O408" s="49">
        <v>45989</v>
      </c>
      <c r="P408" s="50">
        <v>1.1000000000000001</v>
      </c>
      <c r="Q408" s="49">
        <v>46101</v>
      </c>
      <c r="R408" s="47"/>
      <c r="S408" s="51">
        <v>46052</v>
      </c>
      <c r="T408" s="47"/>
      <c r="U408" s="47"/>
      <c r="V408" s="47"/>
      <c r="W408" s="51">
        <f t="shared" si="49"/>
        <v>46052</v>
      </c>
      <c r="X408" s="60"/>
    </row>
    <row r="409" spans="1:24" hidden="1">
      <c r="A409" s="46" t="s">
        <v>346</v>
      </c>
      <c r="B409" s="46" t="s">
        <v>457</v>
      </c>
      <c r="C409" s="47" t="s">
        <v>295</v>
      </c>
      <c r="D409" s="47" t="s">
        <v>295</v>
      </c>
      <c r="E409" s="47">
        <v>50113649</v>
      </c>
      <c r="F409" s="47" t="s">
        <v>56</v>
      </c>
      <c r="G409" s="46">
        <v>144000</v>
      </c>
      <c r="H409" s="47">
        <v>2.9159000000000002</v>
      </c>
      <c r="I409" s="46">
        <f t="shared" si="48"/>
        <v>419889.60000000003</v>
      </c>
      <c r="J409" s="46" t="s">
        <v>374</v>
      </c>
      <c r="K409" s="46"/>
      <c r="L409" s="46"/>
      <c r="M409" s="47">
        <v>25880061</v>
      </c>
      <c r="N409" s="48">
        <v>201</v>
      </c>
      <c r="O409" s="49">
        <v>45990</v>
      </c>
      <c r="P409" s="50">
        <v>1</v>
      </c>
      <c r="Q409" s="49">
        <v>46006</v>
      </c>
      <c r="R409" s="47" t="s">
        <v>463</v>
      </c>
      <c r="S409" s="51">
        <v>46042</v>
      </c>
      <c r="T409" s="47">
        <v>1</v>
      </c>
      <c r="U409" s="47">
        <v>1</v>
      </c>
      <c r="V409" s="47">
        <v>3</v>
      </c>
      <c r="W409" s="52">
        <f t="shared" si="49"/>
        <v>46047</v>
      </c>
      <c r="X409" s="59"/>
    </row>
    <row r="410" spans="1:24" hidden="1">
      <c r="A410" s="46" t="s">
        <v>346</v>
      </c>
      <c r="B410" s="46" t="s">
        <v>457</v>
      </c>
      <c r="C410" s="47" t="s">
        <v>295</v>
      </c>
      <c r="D410" s="47" t="s">
        <v>295</v>
      </c>
      <c r="E410" s="47">
        <v>50106301</v>
      </c>
      <c r="F410" s="47" t="s">
        <v>302</v>
      </c>
      <c r="G410" s="46">
        <v>144000</v>
      </c>
      <c r="H410" s="47">
        <v>4.5644</v>
      </c>
      <c r="I410" s="46">
        <f t="shared" si="48"/>
        <v>657273.59999999998</v>
      </c>
      <c r="J410" s="46" t="s">
        <v>374</v>
      </c>
      <c r="K410" s="46"/>
      <c r="L410" s="46"/>
      <c r="M410" s="47">
        <v>25880061</v>
      </c>
      <c r="N410" s="48">
        <v>201</v>
      </c>
      <c r="O410" s="49">
        <v>45990</v>
      </c>
      <c r="P410" s="50">
        <v>2</v>
      </c>
      <c r="Q410" s="49">
        <v>46006</v>
      </c>
      <c r="R410" s="47" t="s">
        <v>462</v>
      </c>
      <c r="S410" s="51">
        <v>46042</v>
      </c>
      <c r="T410" s="47">
        <v>1</v>
      </c>
      <c r="U410" s="47">
        <v>1</v>
      </c>
      <c r="V410" s="47">
        <v>3</v>
      </c>
      <c r="W410" s="52">
        <f t="shared" si="49"/>
        <v>46047</v>
      </c>
      <c r="X410" s="59"/>
    </row>
    <row r="411" spans="1:24" hidden="1">
      <c r="A411" s="46" t="s">
        <v>347</v>
      </c>
      <c r="B411" s="46" t="s">
        <v>457</v>
      </c>
      <c r="C411" s="47" t="s">
        <v>89</v>
      </c>
      <c r="D411" s="47" t="s">
        <v>90</v>
      </c>
      <c r="E411" s="47">
        <v>50113461</v>
      </c>
      <c r="F411" s="47" t="s">
        <v>91</v>
      </c>
      <c r="G411" s="46">
        <v>108400</v>
      </c>
      <c r="H411" s="47">
        <v>2.15</v>
      </c>
      <c r="I411" s="46">
        <f t="shared" si="48"/>
        <v>233060</v>
      </c>
      <c r="J411" s="46" t="s">
        <v>374</v>
      </c>
      <c r="K411" s="46"/>
      <c r="L411" s="46" t="s">
        <v>482</v>
      </c>
      <c r="M411" s="47">
        <v>25500966</v>
      </c>
      <c r="N411" s="48">
        <v>4500025793</v>
      </c>
      <c r="O411" s="49">
        <v>45912</v>
      </c>
      <c r="P411" s="50">
        <v>2</v>
      </c>
      <c r="Q411" s="49">
        <v>46022</v>
      </c>
      <c r="R411" s="47"/>
      <c r="S411" s="52">
        <v>46041</v>
      </c>
      <c r="T411" s="47">
        <v>1</v>
      </c>
      <c r="U411" s="47">
        <v>1</v>
      </c>
      <c r="V411" s="47"/>
      <c r="W411" s="52">
        <f>S411+T411+U411</f>
        <v>46043</v>
      </c>
      <c r="X411" s="59"/>
    </row>
    <row r="412" spans="1:24" hidden="1">
      <c r="A412" s="46" t="s">
        <v>349</v>
      </c>
      <c r="B412" s="46" t="s">
        <v>456</v>
      </c>
      <c r="C412" s="47" t="s">
        <v>306</v>
      </c>
      <c r="D412" s="47" t="s">
        <v>306</v>
      </c>
      <c r="E412" s="47">
        <v>50114367</v>
      </c>
      <c r="F412" s="47" t="s">
        <v>82</v>
      </c>
      <c r="G412" s="46">
        <v>500000</v>
      </c>
      <c r="H412" s="47">
        <v>2.7791000000000001</v>
      </c>
      <c r="I412" s="46">
        <f t="shared" si="48"/>
        <v>1389550</v>
      </c>
      <c r="J412" s="46" t="s">
        <v>374</v>
      </c>
      <c r="K412" s="46"/>
      <c r="L412" s="46" t="s">
        <v>482</v>
      </c>
      <c r="M412" s="47">
        <v>25880064</v>
      </c>
      <c r="N412" s="48" t="s">
        <v>305</v>
      </c>
      <c r="O412" s="49">
        <v>46000</v>
      </c>
      <c r="P412" s="50">
        <v>1</v>
      </c>
      <c r="Q412" s="49">
        <v>46022</v>
      </c>
      <c r="R412" s="47" t="s">
        <v>462</v>
      </c>
      <c r="S412" s="52">
        <v>46021</v>
      </c>
      <c r="T412" s="47">
        <v>1</v>
      </c>
      <c r="U412" s="47">
        <v>1</v>
      </c>
      <c r="V412" s="47">
        <v>3</v>
      </c>
      <c r="W412" s="51">
        <f t="shared" ref="W412:W418" si="50">S412+T412+U412+V412</f>
        <v>46026</v>
      </c>
      <c r="X412" s="60"/>
    </row>
    <row r="413" spans="1:24" hidden="1">
      <c r="A413" s="46" t="s">
        <v>349</v>
      </c>
      <c r="B413" s="46" t="s">
        <v>456</v>
      </c>
      <c r="C413" s="47" t="s">
        <v>306</v>
      </c>
      <c r="D413" s="47" t="s">
        <v>306</v>
      </c>
      <c r="E413" s="47">
        <v>50081723</v>
      </c>
      <c r="F413" s="47" t="s">
        <v>55</v>
      </c>
      <c r="G413" s="46">
        <v>500000</v>
      </c>
      <c r="H413" s="47">
        <v>1.9749000000000001</v>
      </c>
      <c r="I413" s="46">
        <f t="shared" si="48"/>
        <v>987450</v>
      </c>
      <c r="J413" s="46" t="s">
        <v>374</v>
      </c>
      <c r="K413" s="46"/>
      <c r="L413" s="46" t="s">
        <v>482</v>
      </c>
      <c r="M413" s="47">
        <v>25880064</v>
      </c>
      <c r="N413" s="48" t="s">
        <v>305</v>
      </c>
      <c r="O413" s="49">
        <v>46000</v>
      </c>
      <c r="P413" s="50">
        <v>2</v>
      </c>
      <c r="Q413" s="49">
        <v>46022</v>
      </c>
      <c r="R413" s="47" t="s">
        <v>463</v>
      </c>
      <c r="S413" s="52">
        <v>46021</v>
      </c>
      <c r="T413" s="47">
        <v>1</v>
      </c>
      <c r="U413" s="47">
        <v>1</v>
      </c>
      <c r="V413" s="47">
        <v>3</v>
      </c>
      <c r="W413" s="51">
        <f t="shared" si="50"/>
        <v>46026</v>
      </c>
      <c r="X413" s="60"/>
    </row>
    <row r="414" spans="1:24" hidden="1">
      <c r="A414" s="46" t="s">
        <v>349</v>
      </c>
      <c r="B414" s="46" t="s">
        <v>456</v>
      </c>
      <c r="C414" s="47" t="s">
        <v>306</v>
      </c>
      <c r="D414" s="47" t="s">
        <v>306</v>
      </c>
      <c r="E414" s="47">
        <v>50113649</v>
      </c>
      <c r="F414" s="47" t="s">
        <v>56</v>
      </c>
      <c r="G414" s="46">
        <v>500000</v>
      </c>
      <c r="H414" s="47">
        <v>0.92930000000000001</v>
      </c>
      <c r="I414" s="46">
        <f t="shared" si="48"/>
        <v>464650</v>
      </c>
      <c r="J414" s="46" t="s">
        <v>374</v>
      </c>
      <c r="K414" s="46"/>
      <c r="L414" s="46" t="s">
        <v>482</v>
      </c>
      <c r="M414" s="47">
        <v>25880064</v>
      </c>
      <c r="N414" s="48" t="s">
        <v>305</v>
      </c>
      <c r="O414" s="49">
        <v>46000</v>
      </c>
      <c r="P414" s="50">
        <v>3</v>
      </c>
      <c r="Q414" s="49">
        <v>46022</v>
      </c>
      <c r="R414" s="47" t="s">
        <v>463</v>
      </c>
      <c r="S414" s="52">
        <v>46021</v>
      </c>
      <c r="T414" s="47">
        <v>1</v>
      </c>
      <c r="U414" s="47">
        <v>1</v>
      </c>
      <c r="V414" s="47">
        <v>3</v>
      </c>
      <c r="W414" s="51">
        <f t="shared" si="50"/>
        <v>46026</v>
      </c>
      <c r="X414" s="60"/>
    </row>
    <row r="415" spans="1:24" hidden="1">
      <c r="A415" s="46" t="s">
        <v>346</v>
      </c>
      <c r="B415" s="46" t="s">
        <v>457</v>
      </c>
      <c r="C415" s="47" t="s">
        <v>291</v>
      </c>
      <c r="D415" s="47" t="s">
        <v>291</v>
      </c>
      <c r="E415" s="47">
        <v>50113739</v>
      </c>
      <c r="F415" s="47" t="s">
        <v>162</v>
      </c>
      <c r="G415" s="46">
        <v>160000</v>
      </c>
      <c r="H415" s="47">
        <v>2.4127000000000001</v>
      </c>
      <c r="I415" s="46">
        <f t="shared" si="48"/>
        <v>386032</v>
      </c>
      <c r="J415" s="46" t="s">
        <v>374</v>
      </c>
      <c r="K415" s="46"/>
      <c r="L415" s="46"/>
      <c r="M415" s="47">
        <v>25880068</v>
      </c>
      <c r="N415" s="48" t="s">
        <v>307</v>
      </c>
      <c r="O415" s="49">
        <v>46011</v>
      </c>
      <c r="P415" s="50">
        <v>1</v>
      </c>
      <c r="Q415" s="49">
        <v>46022</v>
      </c>
      <c r="R415" s="47" t="s">
        <v>463</v>
      </c>
      <c r="S415" s="51">
        <v>46030</v>
      </c>
      <c r="T415" s="47">
        <v>1</v>
      </c>
      <c r="U415" s="47">
        <v>1</v>
      </c>
      <c r="V415" s="47">
        <v>3</v>
      </c>
      <c r="W415" s="52">
        <f t="shared" si="50"/>
        <v>46035</v>
      </c>
      <c r="X415" s="59"/>
    </row>
    <row r="416" spans="1:24" hidden="1">
      <c r="A416" s="46" t="s">
        <v>346</v>
      </c>
      <c r="B416" s="46" t="s">
        <v>457</v>
      </c>
      <c r="C416" s="47" t="s">
        <v>291</v>
      </c>
      <c r="D416" s="47" t="s">
        <v>291</v>
      </c>
      <c r="E416" s="47">
        <v>50114342</v>
      </c>
      <c r="F416" s="47" t="s">
        <v>32</v>
      </c>
      <c r="G416" s="46">
        <v>280000</v>
      </c>
      <c r="H416" s="47">
        <v>2.3233999999999999</v>
      </c>
      <c r="I416" s="46">
        <f t="shared" si="48"/>
        <v>650552</v>
      </c>
      <c r="J416" s="46" t="s">
        <v>374</v>
      </c>
      <c r="K416" s="46"/>
      <c r="L416" s="46"/>
      <c r="M416" s="47">
        <v>25880068</v>
      </c>
      <c r="N416" s="48" t="s">
        <v>307</v>
      </c>
      <c r="O416" s="49">
        <v>46011</v>
      </c>
      <c r="P416" s="50">
        <v>2</v>
      </c>
      <c r="Q416" s="49">
        <v>46022</v>
      </c>
      <c r="R416" s="47" t="s">
        <v>463</v>
      </c>
      <c r="S416" s="51">
        <v>46030</v>
      </c>
      <c r="T416" s="47">
        <v>1</v>
      </c>
      <c r="U416" s="47">
        <v>1</v>
      </c>
      <c r="V416" s="47">
        <v>3</v>
      </c>
      <c r="W416" s="52">
        <f t="shared" si="50"/>
        <v>46035</v>
      </c>
      <c r="X416" s="59"/>
    </row>
    <row r="417" spans="1:24" hidden="1">
      <c r="A417" s="46" t="s">
        <v>346</v>
      </c>
      <c r="B417" s="46" t="s">
        <v>457</v>
      </c>
      <c r="C417" s="47" t="s">
        <v>291</v>
      </c>
      <c r="D417" s="47" t="s">
        <v>291</v>
      </c>
      <c r="E417" s="47">
        <v>50114359</v>
      </c>
      <c r="F417" s="47" t="s">
        <v>21</v>
      </c>
      <c r="G417" s="46">
        <v>160000</v>
      </c>
      <c r="H417" s="47">
        <v>2.8595000000000002</v>
      </c>
      <c r="I417" s="46">
        <f t="shared" si="48"/>
        <v>457520</v>
      </c>
      <c r="J417" s="46" t="s">
        <v>374</v>
      </c>
      <c r="K417" s="46"/>
      <c r="L417" s="46"/>
      <c r="M417" s="47">
        <v>25880068</v>
      </c>
      <c r="N417" s="48" t="s">
        <v>307</v>
      </c>
      <c r="O417" s="49">
        <v>46011</v>
      </c>
      <c r="P417" s="50">
        <v>3</v>
      </c>
      <c r="Q417" s="49">
        <v>46022</v>
      </c>
      <c r="R417" s="47" t="s">
        <v>463</v>
      </c>
      <c r="S417" s="51">
        <v>46030</v>
      </c>
      <c r="T417" s="47">
        <v>1</v>
      </c>
      <c r="U417" s="47">
        <v>1</v>
      </c>
      <c r="V417" s="47">
        <v>3</v>
      </c>
      <c r="W417" s="52">
        <f t="shared" si="50"/>
        <v>46035</v>
      </c>
      <c r="X417" s="59"/>
    </row>
    <row r="418" spans="1:24" hidden="1">
      <c r="A418" s="46" t="s">
        <v>346</v>
      </c>
      <c r="B418" s="46" t="s">
        <v>457</v>
      </c>
      <c r="C418" s="47" t="s">
        <v>291</v>
      </c>
      <c r="D418" s="47" t="s">
        <v>291</v>
      </c>
      <c r="E418" s="47">
        <v>50091673</v>
      </c>
      <c r="F418" s="47" t="s">
        <v>2</v>
      </c>
      <c r="G418" s="46">
        <v>130000</v>
      </c>
      <c r="H418" s="47">
        <v>3.3957000000000002</v>
      </c>
      <c r="I418" s="46">
        <f t="shared" si="48"/>
        <v>441441</v>
      </c>
      <c r="J418" s="46" t="s">
        <v>374</v>
      </c>
      <c r="K418" s="46"/>
      <c r="L418" s="46"/>
      <c r="M418" s="47">
        <v>25880068</v>
      </c>
      <c r="N418" s="48" t="s">
        <v>307</v>
      </c>
      <c r="O418" s="49">
        <v>46011</v>
      </c>
      <c r="P418" s="50">
        <v>4</v>
      </c>
      <c r="Q418" s="49">
        <v>46022</v>
      </c>
      <c r="R418" s="47" t="s">
        <v>462</v>
      </c>
      <c r="S418" s="51">
        <v>46030</v>
      </c>
      <c r="T418" s="47">
        <v>1</v>
      </c>
      <c r="U418" s="47">
        <v>1</v>
      </c>
      <c r="V418" s="47">
        <v>3</v>
      </c>
      <c r="W418" s="52">
        <f t="shared" si="50"/>
        <v>46035</v>
      </c>
      <c r="X418" s="59"/>
    </row>
    <row r="419" spans="1:24" hidden="1">
      <c r="A419" s="46" t="s">
        <v>355</v>
      </c>
      <c r="B419" s="46" t="s">
        <v>458</v>
      </c>
      <c r="C419" s="47" t="s">
        <v>413</v>
      </c>
      <c r="D419" s="47" t="s">
        <v>413</v>
      </c>
      <c r="E419" s="47">
        <v>50115692</v>
      </c>
      <c r="F419" s="47" t="s">
        <v>312</v>
      </c>
      <c r="G419" s="46">
        <v>1000000</v>
      </c>
      <c r="H419" s="47">
        <v>0.36699999999999999</v>
      </c>
      <c r="I419" s="46">
        <f t="shared" si="48"/>
        <v>367000</v>
      </c>
      <c r="J419" s="46" t="s">
        <v>420</v>
      </c>
      <c r="K419" s="46"/>
      <c r="L419" s="46"/>
      <c r="M419" s="47"/>
      <c r="N419" s="48"/>
      <c r="O419" s="49"/>
      <c r="P419" s="50"/>
      <c r="Q419" s="49"/>
      <c r="R419" s="47"/>
      <c r="S419" s="47"/>
      <c r="T419" s="47"/>
      <c r="U419" s="47"/>
      <c r="V419" s="47"/>
      <c r="W419" s="47"/>
    </row>
    <row r="420" spans="1:24" hidden="1">
      <c r="A420" s="46" t="s">
        <v>356</v>
      </c>
      <c r="B420" s="46" t="s">
        <v>458</v>
      </c>
      <c r="C420" s="47" t="s">
        <v>314</v>
      </c>
      <c r="D420" s="47" t="s">
        <v>314</v>
      </c>
      <c r="E420" s="47">
        <v>50115558</v>
      </c>
      <c r="F420" s="47" t="s">
        <v>315</v>
      </c>
      <c r="G420" s="46">
        <v>1000000</v>
      </c>
      <c r="H420" s="47">
        <v>0.61</v>
      </c>
      <c r="I420" s="46">
        <f t="shared" si="48"/>
        <v>610000</v>
      </c>
      <c r="J420" s="46" t="s">
        <v>375</v>
      </c>
      <c r="K420" s="46"/>
      <c r="L420" s="46"/>
      <c r="M420" s="47">
        <v>25500009</v>
      </c>
      <c r="N420" s="48">
        <v>6200092032</v>
      </c>
      <c r="O420" s="49">
        <v>45755</v>
      </c>
      <c r="P420" s="50">
        <v>1.8</v>
      </c>
      <c r="Q420" s="49">
        <v>45961</v>
      </c>
      <c r="R420" s="47"/>
      <c r="S420" s="51">
        <v>46024</v>
      </c>
      <c r="T420" s="47"/>
      <c r="U420" s="47"/>
      <c r="V420" s="47"/>
      <c r="W420" s="47"/>
    </row>
    <row r="421" spans="1:24" hidden="1">
      <c r="A421" s="46" t="s">
        <v>351</v>
      </c>
      <c r="B421" s="46" t="s">
        <v>457</v>
      </c>
      <c r="C421" s="47" t="s">
        <v>49</v>
      </c>
      <c r="D421" s="47" t="s">
        <v>49</v>
      </c>
      <c r="E421" s="47">
        <v>50083266</v>
      </c>
      <c r="F421" s="47" t="s">
        <v>73</v>
      </c>
      <c r="G421" s="46">
        <v>499820</v>
      </c>
      <c r="H421" s="47">
        <v>1.74</v>
      </c>
      <c r="I421" s="46">
        <f t="shared" si="48"/>
        <v>869686.8</v>
      </c>
      <c r="J421" s="46" t="s">
        <v>375</v>
      </c>
      <c r="K421" s="46"/>
      <c r="L421" s="46"/>
      <c r="M421" s="47">
        <v>25500095</v>
      </c>
      <c r="N421" s="48" t="s">
        <v>318</v>
      </c>
      <c r="O421" s="49">
        <v>45867</v>
      </c>
      <c r="P421" s="50">
        <v>1.2</v>
      </c>
      <c r="Q421" s="49">
        <v>45961</v>
      </c>
      <c r="R421" s="47" t="s">
        <v>462</v>
      </c>
      <c r="S421" s="51">
        <v>46039</v>
      </c>
      <c r="T421" s="47">
        <v>1</v>
      </c>
      <c r="U421" s="47">
        <v>1</v>
      </c>
      <c r="V421" s="47">
        <v>3</v>
      </c>
      <c r="W421" s="51">
        <f>S421+T421+U421+V421</f>
        <v>46044</v>
      </c>
      <c r="X421" s="60"/>
    </row>
    <row r="422" spans="1:24" hidden="1">
      <c r="A422" s="46" t="s">
        <v>352</v>
      </c>
      <c r="B422" s="46" t="s">
        <v>457</v>
      </c>
      <c r="C422" s="47" t="s">
        <v>313</v>
      </c>
      <c r="D422" s="47" t="s">
        <v>313</v>
      </c>
      <c r="E422" s="47">
        <v>50102431</v>
      </c>
      <c r="F422" s="47" t="s">
        <v>310</v>
      </c>
      <c r="G422" s="46">
        <v>13288</v>
      </c>
      <c r="H422" s="47">
        <v>2.37</v>
      </c>
      <c r="I422" s="46">
        <f t="shared" si="48"/>
        <v>31492.560000000001</v>
      </c>
      <c r="J422" s="46" t="s">
        <v>375</v>
      </c>
      <c r="K422" s="46"/>
      <c r="L422" s="46"/>
      <c r="M422" s="47">
        <v>25500101</v>
      </c>
      <c r="N422" s="48">
        <v>2500235387</v>
      </c>
      <c r="O422" s="49">
        <v>45869</v>
      </c>
      <c r="P422" s="50">
        <v>1</v>
      </c>
      <c r="Q422" s="49">
        <v>45961</v>
      </c>
      <c r="R422" s="47" t="s">
        <v>463</v>
      </c>
      <c r="S422" s="51">
        <v>46028</v>
      </c>
      <c r="T422" s="47">
        <v>1</v>
      </c>
      <c r="U422" s="47">
        <v>1</v>
      </c>
      <c r="V422" s="47"/>
      <c r="W422" s="51">
        <f>S422+T422+U422</f>
        <v>46030</v>
      </c>
      <c r="X422" s="60"/>
    </row>
    <row r="423" spans="1:24" hidden="1">
      <c r="A423" s="46" t="s">
        <v>352</v>
      </c>
      <c r="B423" s="46" t="s">
        <v>457</v>
      </c>
      <c r="C423" s="47" t="s">
        <v>313</v>
      </c>
      <c r="D423" s="47" t="s">
        <v>313</v>
      </c>
      <c r="E423" s="47">
        <v>50102428</v>
      </c>
      <c r="F423" s="47" t="s">
        <v>319</v>
      </c>
      <c r="G423" s="46">
        <v>13288</v>
      </c>
      <c r="H423" s="47">
        <v>0.19</v>
      </c>
      <c r="I423" s="46">
        <f t="shared" si="48"/>
        <v>2524.7200000000003</v>
      </c>
      <c r="J423" s="46" t="s">
        <v>375</v>
      </c>
      <c r="K423" s="46"/>
      <c r="L423" s="46"/>
      <c r="M423" s="47">
        <v>25500101</v>
      </c>
      <c r="N423" s="48">
        <v>2500235387</v>
      </c>
      <c r="O423" s="49">
        <v>45869</v>
      </c>
      <c r="P423" s="50">
        <v>2</v>
      </c>
      <c r="Q423" s="49">
        <v>45961</v>
      </c>
      <c r="R423" s="47" t="s">
        <v>463</v>
      </c>
      <c r="S423" s="51">
        <v>46028</v>
      </c>
      <c r="T423" s="47">
        <v>1</v>
      </c>
      <c r="U423" s="47">
        <v>1</v>
      </c>
      <c r="V423" s="47"/>
      <c r="W423" s="51">
        <f>S423+T423+U423</f>
        <v>46030</v>
      </c>
      <c r="X423" s="60"/>
    </row>
    <row r="424" spans="1:24" hidden="1">
      <c r="A424" s="46" t="s">
        <v>352</v>
      </c>
      <c r="B424" s="46" t="s">
        <v>457</v>
      </c>
      <c r="C424" s="47" t="s">
        <v>313</v>
      </c>
      <c r="D424" s="47" t="s">
        <v>313</v>
      </c>
      <c r="E424" s="47">
        <v>50081680</v>
      </c>
      <c r="F424" s="47" t="s">
        <v>254</v>
      </c>
      <c r="G424" s="46">
        <v>13288</v>
      </c>
      <c r="H424" s="47">
        <v>0.32</v>
      </c>
      <c r="I424" s="46">
        <f t="shared" si="48"/>
        <v>4252.16</v>
      </c>
      <c r="J424" s="46" t="s">
        <v>375</v>
      </c>
      <c r="K424" s="46"/>
      <c r="L424" s="46"/>
      <c r="M424" s="47">
        <v>25500101</v>
      </c>
      <c r="N424" s="48">
        <v>2500235387</v>
      </c>
      <c r="O424" s="49">
        <v>45869</v>
      </c>
      <c r="P424" s="50">
        <v>3</v>
      </c>
      <c r="Q424" s="49">
        <v>45961</v>
      </c>
      <c r="R424" s="47" t="s">
        <v>463</v>
      </c>
      <c r="S424" s="51">
        <v>46028</v>
      </c>
      <c r="T424" s="47">
        <v>1</v>
      </c>
      <c r="U424" s="47">
        <v>1</v>
      </c>
      <c r="V424" s="47"/>
      <c r="W424" s="51">
        <f>S424+T424+U424</f>
        <v>46030</v>
      </c>
      <c r="X424" s="60"/>
    </row>
    <row r="425" spans="1:24" hidden="1">
      <c r="A425" s="46" t="s">
        <v>351</v>
      </c>
      <c r="B425" s="46" t="s">
        <v>457</v>
      </c>
      <c r="C425" s="47" t="s">
        <v>77</v>
      </c>
      <c r="D425" s="47" t="s">
        <v>77</v>
      </c>
      <c r="E425" s="47">
        <v>50083265</v>
      </c>
      <c r="F425" s="47" t="s">
        <v>320</v>
      </c>
      <c r="G425" s="46">
        <v>134637</v>
      </c>
      <c r="H425" s="47">
        <v>1.7</v>
      </c>
      <c r="I425" s="46">
        <f t="shared" si="48"/>
        <v>228882.9</v>
      </c>
      <c r="J425" s="46" t="s">
        <v>375</v>
      </c>
      <c r="K425" s="46"/>
      <c r="L425" s="46"/>
      <c r="M425" s="47">
        <v>25500111</v>
      </c>
      <c r="N425" s="48">
        <v>4100126959</v>
      </c>
      <c r="O425" s="49">
        <v>45877</v>
      </c>
      <c r="P425" s="50">
        <v>2.1</v>
      </c>
      <c r="Q425" s="49">
        <v>45961</v>
      </c>
      <c r="R425" s="47" t="s">
        <v>462</v>
      </c>
      <c r="S425" s="51">
        <v>46042</v>
      </c>
      <c r="T425" s="47">
        <v>1</v>
      </c>
      <c r="U425" s="47">
        <v>1</v>
      </c>
      <c r="V425" s="47">
        <v>3</v>
      </c>
      <c r="W425" s="51">
        <f t="shared" ref="W425:W445" si="51">S425+T425+U425+V425</f>
        <v>46047</v>
      </c>
      <c r="X425" s="60"/>
    </row>
    <row r="426" spans="1:24" hidden="1">
      <c r="A426" s="46" t="s">
        <v>351</v>
      </c>
      <c r="B426" s="46" t="s">
        <v>457</v>
      </c>
      <c r="C426" s="47" t="s">
        <v>313</v>
      </c>
      <c r="D426" s="47" t="s">
        <v>313</v>
      </c>
      <c r="E426" s="47">
        <v>50081902</v>
      </c>
      <c r="F426" s="47" t="s">
        <v>219</v>
      </c>
      <c r="G426" s="46">
        <v>10000</v>
      </c>
      <c r="H426" s="47">
        <v>0.32</v>
      </c>
      <c r="I426" s="46">
        <f t="shared" si="48"/>
        <v>3200</v>
      </c>
      <c r="J426" s="46" t="s">
        <v>375</v>
      </c>
      <c r="K426" s="46"/>
      <c r="L426" s="46"/>
      <c r="M426" s="47">
        <v>25500120</v>
      </c>
      <c r="N426" s="48">
        <v>2500236720</v>
      </c>
      <c r="O426" s="49">
        <v>45887</v>
      </c>
      <c r="P426" s="50">
        <v>1</v>
      </c>
      <c r="Q426" s="49">
        <v>45937</v>
      </c>
      <c r="R426" s="47"/>
      <c r="S426" s="51">
        <v>46041</v>
      </c>
      <c r="T426" s="47">
        <v>1</v>
      </c>
      <c r="U426" s="47">
        <v>1</v>
      </c>
      <c r="V426" s="47">
        <v>3</v>
      </c>
      <c r="W426" s="51">
        <f t="shared" si="51"/>
        <v>46046</v>
      </c>
      <c r="X426" s="60"/>
    </row>
    <row r="427" spans="1:24" hidden="1">
      <c r="A427" s="46" t="s">
        <v>351</v>
      </c>
      <c r="B427" s="46" t="s">
        <v>457</v>
      </c>
      <c r="C427" s="47" t="s">
        <v>325</v>
      </c>
      <c r="D427" s="47" t="s">
        <v>325</v>
      </c>
      <c r="E427" s="47">
        <v>50082167</v>
      </c>
      <c r="F427" s="47" t="s">
        <v>116</v>
      </c>
      <c r="G427" s="46">
        <v>81800</v>
      </c>
      <c r="H427" s="47">
        <v>2.0299999999999998</v>
      </c>
      <c r="I427" s="46">
        <f t="shared" si="48"/>
        <v>166053.99999999997</v>
      </c>
      <c r="J427" s="46" t="s">
        <v>375</v>
      </c>
      <c r="K427" s="46"/>
      <c r="L427" s="46"/>
      <c r="M427" s="47">
        <v>25500187</v>
      </c>
      <c r="N427" s="48" t="s">
        <v>326</v>
      </c>
      <c r="O427" s="49">
        <v>45980</v>
      </c>
      <c r="P427" s="50">
        <v>1</v>
      </c>
      <c r="Q427" s="49">
        <v>46009</v>
      </c>
      <c r="R427" s="47" t="s">
        <v>462</v>
      </c>
      <c r="S427" s="51">
        <v>46027</v>
      </c>
      <c r="T427" s="47">
        <v>1</v>
      </c>
      <c r="U427" s="47">
        <v>1</v>
      </c>
      <c r="V427" s="47">
        <v>3</v>
      </c>
      <c r="W427" s="51">
        <f t="shared" si="51"/>
        <v>46032</v>
      </c>
      <c r="X427" s="60"/>
    </row>
    <row r="428" spans="1:24" hidden="1">
      <c r="A428" s="46" t="s">
        <v>351</v>
      </c>
      <c r="B428" s="46" t="s">
        <v>457</v>
      </c>
      <c r="C428" s="47" t="s">
        <v>325</v>
      </c>
      <c r="D428" s="47" t="s">
        <v>325</v>
      </c>
      <c r="E428" s="47">
        <v>50099122</v>
      </c>
      <c r="F428" s="47" t="s">
        <v>281</v>
      </c>
      <c r="G428" s="46">
        <v>81800</v>
      </c>
      <c r="H428" s="47">
        <v>0.28000000000000003</v>
      </c>
      <c r="I428" s="46">
        <f t="shared" si="48"/>
        <v>22904.000000000004</v>
      </c>
      <c r="J428" s="46" t="s">
        <v>374</v>
      </c>
      <c r="K428" s="46"/>
      <c r="L428" s="46"/>
      <c r="M428" s="47">
        <v>25500187</v>
      </c>
      <c r="N428" s="48" t="s">
        <v>326</v>
      </c>
      <c r="O428" s="49">
        <v>45980</v>
      </c>
      <c r="P428" s="50">
        <v>3</v>
      </c>
      <c r="Q428" s="49">
        <v>46009</v>
      </c>
      <c r="R428" s="47" t="s">
        <v>462</v>
      </c>
      <c r="S428" s="51">
        <v>46027</v>
      </c>
      <c r="T428" s="47">
        <v>1</v>
      </c>
      <c r="U428" s="47">
        <v>1</v>
      </c>
      <c r="V428" s="47">
        <v>3</v>
      </c>
      <c r="W428" s="51">
        <f t="shared" si="51"/>
        <v>46032</v>
      </c>
      <c r="X428" s="60"/>
    </row>
    <row r="429" spans="1:24" hidden="1">
      <c r="A429" s="46" t="s">
        <v>351</v>
      </c>
      <c r="B429" s="46" t="s">
        <v>457</v>
      </c>
      <c r="C429" s="47" t="s">
        <v>325</v>
      </c>
      <c r="D429" s="47" t="s">
        <v>325</v>
      </c>
      <c r="E429" s="47">
        <v>50115681</v>
      </c>
      <c r="F429" s="47" t="s">
        <v>280</v>
      </c>
      <c r="G429" s="46">
        <v>81800</v>
      </c>
      <c r="H429" s="47">
        <v>0.59</v>
      </c>
      <c r="I429" s="46">
        <f t="shared" si="48"/>
        <v>48262</v>
      </c>
      <c r="J429" s="46" t="s">
        <v>374</v>
      </c>
      <c r="K429" s="46"/>
      <c r="L429" s="46"/>
      <c r="M429" s="47">
        <v>25500187</v>
      </c>
      <c r="N429" s="48" t="s">
        <v>326</v>
      </c>
      <c r="O429" s="49">
        <v>45980</v>
      </c>
      <c r="P429" s="50">
        <v>4</v>
      </c>
      <c r="Q429" s="49">
        <v>46009</v>
      </c>
      <c r="R429" s="47" t="s">
        <v>462</v>
      </c>
      <c r="S429" s="51">
        <v>46027</v>
      </c>
      <c r="T429" s="47">
        <v>1</v>
      </c>
      <c r="U429" s="47">
        <v>1</v>
      </c>
      <c r="V429" s="47">
        <v>3</v>
      </c>
      <c r="W429" s="51">
        <f t="shared" si="51"/>
        <v>46032</v>
      </c>
      <c r="X429" s="60"/>
    </row>
    <row r="430" spans="1:24" hidden="1">
      <c r="A430" s="46" t="s">
        <v>351</v>
      </c>
      <c r="B430" s="46" t="s">
        <v>457</v>
      </c>
      <c r="C430" s="47" t="s">
        <v>313</v>
      </c>
      <c r="D430" s="47" t="s">
        <v>313</v>
      </c>
      <c r="E430" s="47">
        <v>50082175</v>
      </c>
      <c r="F430" s="47" t="s">
        <v>298</v>
      </c>
      <c r="G430" s="46">
        <v>76228</v>
      </c>
      <c r="H430" s="47">
        <v>1.6</v>
      </c>
      <c r="I430" s="46">
        <f t="shared" si="48"/>
        <v>121964.8</v>
      </c>
      <c r="J430" s="46" t="s">
        <v>375</v>
      </c>
      <c r="K430" s="46"/>
      <c r="L430" s="46"/>
      <c r="M430" s="47">
        <v>25500188</v>
      </c>
      <c r="N430" s="48">
        <v>2500241640</v>
      </c>
      <c r="O430" s="49">
        <v>45981</v>
      </c>
      <c r="P430" s="50">
        <v>1</v>
      </c>
      <c r="Q430" s="49">
        <v>46001</v>
      </c>
      <c r="R430" s="47"/>
      <c r="S430" s="51">
        <v>46030</v>
      </c>
      <c r="T430" s="47">
        <v>1</v>
      </c>
      <c r="U430" s="47">
        <v>1</v>
      </c>
      <c r="V430" s="47">
        <v>3</v>
      </c>
      <c r="W430" s="51">
        <f t="shared" si="51"/>
        <v>46035</v>
      </c>
      <c r="X430" s="60"/>
    </row>
    <row r="431" spans="1:24" hidden="1">
      <c r="A431" s="46" t="s">
        <v>351</v>
      </c>
      <c r="B431" s="46" t="s">
        <v>457</v>
      </c>
      <c r="C431" s="47" t="s">
        <v>313</v>
      </c>
      <c r="D431" s="47" t="s">
        <v>313</v>
      </c>
      <c r="E431" s="47">
        <v>50082175</v>
      </c>
      <c r="F431" s="47" t="s">
        <v>298</v>
      </c>
      <c r="G431" s="46">
        <v>11301</v>
      </c>
      <c r="H431" s="47">
        <v>1.6</v>
      </c>
      <c r="I431" s="46">
        <f t="shared" si="48"/>
        <v>18081.600000000002</v>
      </c>
      <c r="J431" s="46" t="s">
        <v>375</v>
      </c>
      <c r="K431" s="46"/>
      <c r="L431" s="46"/>
      <c r="M431" s="47">
        <v>25500188</v>
      </c>
      <c r="N431" s="48">
        <v>2500241640</v>
      </c>
      <c r="O431" s="49">
        <v>45981</v>
      </c>
      <c r="P431" s="50">
        <v>2</v>
      </c>
      <c r="Q431" s="49">
        <v>46001</v>
      </c>
      <c r="R431" s="47"/>
      <c r="S431" s="51">
        <v>46030</v>
      </c>
      <c r="T431" s="47">
        <v>1</v>
      </c>
      <c r="U431" s="47">
        <v>1</v>
      </c>
      <c r="V431" s="47">
        <v>3</v>
      </c>
      <c r="W431" s="51">
        <f t="shared" si="51"/>
        <v>46035</v>
      </c>
      <c r="X431" s="60"/>
    </row>
    <row r="432" spans="1:24" hidden="1">
      <c r="A432" s="46" t="s">
        <v>351</v>
      </c>
      <c r="B432" s="46" t="s">
        <v>457</v>
      </c>
      <c r="C432" s="47" t="s">
        <v>313</v>
      </c>
      <c r="D432" s="47" t="s">
        <v>313</v>
      </c>
      <c r="E432" s="47">
        <v>50082162</v>
      </c>
      <c r="F432" s="47" t="s">
        <v>321</v>
      </c>
      <c r="G432" s="46">
        <v>7137</v>
      </c>
      <c r="H432" s="47">
        <v>2.0099999999999998</v>
      </c>
      <c r="I432" s="46">
        <f t="shared" si="48"/>
        <v>14345.369999999999</v>
      </c>
      <c r="J432" s="46" t="s">
        <v>375</v>
      </c>
      <c r="K432" s="46"/>
      <c r="L432" s="46"/>
      <c r="M432" s="47">
        <v>25500189</v>
      </c>
      <c r="N432" s="48">
        <v>2500236554</v>
      </c>
      <c r="O432" s="49">
        <v>45981</v>
      </c>
      <c r="P432" s="50">
        <v>1</v>
      </c>
      <c r="Q432" s="49">
        <v>46011</v>
      </c>
      <c r="R432" s="47"/>
      <c r="S432" s="51">
        <v>46030</v>
      </c>
      <c r="T432" s="47">
        <v>1</v>
      </c>
      <c r="U432" s="47">
        <v>1</v>
      </c>
      <c r="V432" s="47">
        <v>3</v>
      </c>
      <c r="W432" s="51">
        <f t="shared" si="51"/>
        <v>46035</v>
      </c>
      <c r="X432" s="60"/>
    </row>
    <row r="433" spans="1:24" hidden="1">
      <c r="A433" s="46" t="s">
        <v>351</v>
      </c>
      <c r="B433" s="46" t="s">
        <v>457</v>
      </c>
      <c r="C433" s="47" t="s">
        <v>313</v>
      </c>
      <c r="D433" s="47" t="s">
        <v>313</v>
      </c>
      <c r="E433" s="47">
        <v>50082095</v>
      </c>
      <c r="F433" s="47" t="s">
        <v>196</v>
      </c>
      <c r="G433" s="46">
        <v>7137</v>
      </c>
      <c r="H433" s="47">
        <v>0.16</v>
      </c>
      <c r="I433" s="46">
        <f t="shared" si="48"/>
        <v>1141.92</v>
      </c>
      <c r="J433" s="46" t="s">
        <v>375</v>
      </c>
      <c r="K433" s="46"/>
      <c r="L433" s="46"/>
      <c r="M433" s="47">
        <v>25500189</v>
      </c>
      <c r="N433" s="48">
        <v>2500236554</v>
      </c>
      <c r="O433" s="49">
        <v>45981</v>
      </c>
      <c r="P433" s="50">
        <v>2</v>
      </c>
      <c r="Q433" s="49">
        <v>46011</v>
      </c>
      <c r="R433" s="47"/>
      <c r="S433" s="51">
        <v>46030</v>
      </c>
      <c r="T433" s="47">
        <v>1</v>
      </c>
      <c r="U433" s="47">
        <v>1</v>
      </c>
      <c r="V433" s="47">
        <v>3</v>
      </c>
      <c r="W433" s="51">
        <f t="shared" si="51"/>
        <v>46035</v>
      </c>
      <c r="X433" s="60"/>
    </row>
    <row r="434" spans="1:24" hidden="1">
      <c r="A434" s="46" t="s">
        <v>351</v>
      </c>
      <c r="B434" s="46" t="s">
        <v>457</v>
      </c>
      <c r="C434" s="47" t="s">
        <v>313</v>
      </c>
      <c r="D434" s="47" t="s">
        <v>313</v>
      </c>
      <c r="E434" s="47">
        <v>50082175</v>
      </c>
      <c r="F434" s="47" t="s">
        <v>298</v>
      </c>
      <c r="G434" s="46">
        <v>100752</v>
      </c>
      <c r="H434" s="47">
        <v>1.6</v>
      </c>
      <c r="I434" s="46">
        <f t="shared" si="48"/>
        <v>161203.20000000001</v>
      </c>
      <c r="J434" s="46" t="s">
        <v>375</v>
      </c>
      <c r="K434" s="46"/>
      <c r="L434" s="46"/>
      <c r="M434" s="47">
        <v>25500190</v>
      </c>
      <c r="N434" s="48">
        <v>2500240128</v>
      </c>
      <c r="O434" s="49">
        <v>45981</v>
      </c>
      <c r="P434" s="50">
        <v>1</v>
      </c>
      <c r="Q434" s="49">
        <v>46011</v>
      </c>
      <c r="R434" s="47"/>
      <c r="S434" s="51">
        <v>46030</v>
      </c>
      <c r="T434" s="47">
        <v>1</v>
      </c>
      <c r="U434" s="47">
        <v>1</v>
      </c>
      <c r="V434" s="47">
        <v>3</v>
      </c>
      <c r="W434" s="51">
        <f t="shared" si="51"/>
        <v>46035</v>
      </c>
      <c r="X434" s="60"/>
    </row>
    <row r="435" spans="1:24" hidden="1">
      <c r="A435" s="46" t="s">
        <v>351</v>
      </c>
      <c r="B435" s="46" t="s">
        <v>457</v>
      </c>
      <c r="C435" s="47" t="s">
        <v>313</v>
      </c>
      <c r="D435" s="47" t="s">
        <v>313</v>
      </c>
      <c r="E435" s="47">
        <v>50082162</v>
      </c>
      <c r="F435" s="47" t="s">
        <v>321</v>
      </c>
      <c r="G435" s="46">
        <v>5000</v>
      </c>
      <c r="H435" s="47">
        <v>2.0099999999999998</v>
      </c>
      <c r="I435" s="46">
        <f t="shared" si="48"/>
        <v>10049.999999999998</v>
      </c>
      <c r="J435" s="46" t="s">
        <v>375</v>
      </c>
      <c r="K435" s="46"/>
      <c r="L435" s="46"/>
      <c r="M435" s="47">
        <v>25500191</v>
      </c>
      <c r="N435" s="48">
        <v>2500235168</v>
      </c>
      <c r="O435" s="49">
        <v>45981</v>
      </c>
      <c r="P435" s="50">
        <v>1</v>
      </c>
      <c r="Q435" s="49">
        <v>46011</v>
      </c>
      <c r="R435" s="47"/>
      <c r="S435" s="51">
        <v>46030</v>
      </c>
      <c r="T435" s="47">
        <v>1</v>
      </c>
      <c r="U435" s="47">
        <v>1</v>
      </c>
      <c r="V435" s="47">
        <v>3</v>
      </c>
      <c r="W435" s="51">
        <f t="shared" si="51"/>
        <v>46035</v>
      </c>
      <c r="X435" s="60"/>
    </row>
    <row r="436" spans="1:24" hidden="1">
      <c r="A436" s="46" t="s">
        <v>351</v>
      </c>
      <c r="B436" s="46" t="s">
        <v>457</v>
      </c>
      <c r="C436" s="47" t="s">
        <v>313</v>
      </c>
      <c r="D436" s="47" t="s">
        <v>313</v>
      </c>
      <c r="E436" s="47">
        <v>50082095</v>
      </c>
      <c r="F436" s="47" t="s">
        <v>196</v>
      </c>
      <c r="G436" s="46">
        <v>5000</v>
      </c>
      <c r="H436" s="47">
        <v>0.16</v>
      </c>
      <c r="I436" s="46">
        <f t="shared" si="48"/>
        <v>800</v>
      </c>
      <c r="J436" s="46" t="s">
        <v>375</v>
      </c>
      <c r="K436" s="46"/>
      <c r="L436" s="46"/>
      <c r="M436" s="47">
        <v>25500191</v>
      </c>
      <c r="N436" s="48">
        <v>2500235168</v>
      </c>
      <c r="O436" s="49">
        <v>45981</v>
      </c>
      <c r="P436" s="50">
        <v>2</v>
      </c>
      <c r="Q436" s="49">
        <v>46011</v>
      </c>
      <c r="R436" s="47"/>
      <c r="S436" s="51">
        <v>46030</v>
      </c>
      <c r="T436" s="47">
        <v>1</v>
      </c>
      <c r="U436" s="47">
        <v>1</v>
      </c>
      <c r="V436" s="47">
        <v>3</v>
      </c>
      <c r="W436" s="51">
        <f t="shared" si="51"/>
        <v>46035</v>
      </c>
      <c r="X436" s="60"/>
    </row>
    <row r="437" spans="1:24" hidden="1">
      <c r="A437" s="46" t="s">
        <v>351</v>
      </c>
      <c r="B437" s="46" t="s">
        <v>457</v>
      </c>
      <c r="C437" s="47" t="s">
        <v>313</v>
      </c>
      <c r="D437" s="47" t="s">
        <v>313</v>
      </c>
      <c r="E437" s="47">
        <v>50082162</v>
      </c>
      <c r="F437" s="47" t="s">
        <v>321</v>
      </c>
      <c r="G437" s="46">
        <v>5000</v>
      </c>
      <c r="H437" s="47">
        <v>2.0099999999999998</v>
      </c>
      <c r="I437" s="46">
        <f t="shared" si="48"/>
        <v>10049.999999999998</v>
      </c>
      <c r="J437" s="46" t="s">
        <v>375</v>
      </c>
      <c r="K437" s="46"/>
      <c r="L437" s="46"/>
      <c r="M437" s="47">
        <v>25500192</v>
      </c>
      <c r="N437" s="48">
        <v>2500233472</v>
      </c>
      <c r="O437" s="49">
        <v>45981</v>
      </c>
      <c r="P437" s="50">
        <v>1</v>
      </c>
      <c r="Q437" s="49">
        <v>46011</v>
      </c>
      <c r="R437" s="47"/>
      <c r="S437" s="51">
        <v>46030</v>
      </c>
      <c r="T437" s="47">
        <v>1</v>
      </c>
      <c r="U437" s="47">
        <v>1</v>
      </c>
      <c r="V437" s="47">
        <v>3</v>
      </c>
      <c r="W437" s="51">
        <f t="shared" si="51"/>
        <v>46035</v>
      </c>
      <c r="X437" s="60"/>
    </row>
    <row r="438" spans="1:24" hidden="1">
      <c r="A438" s="46" t="s">
        <v>351</v>
      </c>
      <c r="B438" s="46" t="s">
        <v>457</v>
      </c>
      <c r="C438" s="47" t="s">
        <v>313</v>
      </c>
      <c r="D438" s="47" t="s">
        <v>313</v>
      </c>
      <c r="E438" s="47">
        <v>50082095</v>
      </c>
      <c r="F438" s="47" t="s">
        <v>196</v>
      </c>
      <c r="G438" s="46">
        <v>5000</v>
      </c>
      <c r="H438" s="47">
        <v>0.16</v>
      </c>
      <c r="I438" s="46">
        <f t="shared" si="48"/>
        <v>800</v>
      </c>
      <c r="J438" s="46" t="s">
        <v>375</v>
      </c>
      <c r="K438" s="46"/>
      <c r="L438" s="46"/>
      <c r="M438" s="47">
        <v>25500192</v>
      </c>
      <c r="N438" s="48">
        <v>2500233472</v>
      </c>
      <c r="O438" s="49">
        <v>45981</v>
      </c>
      <c r="P438" s="50">
        <v>2</v>
      </c>
      <c r="Q438" s="49">
        <v>46011</v>
      </c>
      <c r="R438" s="47"/>
      <c r="S438" s="51">
        <v>46030</v>
      </c>
      <c r="T438" s="47">
        <v>1</v>
      </c>
      <c r="U438" s="47">
        <v>1</v>
      </c>
      <c r="V438" s="47">
        <v>3</v>
      </c>
      <c r="W438" s="51">
        <f t="shared" si="51"/>
        <v>46035</v>
      </c>
      <c r="X438" s="60"/>
    </row>
    <row r="439" spans="1:24" hidden="1">
      <c r="A439" s="46" t="s">
        <v>351</v>
      </c>
      <c r="B439" s="46" t="s">
        <v>457</v>
      </c>
      <c r="C439" s="47" t="s">
        <v>313</v>
      </c>
      <c r="D439" s="47" t="s">
        <v>313</v>
      </c>
      <c r="E439" s="47">
        <v>50081902</v>
      </c>
      <c r="F439" s="47" t="s">
        <v>219</v>
      </c>
      <c r="G439" s="46">
        <v>10000</v>
      </c>
      <c r="H439" s="47">
        <v>0.32</v>
      </c>
      <c r="I439" s="46">
        <f t="shared" si="48"/>
        <v>3200</v>
      </c>
      <c r="J439" s="46" t="s">
        <v>375</v>
      </c>
      <c r="K439" s="46"/>
      <c r="L439" s="46"/>
      <c r="M439" s="47">
        <v>25500193</v>
      </c>
      <c r="N439" s="48">
        <v>2500233482</v>
      </c>
      <c r="O439" s="49">
        <v>45981</v>
      </c>
      <c r="P439" s="50">
        <v>1</v>
      </c>
      <c r="Q439" s="49">
        <v>46011</v>
      </c>
      <c r="R439" s="47"/>
      <c r="S439" s="51">
        <v>46030</v>
      </c>
      <c r="T439" s="47">
        <v>1</v>
      </c>
      <c r="U439" s="47">
        <v>1</v>
      </c>
      <c r="V439" s="47">
        <v>3</v>
      </c>
      <c r="W439" s="51">
        <f t="shared" si="51"/>
        <v>46035</v>
      </c>
      <c r="X439" s="60"/>
    </row>
    <row r="440" spans="1:24" hidden="1">
      <c r="A440" s="46" t="s">
        <v>351</v>
      </c>
      <c r="B440" s="46" t="s">
        <v>455</v>
      </c>
      <c r="C440" s="47" t="s">
        <v>74</v>
      </c>
      <c r="D440" s="47" t="s">
        <v>74</v>
      </c>
      <c r="E440" s="47">
        <v>50081903</v>
      </c>
      <c r="F440" s="47" t="s">
        <v>50</v>
      </c>
      <c r="G440" s="46">
        <v>200000</v>
      </c>
      <c r="H440" s="47">
        <v>0.72</v>
      </c>
      <c r="I440" s="46">
        <f t="shared" si="48"/>
        <v>144000</v>
      </c>
      <c r="J440" s="46" t="s">
        <v>374</v>
      </c>
      <c r="K440" s="46"/>
      <c r="L440" s="46"/>
      <c r="M440" s="47">
        <v>25501409</v>
      </c>
      <c r="N440" s="48">
        <v>4521003374</v>
      </c>
      <c r="O440" s="49">
        <v>45986</v>
      </c>
      <c r="P440" s="50">
        <v>1.2</v>
      </c>
      <c r="Q440" s="49">
        <v>46001</v>
      </c>
      <c r="R440" s="47" t="s">
        <v>463</v>
      </c>
      <c r="S440" s="51">
        <v>46040</v>
      </c>
      <c r="T440" s="47">
        <v>1</v>
      </c>
      <c r="U440" s="47">
        <v>1</v>
      </c>
      <c r="V440" s="47">
        <v>3</v>
      </c>
      <c r="W440" s="51">
        <f t="shared" si="51"/>
        <v>46045</v>
      </c>
      <c r="X440" s="60"/>
    </row>
    <row r="441" spans="1:24" hidden="1">
      <c r="A441" s="46" t="s">
        <v>351</v>
      </c>
      <c r="B441" s="46" t="s">
        <v>455</v>
      </c>
      <c r="C441" s="47" t="s">
        <v>74</v>
      </c>
      <c r="D441" s="47" t="s">
        <v>74</v>
      </c>
      <c r="E441" s="47">
        <v>50113256</v>
      </c>
      <c r="F441" s="47" t="s">
        <v>75</v>
      </c>
      <c r="G441" s="46">
        <v>200000</v>
      </c>
      <c r="H441" s="47">
        <v>2.21</v>
      </c>
      <c r="I441" s="46">
        <f t="shared" si="48"/>
        <v>442000</v>
      </c>
      <c r="J441" s="46" t="s">
        <v>375</v>
      </c>
      <c r="K441" s="46"/>
      <c r="L441" s="46"/>
      <c r="M441" s="47">
        <v>25500198</v>
      </c>
      <c r="N441" s="48">
        <v>4521003371</v>
      </c>
      <c r="O441" s="49">
        <v>45986</v>
      </c>
      <c r="P441" s="50">
        <v>1.5</v>
      </c>
      <c r="Q441" s="49">
        <v>46053</v>
      </c>
      <c r="R441" s="47" t="s">
        <v>462</v>
      </c>
      <c r="S441" s="51">
        <v>46040</v>
      </c>
      <c r="T441" s="47">
        <v>1</v>
      </c>
      <c r="U441" s="47">
        <v>1</v>
      </c>
      <c r="V441" s="47">
        <v>3</v>
      </c>
      <c r="W441" s="51">
        <f t="shared" si="51"/>
        <v>46045</v>
      </c>
      <c r="X441" s="60"/>
    </row>
    <row r="442" spans="1:24" hidden="1">
      <c r="A442" s="46" t="s">
        <v>351</v>
      </c>
      <c r="B442" s="46" t="s">
        <v>457</v>
      </c>
      <c r="C442" s="47" t="s">
        <v>313</v>
      </c>
      <c r="D442" s="47" t="s">
        <v>313</v>
      </c>
      <c r="E442" s="47">
        <v>50082175</v>
      </c>
      <c r="F442" s="47" t="s">
        <v>298</v>
      </c>
      <c r="G442" s="46">
        <v>40396</v>
      </c>
      <c r="H442" s="47">
        <v>1.6</v>
      </c>
      <c r="I442" s="46">
        <f t="shared" si="48"/>
        <v>64633.600000000006</v>
      </c>
      <c r="J442" s="46" t="s">
        <v>375</v>
      </c>
      <c r="K442" s="46"/>
      <c r="L442" s="46"/>
      <c r="M442" s="47">
        <v>25500199</v>
      </c>
      <c r="N442" s="48">
        <v>2500243658</v>
      </c>
      <c r="O442" s="49">
        <v>45987</v>
      </c>
      <c r="P442" s="50">
        <v>1</v>
      </c>
      <c r="Q442" s="49">
        <v>46029</v>
      </c>
      <c r="R442" s="47"/>
      <c r="S442" s="51">
        <v>46030</v>
      </c>
      <c r="T442" s="47">
        <v>1</v>
      </c>
      <c r="U442" s="47">
        <v>1</v>
      </c>
      <c r="V442" s="47">
        <v>3</v>
      </c>
      <c r="W442" s="51">
        <f t="shared" si="51"/>
        <v>46035</v>
      </c>
      <c r="X442" s="60"/>
    </row>
    <row r="443" spans="1:24" hidden="1">
      <c r="A443" s="46" t="s">
        <v>351</v>
      </c>
      <c r="B443" s="46" t="s">
        <v>457</v>
      </c>
      <c r="C443" s="47" t="s">
        <v>325</v>
      </c>
      <c r="D443" s="47" t="s">
        <v>325</v>
      </c>
      <c r="E443" s="47">
        <v>50113257</v>
      </c>
      <c r="F443" s="47" t="s">
        <v>316</v>
      </c>
      <c r="G443" s="46">
        <v>180100</v>
      </c>
      <c r="H443" s="47">
        <v>2.13</v>
      </c>
      <c r="I443" s="46">
        <f t="shared" si="48"/>
        <v>383613</v>
      </c>
      <c r="J443" s="46" t="s">
        <v>375</v>
      </c>
      <c r="K443" s="46"/>
      <c r="L443" s="46"/>
      <c r="M443" s="47">
        <v>25500213</v>
      </c>
      <c r="N443" s="48" t="s">
        <v>328</v>
      </c>
      <c r="O443" s="49">
        <v>45997</v>
      </c>
      <c r="P443" s="50">
        <v>1</v>
      </c>
      <c r="Q443" s="49">
        <v>46028</v>
      </c>
      <c r="R443" s="47" t="s">
        <v>462</v>
      </c>
      <c r="S443" s="51">
        <v>46027</v>
      </c>
      <c r="T443" s="47">
        <v>1</v>
      </c>
      <c r="U443" s="47">
        <v>1</v>
      </c>
      <c r="V443" s="47">
        <v>3</v>
      </c>
      <c r="W443" s="51">
        <f t="shared" si="51"/>
        <v>46032</v>
      </c>
      <c r="X443" s="60"/>
    </row>
    <row r="444" spans="1:24" hidden="1">
      <c r="A444" s="46" t="s">
        <v>351</v>
      </c>
      <c r="B444" s="46" t="s">
        <v>457</v>
      </c>
      <c r="C444" s="47" t="s">
        <v>325</v>
      </c>
      <c r="D444" s="47" t="s">
        <v>325</v>
      </c>
      <c r="E444" s="47">
        <v>50082012</v>
      </c>
      <c r="F444" s="47" t="s">
        <v>110</v>
      </c>
      <c r="G444" s="46">
        <v>180100</v>
      </c>
      <c r="H444" s="47">
        <v>0.6</v>
      </c>
      <c r="I444" s="46">
        <f t="shared" si="48"/>
        <v>108060</v>
      </c>
      <c r="J444" s="46" t="s">
        <v>374</v>
      </c>
      <c r="K444" s="46"/>
      <c r="L444" s="46"/>
      <c r="M444" s="47">
        <v>25500213</v>
      </c>
      <c r="N444" s="48" t="s">
        <v>328</v>
      </c>
      <c r="O444" s="49">
        <v>45997</v>
      </c>
      <c r="P444" s="50">
        <v>2</v>
      </c>
      <c r="Q444" s="49">
        <v>46028</v>
      </c>
      <c r="R444" s="47" t="s">
        <v>462</v>
      </c>
      <c r="S444" s="51">
        <v>46027</v>
      </c>
      <c r="T444" s="47">
        <v>1</v>
      </c>
      <c r="U444" s="47">
        <v>1</v>
      </c>
      <c r="V444" s="47">
        <v>3</v>
      </c>
      <c r="W444" s="51">
        <f t="shared" si="51"/>
        <v>46032</v>
      </c>
      <c r="X444" s="60"/>
    </row>
    <row r="445" spans="1:24" hidden="1">
      <c r="A445" s="46" t="s">
        <v>351</v>
      </c>
      <c r="B445" s="46" t="s">
        <v>457</v>
      </c>
      <c r="C445" s="47" t="s">
        <v>325</v>
      </c>
      <c r="D445" s="47" t="s">
        <v>325</v>
      </c>
      <c r="E445" s="47">
        <v>50105011</v>
      </c>
      <c r="F445" s="47" t="s">
        <v>282</v>
      </c>
      <c r="G445" s="46">
        <v>180100</v>
      </c>
      <c r="H445" s="47">
        <v>0.27</v>
      </c>
      <c r="I445" s="46">
        <f t="shared" si="48"/>
        <v>48627</v>
      </c>
      <c r="J445" s="46" t="s">
        <v>374</v>
      </c>
      <c r="K445" s="46"/>
      <c r="L445" s="46"/>
      <c r="M445" s="47">
        <v>25500213</v>
      </c>
      <c r="N445" s="48" t="s">
        <v>328</v>
      </c>
      <c r="O445" s="49">
        <v>45997</v>
      </c>
      <c r="P445" s="50">
        <v>3</v>
      </c>
      <c r="Q445" s="49">
        <v>46028</v>
      </c>
      <c r="R445" s="47" t="s">
        <v>462</v>
      </c>
      <c r="S445" s="51">
        <v>46027</v>
      </c>
      <c r="T445" s="47">
        <v>1</v>
      </c>
      <c r="U445" s="47">
        <v>1</v>
      </c>
      <c r="V445" s="47">
        <v>3</v>
      </c>
      <c r="W445" s="51">
        <f t="shared" si="51"/>
        <v>46032</v>
      </c>
      <c r="X445" s="60"/>
    </row>
    <row r="446" spans="1:24" hidden="1">
      <c r="A446" s="46" t="s">
        <v>356</v>
      </c>
      <c r="B446" s="46" t="s">
        <v>458</v>
      </c>
      <c r="C446" s="47" t="s">
        <v>329</v>
      </c>
      <c r="D446" s="47" t="s">
        <v>329</v>
      </c>
      <c r="E446" s="47">
        <v>50107784</v>
      </c>
      <c r="F446" s="47" t="s">
        <v>405</v>
      </c>
      <c r="G446" s="46">
        <v>300000</v>
      </c>
      <c r="H446" s="47">
        <v>4.17</v>
      </c>
      <c r="I446" s="46">
        <f t="shared" si="48"/>
        <v>1251000</v>
      </c>
      <c r="J446" s="46" t="s">
        <v>406</v>
      </c>
      <c r="K446" s="46"/>
      <c r="L446" s="46"/>
      <c r="M446" s="47"/>
      <c r="N446" s="48"/>
      <c r="O446" s="49"/>
      <c r="P446" s="50"/>
      <c r="Q446" s="49"/>
      <c r="R446" s="47"/>
      <c r="S446" s="47"/>
      <c r="T446" s="47"/>
      <c r="U446" s="47"/>
      <c r="V446" s="47"/>
      <c r="W446" s="47"/>
    </row>
    <row r="447" spans="1:24" hidden="1">
      <c r="A447" s="46" t="s">
        <v>356</v>
      </c>
      <c r="B447" s="46" t="s">
        <v>458</v>
      </c>
      <c r="C447" s="47" t="s">
        <v>329</v>
      </c>
      <c r="D447" s="47" t="s">
        <v>329</v>
      </c>
      <c r="E447" s="47">
        <v>50108239</v>
      </c>
      <c r="F447" s="47" t="s">
        <v>330</v>
      </c>
      <c r="G447" s="46">
        <v>300000</v>
      </c>
      <c r="H447" s="47">
        <v>4.0990000000000002</v>
      </c>
      <c r="I447" s="46">
        <f t="shared" si="48"/>
        <v>1229700</v>
      </c>
      <c r="J447" s="46" t="s">
        <v>406</v>
      </c>
      <c r="K447" s="46"/>
      <c r="L447" s="46"/>
      <c r="M447" s="47"/>
      <c r="N447" s="48"/>
      <c r="O447" s="49"/>
      <c r="P447" s="50"/>
      <c r="Q447" s="49"/>
      <c r="R447" s="47"/>
      <c r="S447" s="47"/>
      <c r="T447" s="47"/>
      <c r="U447" s="47"/>
      <c r="V447" s="47"/>
      <c r="W447" s="47"/>
    </row>
    <row r="448" spans="1:24" hidden="1">
      <c r="A448" s="46" t="s">
        <v>356</v>
      </c>
      <c r="B448" s="46" t="s">
        <v>458</v>
      </c>
      <c r="C448" s="47" t="s">
        <v>329</v>
      </c>
      <c r="D448" s="47" t="s">
        <v>329</v>
      </c>
      <c r="E448" s="47">
        <v>50108238</v>
      </c>
      <c r="F448" s="47" t="s">
        <v>331</v>
      </c>
      <c r="G448" s="46">
        <v>300000</v>
      </c>
      <c r="H448" s="47">
        <v>3.9529999999999998</v>
      </c>
      <c r="I448" s="46">
        <f t="shared" si="48"/>
        <v>1185900</v>
      </c>
      <c r="J448" s="46" t="s">
        <v>375</v>
      </c>
      <c r="K448" s="46"/>
      <c r="L448" s="46"/>
      <c r="M448" s="47"/>
      <c r="N448" s="48"/>
      <c r="O448" s="49"/>
      <c r="P448" s="50"/>
      <c r="Q448" s="49"/>
      <c r="R448" s="47"/>
      <c r="S448" s="47"/>
      <c r="T448" s="47"/>
      <c r="U448" s="47"/>
      <c r="V448" s="47"/>
      <c r="W448" s="47"/>
    </row>
    <row r="449" spans="1:24" hidden="1">
      <c r="A449" s="47" t="s">
        <v>347</v>
      </c>
      <c r="B449" s="46" t="s">
        <v>457</v>
      </c>
      <c r="C449" s="47" t="s">
        <v>89</v>
      </c>
      <c r="D449" s="47" t="s">
        <v>377</v>
      </c>
      <c r="E449" s="47">
        <v>50110011</v>
      </c>
      <c r="F449" s="47" t="s">
        <v>101</v>
      </c>
      <c r="G449" s="46">
        <v>300000</v>
      </c>
      <c r="H449" s="47">
        <v>2.4500000000000002</v>
      </c>
      <c r="I449" s="46">
        <f t="shared" si="48"/>
        <v>735000</v>
      </c>
      <c r="J449" s="47" t="s">
        <v>401</v>
      </c>
      <c r="K449" s="47">
        <v>300000</v>
      </c>
      <c r="L449" s="47"/>
      <c r="M449" s="47"/>
      <c r="N449" s="47"/>
      <c r="O449" s="47"/>
      <c r="P449" s="47"/>
      <c r="Q449" s="49"/>
      <c r="R449" s="47" t="s">
        <v>495</v>
      </c>
      <c r="S449" s="52">
        <v>46028</v>
      </c>
      <c r="T449" s="47">
        <v>1</v>
      </c>
      <c r="U449" s="47">
        <v>1</v>
      </c>
      <c r="V449" s="47"/>
      <c r="W449" s="52">
        <f t="shared" ref="W449:W452" si="52">S449+T449+U449</f>
        <v>46030</v>
      </c>
      <c r="X449" s="59"/>
    </row>
    <row r="450" spans="1:24" hidden="1">
      <c r="A450" s="46" t="s">
        <v>347</v>
      </c>
      <c r="B450" s="46" t="s">
        <v>457</v>
      </c>
      <c r="C450" s="47" t="s">
        <v>89</v>
      </c>
      <c r="D450" s="47" t="s">
        <v>90</v>
      </c>
      <c r="E450" s="47">
        <v>50113461</v>
      </c>
      <c r="F450" s="47" t="s">
        <v>91</v>
      </c>
      <c r="G450" s="46">
        <f>75000+108400</f>
        <v>183400</v>
      </c>
      <c r="H450" s="47">
        <v>2.15</v>
      </c>
      <c r="I450" s="46">
        <f t="shared" si="48"/>
        <v>394310</v>
      </c>
      <c r="J450" s="46" t="s">
        <v>374</v>
      </c>
      <c r="K450" s="46"/>
      <c r="L450" s="46" t="s">
        <v>482</v>
      </c>
      <c r="M450" s="47">
        <v>25500966</v>
      </c>
      <c r="N450" s="48">
        <v>4500025793</v>
      </c>
      <c r="O450" s="49">
        <v>45912</v>
      </c>
      <c r="P450" s="50">
        <v>3</v>
      </c>
      <c r="Q450" s="49">
        <v>46022</v>
      </c>
      <c r="R450" s="47"/>
      <c r="S450" s="52">
        <v>46041</v>
      </c>
      <c r="T450" s="47">
        <v>1</v>
      </c>
      <c r="U450" s="47">
        <v>1</v>
      </c>
      <c r="V450" s="47"/>
      <c r="W450" s="52">
        <f t="shared" si="52"/>
        <v>46043</v>
      </c>
      <c r="X450" s="59"/>
    </row>
    <row r="451" spans="1:24" hidden="1">
      <c r="A451" s="46" t="s">
        <v>347</v>
      </c>
      <c r="B451" s="46" t="s">
        <v>455</v>
      </c>
      <c r="C451" s="47" t="s">
        <v>5</v>
      </c>
      <c r="D451" s="47" t="s">
        <v>5</v>
      </c>
      <c r="E451" s="47">
        <v>50101133</v>
      </c>
      <c r="F451" s="47" t="s">
        <v>6</v>
      </c>
      <c r="G451" s="46">
        <v>340000</v>
      </c>
      <c r="H451" s="47">
        <v>3.26</v>
      </c>
      <c r="I451" s="46">
        <f t="shared" si="48"/>
        <v>1108400</v>
      </c>
      <c r="J451" s="46" t="s">
        <v>374</v>
      </c>
      <c r="K451" s="46">
        <v>240000</v>
      </c>
      <c r="L451" s="46" t="s">
        <v>482</v>
      </c>
      <c r="M451" s="47">
        <v>24500867</v>
      </c>
      <c r="N451" s="48">
        <v>4110069982</v>
      </c>
      <c r="O451" s="49">
        <v>45546</v>
      </c>
      <c r="P451" s="50">
        <v>1.2</v>
      </c>
      <c r="Q451" s="49">
        <v>46022</v>
      </c>
      <c r="R451" s="47" t="s">
        <v>495</v>
      </c>
      <c r="S451" s="52">
        <v>46028</v>
      </c>
      <c r="T451" s="47">
        <v>1</v>
      </c>
      <c r="U451" s="47">
        <v>1</v>
      </c>
      <c r="V451" s="47"/>
      <c r="W451" s="52">
        <f t="shared" si="52"/>
        <v>46030</v>
      </c>
      <c r="X451" s="59"/>
    </row>
    <row r="452" spans="1:24" hidden="1">
      <c r="A452" s="46" t="s">
        <v>347</v>
      </c>
      <c r="B452" s="46" t="s">
        <v>455</v>
      </c>
      <c r="C452" s="47" t="s">
        <v>5</v>
      </c>
      <c r="D452" s="47" t="s">
        <v>5</v>
      </c>
      <c r="E452" s="47">
        <v>50108462</v>
      </c>
      <c r="F452" s="47" t="s">
        <v>62</v>
      </c>
      <c r="G452" s="46">
        <v>240000</v>
      </c>
      <c r="H452" s="47">
        <v>3.26</v>
      </c>
      <c r="I452" s="46">
        <f t="shared" si="48"/>
        <v>782400</v>
      </c>
      <c r="J452" s="46" t="s">
        <v>374</v>
      </c>
      <c r="K452" s="46">
        <v>240000</v>
      </c>
      <c r="L452" s="46" t="s">
        <v>482</v>
      </c>
      <c r="M452" s="47">
        <v>25501221</v>
      </c>
      <c r="N452" s="48">
        <v>4110073459</v>
      </c>
      <c r="O452" s="49">
        <v>45955</v>
      </c>
      <c r="P452" s="50">
        <v>1.1000000000000001</v>
      </c>
      <c r="Q452" s="49">
        <v>46022</v>
      </c>
      <c r="R452" s="47" t="s">
        <v>495</v>
      </c>
      <c r="S452" s="52">
        <v>46028</v>
      </c>
      <c r="T452" s="47">
        <v>1</v>
      </c>
      <c r="U452" s="47">
        <v>1</v>
      </c>
      <c r="V452" s="47"/>
      <c r="W452" s="52">
        <f t="shared" si="52"/>
        <v>46030</v>
      </c>
      <c r="X452" s="59"/>
    </row>
    <row r="453" spans="1:24" hidden="1">
      <c r="A453" s="46" t="s">
        <v>351</v>
      </c>
      <c r="B453" s="46" t="s">
        <v>457</v>
      </c>
      <c r="C453" s="47" t="s">
        <v>313</v>
      </c>
      <c r="D453" s="47" t="s">
        <v>313</v>
      </c>
      <c r="E453" s="47">
        <v>50082162</v>
      </c>
      <c r="F453" s="47" t="s">
        <v>321</v>
      </c>
      <c r="G453" s="46">
        <v>8709</v>
      </c>
      <c r="H453" s="47">
        <v>2.0099999999999998</v>
      </c>
      <c r="I453" s="46">
        <f t="shared" si="48"/>
        <v>17505.089999999997</v>
      </c>
      <c r="J453" s="46" t="s">
        <v>375</v>
      </c>
      <c r="K453" s="46"/>
      <c r="L453" s="46"/>
      <c r="M453" s="47">
        <v>25500229</v>
      </c>
      <c r="N453" s="48">
        <v>2500244796</v>
      </c>
      <c r="O453" s="49">
        <v>46007</v>
      </c>
      <c r="P453" s="50">
        <v>2</v>
      </c>
      <c r="Q453" s="49">
        <v>46040</v>
      </c>
      <c r="R453" s="47"/>
      <c r="S453" s="51">
        <v>46030</v>
      </c>
      <c r="T453" s="47">
        <v>1</v>
      </c>
      <c r="U453" s="47">
        <v>1</v>
      </c>
      <c r="V453" s="47">
        <v>3</v>
      </c>
      <c r="W453" s="51">
        <f>S453+T453+U453+V453</f>
        <v>46035</v>
      </c>
      <c r="X453" s="60"/>
    </row>
    <row r="454" spans="1:24" hidden="1">
      <c r="A454" s="46" t="s">
        <v>351</v>
      </c>
      <c r="B454" s="46" t="s">
        <v>457</v>
      </c>
      <c r="C454" s="47" t="s">
        <v>313</v>
      </c>
      <c r="D454" s="47" t="s">
        <v>313</v>
      </c>
      <c r="E454" s="47">
        <v>50082095</v>
      </c>
      <c r="F454" s="47" t="s">
        <v>196</v>
      </c>
      <c r="G454" s="46">
        <v>8709</v>
      </c>
      <c r="H454" s="47">
        <v>0.16</v>
      </c>
      <c r="I454" s="46">
        <f t="shared" si="48"/>
        <v>1393.44</v>
      </c>
      <c r="J454" s="46" t="s">
        <v>375</v>
      </c>
      <c r="K454" s="46"/>
      <c r="L454" s="46"/>
      <c r="M454" s="47">
        <v>25500229</v>
      </c>
      <c r="N454" s="48">
        <v>2500244796</v>
      </c>
      <c r="O454" s="49">
        <v>46007</v>
      </c>
      <c r="P454" s="50">
        <v>3</v>
      </c>
      <c r="Q454" s="49">
        <v>46040</v>
      </c>
      <c r="R454" s="47"/>
      <c r="S454" s="51">
        <v>46030</v>
      </c>
      <c r="T454" s="47">
        <v>1</v>
      </c>
      <c r="U454" s="47">
        <v>1</v>
      </c>
      <c r="V454" s="47">
        <v>3</v>
      </c>
      <c r="W454" s="51">
        <f>S454+T454+U454+V454</f>
        <v>46035</v>
      </c>
      <c r="X454" s="60"/>
    </row>
    <row r="455" spans="1:24" hidden="1">
      <c r="A455" s="46" t="s">
        <v>351</v>
      </c>
      <c r="B455" s="46" t="s">
        <v>457</v>
      </c>
      <c r="C455" s="47" t="s">
        <v>313</v>
      </c>
      <c r="D455" s="47" t="s">
        <v>313</v>
      </c>
      <c r="E455" s="47">
        <v>50082162</v>
      </c>
      <c r="F455" s="47" t="s">
        <v>321</v>
      </c>
      <c r="G455" s="46">
        <v>8000</v>
      </c>
      <c r="H455" s="47">
        <v>2.0099999999999998</v>
      </c>
      <c r="I455" s="46">
        <f t="shared" si="48"/>
        <v>16079.999999999998</v>
      </c>
      <c r="J455" s="46" t="s">
        <v>375</v>
      </c>
      <c r="K455" s="46"/>
      <c r="L455" s="46"/>
      <c r="M455" s="47">
        <v>25500229</v>
      </c>
      <c r="N455" s="48">
        <v>2500244796</v>
      </c>
      <c r="O455" s="49">
        <v>46007</v>
      </c>
      <c r="P455" s="50">
        <v>4</v>
      </c>
      <c r="Q455" s="49">
        <v>46040</v>
      </c>
      <c r="R455" s="47"/>
      <c r="S455" s="51">
        <v>46030</v>
      </c>
      <c r="T455" s="47">
        <v>1</v>
      </c>
      <c r="U455" s="47">
        <v>1</v>
      </c>
      <c r="V455" s="47">
        <v>3</v>
      </c>
      <c r="W455" s="51">
        <f>S455+T455+U455+V455</f>
        <v>46035</v>
      </c>
      <c r="X455" s="60"/>
    </row>
    <row r="456" spans="1:24" hidden="1">
      <c r="A456" s="46" t="s">
        <v>351</v>
      </c>
      <c r="B456" s="46" t="s">
        <v>457</v>
      </c>
      <c r="C456" s="47" t="s">
        <v>313</v>
      </c>
      <c r="D456" s="47" t="s">
        <v>313</v>
      </c>
      <c r="E456" s="47">
        <v>50082095</v>
      </c>
      <c r="F456" s="47" t="s">
        <v>196</v>
      </c>
      <c r="G456" s="46">
        <v>8000</v>
      </c>
      <c r="H456" s="47">
        <v>0.16</v>
      </c>
      <c r="I456" s="46">
        <f t="shared" si="48"/>
        <v>1280</v>
      </c>
      <c r="J456" s="46" t="s">
        <v>375</v>
      </c>
      <c r="K456" s="46"/>
      <c r="L456" s="46"/>
      <c r="M456" s="47">
        <v>25500229</v>
      </c>
      <c r="N456" s="48">
        <v>2500244796</v>
      </c>
      <c r="O456" s="49">
        <v>46007</v>
      </c>
      <c r="P456" s="50">
        <v>5</v>
      </c>
      <c r="Q456" s="49">
        <v>46040</v>
      </c>
      <c r="R456" s="47"/>
      <c r="S456" s="51">
        <v>46030</v>
      </c>
      <c r="T456" s="47">
        <v>1</v>
      </c>
      <c r="U456" s="47">
        <v>1</v>
      </c>
      <c r="V456" s="47">
        <v>3</v>
      </c>
      <c r="W456" s="51">
        <f>S456+T456+U456+V456</f>
        <v>46035</v>
      </c>
      <c r="X456" s="60"/>
    </row>
    <row r="457" spans="1:24" hidden="1">
      <c r="A457" s="46" t="s">
        <v>351</v>
      </c>
      <c r="B457" s="46" t="s">
        <v>457</v>
      </c>
      <c r="C457" s="47" t="s">
        <v>313</v>
      </c>
      <c r="D457" s="47" t="s">
        <v>313</v>
      </c>
      <c r="E457" s="47">
        <v>50081902</v>
      </c>
      <c r="F457" s="47" t="s">
        <v>219</v>
      </c>
      <c r="G457" s="46">
        <v>10000</v>
      </c>
      <c r="H457" s="47">
        <v>0.32</v>
      </c>
      <c r="I457" s="46">
        <f t="shared" ref="I457:I522" si="53">G457*H457</f>
        <v>3200</v>
      </c>
      <c r="J457" s="46" t="s">
        <v>375</v>
      </c>
      <c r="K457" s="46"/>
      <c r="L457" s="46"/>
      <c r="M457" s="47">
        <v>25500229</v>
      </c>
      <c r="N457" s="48">
        <v>2500244796</v>
      </c>
      <c r="O457" s="49">
        <v>46007</v>
      </c>
      <c r="P457" s="50">
        <v>6</v>
      </c>
      <c r="Q457" s="49">
        <v>46040</v>
      </c>
      <c r="R457" s="47"/>
      <c r="S457" s="51">
        <v>46030</v>
      </c>
      <c r="T457" s="47">
        <v>1</v>
      </c>
      <c r="U457" s="47">
        <v>1</v>
      </c>
      <c r="V457" s="47">
        <v>3</v>
      </c>
      <c r="W457" s="51">
        <f>S457+T457+U457+V457</f>
        <v>46035</v>
      </c>
      <c r="X457" s="60"/>
    </row>
    <row r="458" spans="1:24" hidden="1">
      <c r="A458" s="46" t="s">
        <v>356</v>
      </c>
      <c r="B458" s="46" t="s">
        <v>458</v>
      </c>
      <c r="C458" s="47" t="s">
        <v>332</v>
      </c>
      <c r="D458" s="47" t="s">
        <v>332</v>
      </c>
      <c r="E458" s="47">
        <v>50115752</v>
      </c>
      <c r="F458" s="47" t="s">
        <v>333</v>
      </c>
      <c r="G458" s="46">
        <v>15000</v>
      </c>
      <c r="H458" s="47">
        <v>9.66</v>
      </c>
      <c r="I458" s="46">
        <f t="shared" si="53"/>
        <v>144900</v>
      </c>
      <c r="J458" s="46" t="s">
        <v>375</v>
      </c>
      <c r="K458" s="46"/>
      <c r="L458" s="46"/>
      <c r="M458" s="47">
        <v>25500230</v>
      </c>
      <c r="N458" s="48">
        <v>5500012891</v>
      </c>
      <c r="O458" s="49">
        <v>46008</v>
      </c>
      <c r="P458" s="50">
        <v>2</v>
      </c>
      <c r="Q458" s="49">
        <v>46031</v>
      </c>
      <c r="R458" s="47"/>
      <c r="S458" s="51">
        <v>46027</v>
      </c>
      <c r="T458" s="47"/>
      <c r="U458" s="47"/>
      <c r="V458" s="47"/>
      <c r="W458" s="47"/>
    </row>
    <row r="459" spans="1:24" hidden="1">
      <c r="A459" s="46" t="s">
        <v>356</v>
      </c>
      <c r="B459" s="46" t="s">
        <v>458</v>
      </c>
      <c r="C459" s="47" t="s">
        <v>332</v>
      </c>
      <c r="D459" s="47" t="s">
        <v>332</v>
      </c>
      <c r="E459" s="47">
        <v>50115752</v>
      </c>
      <c r="F459" s="47" t="s">
        <v>333</v>
      </c>
      <c r="G459" s="46">
        <v>15000</v>
      </c>
      <c r="H459" s="47">
        <v>9.66</v>
      </c>
      <c r="I459" s="46">
        <f t="shared" si="53"/>
        <v>144900</v>
      </c>
      <c r="J459" s="46" t="s">
        <v>375</v>
      </c>
      <c r="K459" s="46"/>
      <c r="L459" s="46"/>
      <c r="M459" s="47">
        <v>25500230</v>
      </c>
      <c r="N459" s="48">
        <v>5500012891</v>
      </c>
      <c r="O459" s="49">
        <v>46008</v>
      </c>
      <c r="P459" s="50">
        <v>3</v>
      </c>
      <c r="Q459" s="49">
        <v>46038</v>
      </c>
      <c r="R459" s="47"/>
      <c r="S459" s="51">
        <v>46027</v>
      </c>
      <c r="T459" s="47"/>
      <c r="U459" s="47"/>
      <c r="V459" s="47"/>
      <c r="W459" s="47"/>
    </row>
    <row r="460" spans="1:24" hidden="1">
      <c r="A460" s="46" t="s">
        <v>356</v>
      </c>
      <c r="B460" s="46" t="s">
        <v>458</v>
      </c>
      <c r="C460" s="47" t="s">
        <v>332</v>
      </c>
      <c r="D460" s="47" t="s">
        <v>332</v>
      </c>
      <c r="E460" s="47">
        <v>50115753</v>
      </c>
      <c r="F460" s="47" t="s">
        <v>334</v>
      </c>
      <c r="G460" s="46">
        <v>6000</v>
      </c>
      <c r="H460" s="47">
        <v>35.07</v>
      </c>
      <c r="I460" s="46">
        <f t="shared" si="53"/>
        <v>210420</v>
      </c>
      <c r="J460" s="46" t="s">
        <v>375</v>
      </c>
      <c r="K460" s="46"/>
      <c r="L460" s="46"/>
      <c r="M460" s="47">
        <v>25500231</v>
      </c>
      <c r="N460" s="48">
        <v>5500012892</v>
      </c>
      <c r="O460" s="49">
        <v>46008</v>
      </c>
      <c r="P460" s="50">
        <v>2</v>
      </c>
      <c r="Q460" s="49">
        <v>46031</v>
      </c>
      <c r="R460" s="47"/>
      <c r="S460" s="51">
        <v>46027</v>
      </c>
      <c r="T460" s="47"/>
      <c r="U460" s="47"/>
      <c r="V460" s="47"/>
      <c r="W460" s="47"/>
    </row>
    <row r="461" spans="1:24" hidden="1">
      <c r="A461" s="46" t="s">
        <v>356</v>
      </c>
      <c r="B461" s="46" t="s">
        <v>458</v>
      </c>
      <c r="C461" s="47" t="s">
        <v>332</v>
      </c>
      <c r="D461" s="47" t="s">
        <v>332</v>
      </c>
      <c r="E461" s="47">
        <v>50115753</v>
      </c>
      <c r="F461" s="47" t="s">
        <v>334</v>
      </c>
      <c r="G461" s="46">
        <v>6000</v>
      </c>
      <c r="H461" s="47">
        <v>35.07</v>
      </c>
      <c r="I461" s="46">
        <f t="shared" si="53"/>
        <v>210420</v>
      </c>
      <c r="J461" s="46" t="s">
        <v>375</v>
      </c>
      <c r="K461" s="46"/>
      <c r="L461" s="46"/>
      <c r="M461" s="47">
        <v>25500231</v>
      </c>
      <c r="N461" s="48">
        <v>5500012892</v>
      </c>
      <c r="O461" s="49">
        <v>46008</v>
      </c>
      <c r="P461" s="50">
        <v>3</v>
      </c>
      <c r="Q461" s="49">
        <v>46038</v>
      </c>
      <c r="R461" s="47"/>
      <c r="S461" s="51">
        <v>46027</v>
      </c>
      <c r="T461" s="47"/>
      <c r="U461" s="47"/>
      <c r="V461" s="47"/>
      <c r="W461" s="47"/>
    </row>
    <row r="462" spans="1:24" hidden="1">
      <c r="A462" s="46" t="s">
        <v>347</v>
      </c>
      <c r="B462" s="46" t="s">
        <v>455</v>
      </c>
      <c r="C462" s="47" t="s">
        <v>5</v>
      </c>
      <c r="D462" s="47" t="s">
        <v>5</v>
      </c>
      <c r="E462" s="47">
        <v>50101134</v>
      </c>
      <c r="F462" s="47" t="s">
        <v>27</v>
      </c>
      <c r="G462" s="46">
        <v>170000</v>
      </c>
      <c r="H462" s="47">
        <v>3.43</v>
      </c>
      <c r="I462" s="46">
        <f t="shared" si="53"/>
        <v>583100</v>
      </c>
      <c r="J462" s="46" t="s">
        <v>374</v>
      </c>
      <c r="K462" s="46">
        <v>170000</v>
      </c>
      <c r="L462" s="46" t="s">
        <v>482</v>
      </c>
      <c r="M462" s="47">
        <v>25501515</v>
      </c>
      <c r="N462" s="48">
        <v>4110074022</v>
      </c>
      <c r="O462" s="49">
        <v>46001</v>
      </c>
      <c r="P462" s="50">
        <v>3</v>
      </c>
      <c r="Q462" s="49">
        <v>46019</v>
      </c>
      <c r="R462" s="47" t="s">
        <v>495</v>
      </c>
      <c r="S462" s="52">
        <v>46028</v>
      </c>
      <c r="T462" s="47">
        <v>1</v>
      </c>
      <c r="U462" s="47">
        <v>1</v>
      </c>
      <c r="V462" s="47"/>
      <c r="W462" s="52">
        <f>S462+T462+U462</f>
        <v>46030</v>
      </c>
      <c r="X462" s="59"/>
    </row>
    <row r="463" spans="1:24" hidden="1">
      <c r="A463" s="46" t="s">
        <v>352</v>
      </c>
      <c r="B463" s="46" t="s">
        <v>456</v>
      </c>
      <c r="C463" s="47" t="s">
        <v>308</v>
      </c>
      <c r="D463" s="47" t="s">
        <v>309</v>
      </c>
      <c r="E463" s="47">
        <v>50102431</v>
      </c>
      <c r="F463" s="47" t="s">
        <v>310</v>
      </c>
      <c r="G463" s="46">
        <v>200000</v>
      </c>
      <c r="H463" s="47">
        <v>2.4500000000000002</v>
      </c>
      <c r="I463" s="46">
        <f t="shared" si="53"/>
        <v>490000.00000000006</v>
      </c>
      <c r="J463" s="46" t="s">
        <v>375</v>
      </c>
      <c r="K463" s="46"/>
      <c r="L463" s="46" t="s">
        <v>482</v>
      </c>
      <c r="M463" s="47">
        <v>25500235</v>
      </c>
      <c r="N463" s="48" t="s">
        <v>336</v>
      </c>
      <c r="O463" s="49">
        <v>46014</v>
      </c>
      <c r="P463" s="50">
        <v>1</v>
      </c>
      <c r="Q463" s="49">
        <v>46045</v>
      </c>
      <c r="R463" s="47"/>
      <c r="S463" s="51">
        <v>46027</v>
      </c>
      <c r="T463" s="47">
        <v>1</v>
      </c>
      <c r="U463" s="47">
        <v>1</v>
      </c>
      <c r="V463" s="47"/>
      <c r="W463" s="51">
        <f>S463+T463+U463</f>
        <v>46029</v>
      </c>
      <c r="X463" s="60"/>
    </row>
    <row r="464" spans="1:24" hidden="1">
      <c r="A464" s="46" t="s">
        <v>352</v>
      </c>
      <c r="B464" s="46" t="s">
        <v>456</v>
      </c>
      <c r="C464" s="47" t="s">
        <v>308</v>
      </c>
      <c r="D464" s="47" t="s">
        <v>309</v>
      </c>
      <c r="E464" s="47">
        <v>50081680</v>
      </c>
      <c r="F464" s="47" t="s">
        <v>254</v>
      </c>
      <c r="G464" s="46">
        <v>200000</v>
      </c>
      <c r="H464" s="47">
        <v>0.53</v>
      </c>
      <c r="I464" s="46">
        <f t="shared" si="53"/>
        <v>106000</v>
      </c>
      <c r="J464" s="46" t="s">
        <v>375</v>
      </c>
      <c r="K464" s="46"/>
      <c r="L464" s="46" t="s">
        <v>482</v>
      </c>
      <c r="M464" s="47">
        <v>25500235</v>
      </c>
      <c r="N464" s="48" t="s">
        <v>336</v>
      </c>
      <c r="O464" s="49">
        <v>46014</v>
      </c>
      <c r="P464" s="50">
        <v>2</v>
      </c>
      <c r="Q464" s="49">
        <v>46045</v>
      </c>
      <c r="R464" s="47"/>
      <c r="S464" s="51">
        <v>46027</v>
      </c>
      <c r="T464" s="47">
        <v>1</v>
      </c>
      <c r="U464" s="47">
        <v>1</v>
      </c>
      <c r="V464" s="47"/>
      <c r="W464" s="51">
        <f>S464+T464+U464</f>
        <v>46029</v>
      </c>
      <c r="X464" s="60"/>
    </row>
    <row r="465" spans="1:24" hidden="1">
      <c r="A465" s="46" t="s">
        <v>352</v>
      </c>
      <c r="B465" s="46" t="s">
        <v>456</v>
      </c>
      <c r="C465" s="47" t="s">
        <v>308</v>
      </c>
      <c r="D465" s="47" t="s">
        <v>309</v>
      </c>
      <c r="E465" s="47">
        <v>50102429</v>
      </c>
      <c r="F465" s="47" t="s">
        <v>311</v>
      </c>
      <c r="G465" s="46">
        <v>200000</v>
      </c>
      <c r="H465" s="47">
        <v>0.74</v>
      </c>
      <c r="I465" s="46">
        <f t="shared" si="53"/>
        <v>148000</v>
      </c>
      <c r="J465" s="46" t="s">
        <v>375</v>
      </c>
      <c r="K465" s="46"/>
      <c r="L465" s="46" t="s">
        <v>482</v>
      </c>
      <c r="M465" s="47">
        <v>25500235</v>
      </c>
      <c r="N465" s="48" t="s">
        <v>336</v>
      </c>
      <c r="O465" s="49">
        <v>46014</v>
      </c>
      <c r="P465" s="50">
        <v>3</v>
      </c>
      <c r="Q465" s="49">
        <v>46045</v>
      </c>
      <c r="R465" s="47"/>
      <c r="S465" s="51">
        <v>46027</v>
      </c>
      <c r="T465" s="47">
        <v>1</v>
      </c>
      <c r="U465" s="47">
        <v>1</v>
      </c>
      <c r="V465" s="47"/>
      <c r="W465" s="51">
        <f>S465+T465+U465</f>
        <v>46029</v>
      </c>
      <c r="X465" s="60"/>
    </row>
    <row r="466" spans="1:24" hidden="1">
      <c r="A466" s="46" t="s">
        <v>357</v>
      </c>
      <c r="B466" s="46" t="s">
        <v>458</v>
      </c>
      <c r="C466" s="47" t="s">
        <v>337</v>
      </c>
      <c r="D466" s="47" t="s">
        <v>337</v>
      </c>
      <c r="E466" s="47">
        <v>50115569</v>
      </c>
      <c r="F466" s="47" t="s">
        <v>338</v>
      </c>
      <c r="G466" s="46">
        <f>990000*2</f>
        <v>1980000</v>
      </c>
      <c r="H466" s="47">
        <v>0.98499999999999999</v>
      </c>
      <c r="I466" s="46">
        <f t="shared" si="53"/>
        <v>1950300</v>
      </c>
      <c r="J466" s="46" t="s">
        <v>375</v>
      </c>
      <c r="K466" s="46"/>
      <c r="L466" s="46" t="s">
        <v>482</v>
      </c>
      <c r="M466" s="47"/>
      <c r="N466" s="48"/>
      <c r="O466" s="49"/>
      <c r="P466" s="50"/>
      <c r="Q466" s="49"/>
      <c r="R466" s="47"/>
      <c r="S466" s="47"/>
      <c r="T466" s="47"/>
      <c r="U466" s="47"/>
      <c r="V466" s="47"/>
      <c r="W466" s="47"/>
    </row>
    <row r="467" spans="1:24" hidden="1">
      <c r="A467" s="46" t="s">
        <v>357</v>
      </c>
      <c r="B467" s="46" t="s">
        <v>458</v>
      </c>
      <c r="C467" s="47" t="s">
        <v>337</v>
      </c>
      <c r="D467" s="47" t="s">
        <v>337</v>
      </c>
      <c r="E467" s="47">
        <v>50115569</v>
      </c>
      <c r="F467" s="47" t="s">
        <v>338</v>
      </c>
      <c r="G467" s="46">
        <f>990000*15</f>
        <v>14850000</v>
      </c>
      <c r="H467" s="47">
        <v>0.98499999999999999</v>
      </c>
      <c r="I467" s="46">
        <f t="shared" si="53"/>
        <v>14627250</v>
      </c>
      <c r="J467" s="46" t="s">
        <v>375</v>
      </c>
      <c r="K467" s="46"/>
      <c r="L467" s="46" t="s">
        <v>482</v>
      </c>
      <c r="M467" s="47"/>
      <c r="N467" s="48"/>
      <c r="O467" s="49"/>
      <c r="P467" s="50"/>
      <c r="Q467" s="49"/>
      <c r="R467" s="47"/>
      <c r="S467" s="47"/>
      <c r="T467" s="47"/>
      <c r="U467" s="47"/>
      <c r="V467" s="47"/>
      <c r="W467" s="47"/>
    </row>
    <row r="468" spans="1:24" hidden="1">
      <c r="A468" s="46" t="s">
        <v>357</v>
      </c>
      <c r="B468" s="46" t="s">
        <v>458</v>
      </c>
      <c r="C468" s="47" t="s">
        <v>337</v>
      </c>
      <c r="D468" s="47" t="s">
        <v>337</v>
      </c>
      <c r="E468" s="47">
        <v>50115568</v>
      </c>
      <c r="F468" s="47" t="s">
        <v>339</v>
      </c>
      <c r="G468" s="46">
        <f>990000*5</f>
        <v>4950000</v>
      </c>
      <c r="H468" s="47">
        <v>0.98499999999999999</v>
      </c>
      <c r="I468" s="46">
        <f t="shared" si="53"/>
        <v>4875750</v>
      </c>
      <c r="J468" s="46" t="s">
        <v>406</v>
      </c>
      <c r="K468" s="46"/>
      <c r="L468" s="46"/>
      <c r="M468" s="47"/>
      <c r="N468" s="48"/>
      <c r="O468" s="49"/>
      <c r="P468" s="50"/>
      <c r="Q468" s="49"/>
      <c r="R468" s="47"/>
      <c r="S468" s="47"/>
      <c r="T468" s="47"/>
      <c r="U468" s="47"/>
      <c r="V468" s="47"/>
      <c r="W468" s="47"/>
    </row>
    <row r="469" spans="1:24" hidden="1">
      <c r="A469" s="46" t="s">
        <v>350</v>
      </c>
      <c r="B469" s="46" t="s">
        <v>456</v>
      </c>
      <c r="C469" s="47" t="s">
        <v>358</v>
      </c>
      <c r="D469" s="47" t="str">
        <f t="shared" ref="D469:D501" si="54">C469</f>
        <v>Rite Labs</v>
      </c>
      <c r="E469" s="47">
        <v>50105834</v>
      </c>
      <c r="F469" s="47" t="s">
        <v>252</v>
      </c>
      <c r="G469" s="46">
        <v>10584</v>
      </c>
      <c r="H469" s="50">
        <v>50</v>
      </c>
      <c r="I469" s="46">
        <f t="shared" si="53"/>
        <v>529200</v>
      </c>
      <c r="J469" s="46" t="s">
        <v>374</v>
      </c>
      <c r="K469" s="46"/>
      <c r="L469" s="46"/>
      <c r="M469" s="47"/>
      <c r="N469" s="47"/>
      <c r="O469" s="47"/>
      <c r="P469" s="47"/>
      <c r="Q469" s="49"/>
      <c r="R469" s="47"/>
      <c r="S469" s="52">
        <v>46032</v>
      </c>
      <c r="T469" s="47"/>
      <c r="U469" s="47"/>
      <c r="V469" s="47"/>
      <c r="W469" s="47"/>
    </row>
    <row r="470" spans="1:24" hidden="1">
      <c r="A470" s="47" t="s">
        <v>352</v>
      </c>
      <c r="B470" s="46" t="s">
        <v>456</v>
      </c>
      <c r="C470" s="47" t="s">
        <v>204</v>
      </c>
      <c r="D470" s="47" t="str">
        <f t="shared" si="54"/>
        <v>VIVIMED LABS LIMITED-HYD</v>
      </c>
      <c r="E470" s="47">
        <v>50102431</v>
      </c>
      <c r="F470" s="47" t="s">
        <v>310</v>
      </c>
      <c r="G470" s="46">
        <v>200000</v>
      </c>
      <c r="H470" s="50">
        <v>2.4500000000000002</v>
      </c>
      <c r="I470" s="46">
        <f t="shared" si="53"/>
        <v>490000.00000000006</v>
      </c>
      <c r="J470" s="47" t="s">
        <v>406</v>
      </c>
      <c r="K470" s="47"/>
      <c r="L470" s="47"/>
      <c r="M470" s="47"/>
      <c r="N470" s="47"/>
      <c r="O470" s="47"/>
      <c r="P470" s="47"/>
      <c r="Q470" s="49"/>
      <c r="R470" s="47"/>
      <c r="S470" s="47"/>
      <c r="T470" s="47"/>
      <c r="U470" s="47"/>
      <c r="V470" s="47"/>
      <c r="W470" s="51">
        <f>S470+T470+U470</f>
        <v>0</v>
      </c>
      <c r="X470" s="60"/>
    </row>
    <row r="471" spans="1:24" hidden="1">
      <c r="A471" s="47" t="s">
        <v>352</v>
      </c>
      <c r="B471" s="46" t="s">
        <v>456</v>
      </c>
      <c r="C471" s="47" t="s">
        <v>204</v>
      </c>
      <c r="D471" s="47" t="str">
        <f t="shared" si="54"/>
        <v>VIVIMED LABS LIMITED-HYD</v>
      </c>
      <c r="E471" s="47">
        <v>50081680</v>
      </c>
      <c r="F471" s="47" t="s">
        <v>254</v>
      </c>
      <c r="G471" s="46">
        <v>200000</v>
      </c>
      <c r="H471" s="50">
        <v>0.53</v>
      </c>
      <c r="I471" s="46">
        <f t="shared" si="53"/>
        <v>106000</v>
      </c>
      <c r="J471" s="47" t="s">
        <v>406</v>
      </c>
      <c r="K471" s="47"/>
      <c r="L471" s="47"/>
      <c r="M471" s="47"/>
      <c r="N471" s="47"/>
      <c r="O471" s="47"/>
      <c r="P471" s="47"/>
      <c r="Q471" s="49"/>
      <c r="R471" s="47"/>
      <c r="S471" s="47"/>
      <c r="T471" s="47"/>
      <c r="U471" s="47"/>
      <c r="V471" s="47"/>
      <c r="W471" s="51">
        <f>S471+T471+U471</f>
        <v>0</v>
      </c>
      <c r="X471" s="60"/>
    </row>
    <row r="472" spans="1:24" hidden="1">
      <c r="A472" s="47" t="s">
        <v>352</v>
      </c>
      <c r="B472" s="46" t="s">
        <v>456</v>
      </c>
      <c r="C472" s="47" t="s">
        <v>204</v>
      </c>
      <c r="D472" s="47" t="str">
        <f t="shared" si="54"/>
        <v>VIVIMED LABS LIMITED-HYD</v>
      </c>
      <c r="E472" s="47">
        <v>50102429</v>
      </c>
      <c r="F472" s="47" t="s">
        <v>311</v>
      </c>
      <c r="G472" s="46">
        <v>200000</v>
      </c>
      <c r="H472" s="50">
        <v>0.74</v>
      </c>
      <c r="I472" s="46">
        <f t="shared" si="53"/>
        <v>148000</v>
      </c>
      <c r="J472" s="47" t="s">
        <v>406</v>
      </c>
      <c r="K472" s="47"/>
      <c r="L472" s="47"/>
      <c r="M472" s="47"/>
      <c r="N472" s="47"/>
      <c r="O472" s="47"/>
      <c r="P472" s="47"/>
      <c r="Q472" s="49"/>
      <c r="R472" s="47"/>
      <c r="S472" s="47"/>
      <c r="T472" s="47"/>
      <c r="U472" s="47"/>
      <c r="V472" s="47"/>
      <c r="W472" s="51">
        <f>S472+T472+U472</f>
        <v>0</v>
      </c>
      <c r="X472" s="60"/>
    </row>
    <row r="473" spans="1:24" hidden="1">
      <c r="A473" s="47" t="s">
        <v>351</v>
      </c>
      <c r="B473" s="46" t="s">
        <v>456</v>
      </c>
      <c r="C473" s="47" t="s">
        <v>359</v>
      </c>
      <c r="D473" s="47" t="str">
        <f t="shared" si="54"/>
        <v>Devbhoomi Pharma</v>
      </c>
      <c r="E473" s="47">
        <v>50081866</v>
      </c>
      <c r="F473" s="47" t="s">
        <v>153</v>
      </c>
      <c r="G473" s="46">
        <v>300000</v>
      </c>
      <c r="H473" s="50">
        <v>1.51</v>
      </c>
      <c r="I473" s="46">
        <f t="shared" si="53"/>
        <v>453000</v>
      </c>
      <c r="J473" s="56"/>
      <c r="K473" s="56"/>
      <c r="L473" s="47"/>
      <c r="M473" s="47"/>
      <c r="N473" s="47"/>
      <c r="O473" s="47"/>
      <c r="P473" s="47"/>
      <c r="Q473" s="49"/>
      <c r="R473" s="47"/>
      <c r="S473" s="47"/>
      <c r="T473" s="47">
        <v>1</v>
      </c>
      <c r="U473" s="47">
        <v>1</v>
      </c>
      <c r="V473" s="47">
        <v>3</v>
      </c>
      <c r="W473" s="51">
        <f t="shared" ref="W473:W493" si="55">S473+T473+U473+V473</f>
        <v>5</v>
      </c>
      <c r="X473" s="60"/>
    </row>
    <row r="474" spans="1:24" hidden="1">
      <c r="A474" s="47" t="s">
        <v>351</v>
      </c>
      <c r="B474" s="46" t="s">
        <v>456</v>
      </c>
      <c r="C474" s="47" t="s">
        <v>359</v>
      </c>
      <c r="D474" s="47" t="str">
        <f t="shared" si="54"/>
        <v>Devbhoomi Pharma</v>
      </c>
      <c r="E474" s="47">
        <v>50082011</v>
      </c>
      <c r="F474" s="47" t="s">
        <v>154</v>
      </c>
      <c r="G474" s="46">
        <v>300000</v>
      </c>
      <c r="H474" s="50">
        <v>0.55000000000000004</v>
      </c>
      <c r="I474" s="46">
        <f t="shared" si="53"/>
        <v>165000</v>
      </c>
      <c r="J474" s="56"/>
      <c r="K474" s="56"/>
      <c r="L474" s="47"/>
      <c r="M474" s="47"/>
      <c r="N474" s="47"/>
      <c r="O474" s="47"/>
      <c r="P474" s="47"/>
      <c r="Q474" s="49"/>
      <c r="R474" s="47"/>
      <c r="S474" s="47"/>
      <c r="T474" s="47">
        <v>1</v>
      </c>
      <c r="U474" s="47">
        <v>1</v>
      </c>
      <c r="V474" s="47">
        <v>3</v>
      </c>
      <c r="W474" s="51">
        <f t="shared" si="55"/>
        <v>5</v>
      </c>
      <c r="X474" s="60"/>
    </row>
    <row r="475" spans="1:24" hidden="1">
      <c r="A475" s="47" t="s">
        <v>351</v>
      </c>
      <c r="B475" s="46" t="s">
        <v>456</v>
      </c>
      <c r="C475" s="47" t="s">
        <v>359</v>
      </c>
      <c r="D475" s="47" t="str">
        <f t="shared" si="54"/>
        <v>Devbhoomi Pharma</v>
      </c>
      <c r="E475" s="47">
        <v>50082133</v>
      </c>
      <c r="F475" s="47" t="s">
        <v>299</v>
      </c>
      <c r="G475" s="46">
        <v>300000</v>
      </c>
      <c r="H475" s="50">
        <v>0.42</v>
      </c>
      <c r="I475" s="46">
        <f t="shared" si="53"/>
        <v>126000</v>
      </c>
      <c r="J475" s="56"/>
      <c r="K475" s="56"/>
      <c r="L475" s="47"/>
      <c r="M475" s="47"/>
      <c r="N475" s="47"/>
      <c r="O475" s="47"/>
      <c r="P475" s="47"/>
      <c r="Q475" s="49"/>
      <c r="R475" s="47"/>
      <c r="S475" s="47"/>
      <c r="T475" s="47">
        <v>1</v>
      </c>
      <c r="U475" s="47">
        <v>1</v>
      </c>
      <c r="V475" s="47">
        <v>3</v>
      </c>
      <c r="W475" s="51">
        <f t="shared" si="55"/>
        <v>5</v>
      </c>
      <c r="X475" s="60"/>
    </row>
    <row r="476" spans="1:24" hidden="1">
      <c r="A476" s="47" t="s">
        <v>351</v>
      </c>
      <c r="B476" s="46" t="s">
        <v>456</v>
      </c>
      <c r="C476" s="47" t="s">
        <v>360</v>
      </c>
      <c r="D476" s="47" t="str">
        <f t="shared" si="54"/>
        <v>APPASAMY OCULAR DEVICES (P) LTD</v>
      </c>
      <c r="E476" s="47">
        <v>50111525</v>
      </c>
      <c r="F476" s="47" t="s">
        <v>211</v>
      </c>
      <c r="G476" s="46">
        <v>200000</v>
      </c>
      <c r="H476" s="50">
        <v>1.5</v>
      </c>
      <c r="I476" s="46">
        <f t="shared" si="53"/>
        <v>300000</v>
      </c>
      <c r="J476" s="46" t="s">
        <v>374</v>
      </c>
      <c r="K476" s="46"/>
      <c r="L476" s="46" t="s">
        <v>482</v>
      </c>
      <c r="M476" s="47" t="s">
        <v>402</v>
      </c>
      <c r="N476" s="47"/>
      <c r="O476" s="47"/>
      <c r="P476" s="47"/>
      <c r="Q476" s="49"/>
      <c r="R476" s="47" t="s">
        <v>462</v>
      </c>
      <c r="S476" s="51">
        <v>46023</v>
      </c>
      <c r="T476" s="47">
        <v>1</v>
      </c>
      <c r="U476" s="47">
        <v>1</v>
      </c>
      <c r="V476" s="47">
        <v>3</v>
      </c>
      <c r="W476" s="51">
        <f t="shared" si="55"/>
        <v>46028</v>
      </c>
      <c r="X476" s="60"/>
    </row>
    <row r="477" spans="1:24" hidden="1">
      <c r="A477" s="47" t="s">
        <v>351</v>
      </c>
      <c r="B477" s="46" t="s">
        <v>456</v>
      </c>
      <c r="C477" s="47" t="s">
        <v>360</v>
      </c>
      <c r="D477" s="47" t="str">
        <f t="shared" si="54"/>
        <v>APPASAMY OCULAR DEVICES (P) LTD</v>
      </c>
      <c r="E477" s="47">
        <v>50082373</v>
      </c>
      <c r="F477" s="47" t="s">
        <v>213</v>
      </c>
      <c r="G477" s="46">
        <v>200000</v>
      </c>
      <c r="H477" s="50">
        <v>0.5</v>
      </c>
      <c r="I477" s="46">
        <f t="shared" si="53"/>
        <v>100000</v>
      </c>
      <c r="J477" s="46" t="s">
        <v>374</v>
      </c>
      <c r="K477" s="46"/>
      <c r="L477" s="46" t="s">
        <v>482</v>
      </c>
      <c r="M477" s="47" t="s">
        <v>402</v>
      </c>
      <c r="N477" s="47"/>
      <c r="O477" s="47"/>
      <c r="P477" s="47"/>
      <c r="Q477" s="49"/>
      <c r="R477" s="47" t="s">
        <v>463</v>
      </c>
      <c r="S477" s="51">
        <v>46023</v>
      </c>
      <c r="T477" s="47">
        <v>1</v>
      </c>
      <c r="U477" s="47">
        <v>1</v>
      </c>
      <c r="V477" s="47">
        <v>3</v>
      </c>
      <c r="W477" s="51">
        <f t="shared" si="55"/>
        <v>46028</v>
      </c>
      <c r="X477" s="60"/>
    </row>
    <row r="478" spans="1:24" hidden="1">
      <c r="A478" s="47" t="s">
        <v>351</v>
      </c>
      <c r="B478" s="46" t="s">
        <v>456</v>
      </c>
      <c r="C478" s="47" t="s">
        <v>360</v>
      </c>
      <c r="D478" s="47" t="str">
        <f t="shared" si="54"/>
        <v>APPASAMY OCULAR DEVICES (P) LTD</v>
      </c>
      <c r="E478" s="47">
        <v>50111939</v>
      </c>
      <c r="F478" s="47" t="s">
        <v>39</v>
      </c>
      <c r="G478" s="46">
        <v>200000</v>
      </c>
      <c r="H478" s="50">
        <v>0.4</v>
      </c>
      <c r="I478" s="46">
        <f t="shared" si="53"/>
        <v>80000</v>
      </c>
      <c r="J478" s="46" t="s">
        <v>374</v>
      </c>
      <c r="K478" s="46"/>
      <c r="L478" s="46" t="s">
        <v>482</v>
      </c>
      <c r="M478" s="47" t="s">
        <v>402</v>
      </c>
      <c r="N478" s="47"/>
      <c r="O478" s="47"/>
      <c r="P478" s="47"/>
      <c r="Q478" s="49"/>
      <c r="R478" s="47" t="s">
        <v>463</v>
      </c>
      <c r="S478" s="51">
        <v>46023</v>
      </c>
      <c r="T478" s="47">
        <v>1</v>
      </c>
      <c r="U478" s="47">
        <v>1</v>
      </c>
      <c r="V478" s="47">
        <v>3</v>
      </c>
      <c r="W478" s="51">
        <f t="shared" si="55"/>
        <v>46028</v>
      </c>
      <c r="X478" s="60"/>
    </row>
    <row r="479" spans="1:24" hidden="1">
      <c r="A479" s="47" t="s">
        <v>351</v>
      </c>
      <c r="B479" s="46" t="s">
        <v>456</v>
      </c>
      <c r="C479" s="47" t="s">
        <v>360</v>
      </c>
      <c r="D479" s="47" t="str">
        <f t="shared" si="54"/>
        <v>APPASAMY OCULAR DEVICES (P) LTD</v>
      </c>
      <c r="E479" s="53">
        <v>50110683</v>
      </c>
      <c r="F479" s="47" t="s">
        <v>390</v>
      </c>
      <c r="G479" s="46">
        <v>300000</v>
      </c>
      <c r="H479" s="50">
        <v>1.53</v>
      </c>
      <c r="I479" s="46">
        <f t="shared" si="53"/>
        <v>459000</v>
      </c>
      <c r="J479" s="46" t="s">
        <v>374</v>
      </c>
      <c r="K479" s="46"/>
      <c r="L479" s="46" t="s">
        <v>482</v>
      </c>
      <c r="M479" s="47" t="s">
        <v>402</v>
      </c>
      <c r="N479" s="47"/>
      <c r="O479" s="47"/>
      <c r="P479" s="47"/>
      <c r="Q479" s="49"/>
      <c r="R479" s="47" t="s">
        <v>462</v>
      </c>
      <c r="S479" s="51">
        <v>46023</v>
      </c>
      <c r="T479" s="47">
        <v>1</v>
      </c>
      <c r="U479" s="47">
        <v>1</v>
      </c>
      <c r="V479" s="47">
        <v>3</v>
      </c>
      <c r="W479" s="51">
        <f t="shared" si="55"/>
        <v>46028</v>
      </c>
      <c r="X479" s="60"/>
    </row>
    <row r="480" spans="1:24" hidden="1">
      <c r="A480" s="47" t="s">
        <v>351</v>
      </c>
      <c r="B480" s="46" t="s">
        <v>456</v>
      </c>
      <c r="C480" s="47" t="s">
        <v>360</v>
      </c>
      <c r="D480" s="47" t="str">
        <f t="shared" si="54"/>
        <v>APPASAMY OCULAR DEVICES (P) LTD</v>
      </c>
      <c r="E480" s="47">
        <v>50081930</v>
      </c>
      <c r="F480" s="47" t="s">
        <v>253</v>
      </c>
      <c r="G480" s="46">
        <v>300000</v>
      </c>
      <c r="H480" s="50">
        <v>0.5</v>
      </c>
      <c r="I480" s="46">
        <f t="shared" si="53"/>
        <v>150000</v>
      </c>
      <c r="J480" s="46" t="s">
        <v>374</v>
      </c>
      <c r="K480" s="46"/>
      <c r="L480" s="46" t="s">
        <v>482</v>
      </c>
      <c r="M480" s="47" t="s">
        <v>402</v>
      </c>
      <c r="N480" s="47"/>
      <c r="O480" s="47"/>
      <c r="P480" s="47"/>
      <c r="Q480" s="49"/>
      <c r="R480" s="47" t="s">
        <v>463</v>
      </c>
      <c r="S480" s="51">
        <v>46023</v>
      </c>
      <c r="T480" s="47">
        <v>1</v>
      </c>
      <c r="U480" s="47">
        <v>1</v>
      </c>
      <c r="V480" s="47">
        <v>3</v>
      </c>
      <c r="W480" s="51">
        <f t="shared" si="55"/>
        <v>46028</v>
      </c>
      <c r="X480" s="60"/>
    </row>
    <row r="481" spans="1:24" hidden="1">
      <c r="A481" s="47" t="s">
        <v>351</v>
      </c>
      <c r="B481" s="46" t="s">
        <v>456</v>
      </c>
      <c r="C481" s="47" t="s">
        <v>360</v>
      </c>
      <c r="D481" s="47" t="str">
        <f t="shared" si="54"/>
        <v>APPASAMY OCULAR DEVICES (P) LTD</v>
      </c>
      <c r="E481" s="47">
        <v>50082077</v>
      </c>
      <c r="F481" s="47" t="s">
        <v>59</v>
      </c>
      <c r="G481" s="46">
        <v>300000</v>
      </c>
      <c r="H481" s="50">
        <v>0.4</v>
      </c>
      <c r="I481" s="46">
        <f t="shared" si="53"/>
        <v>120000</v>
      </c>
      <c r="J481" s="46" t="s">
        <v>374</v>
      </c>
      <c r="K481" s="46"/>
      <c r="L481" s="46" t="s">
        <v>482</v>
      </c>
      <c r="M481" s="47" t="s">
        <v>402</v>
      </c>
      <c r="N481" s="47"/>
      <c r="O481" s="47"/>
      <c r="P481" s="47"/>
      <c r="Q481" s="49"/>
      <c r="R481" s="47" t="s">
        <v>463</v>
      </c>
      <c r="S481" s="51">
        <v>46023</v>
      </c>
      <c r="T481" s="47">
        <v>1</v>
      </c>
      <c r="U481" s="47">
        <v>1</v>
      </c>
      <c r="V481" s="47">
        <v>3</v>
      </c>
      <c r="W481" s="51">
        <f t="shared" si="55"/>
        <v>46028</v>
      </c>
      <c r="X481" s="60"/>
    </row>
    <row r="482" spans="1:24" hidden="1">
      <c r="A482" s="47" t="s">
        <v>351</v>
      </c>
      <c r="B482" s="46" t="s">
        <v>456</v>
      </c>
      <c r="C482" s="47" t="s">
        <v>360</v>
      </c>
      <c r="D482" s="47" t="str">
        <f t="shared" si="54"/>
        <v>APPASAMY OCULAR DEVICES (P) LTD</v>
      </c>
      <c r="E482" s="47">
        <v>50111527</v>
      </c>
      <c r="F482" s="47" t="s">
        <v>465</v>
      </c>
      <c r="G482" s="46">
        <v>100000</v>
      </c>
      <c r="H482" s="50">
        <v>1.5</v>
      </c>
      <c r="I482" s="46">
        <f t="shared" si="53"/>
        <v>150000</v>
      </c>
      <c r="J482" s="46" t="s">
        <v>374</v>
      </c>
      <c r="K482" s="46"/>
      <c r="L482" s="46" t="s">
        <v>482</v>
      </c>
      <c r="M482" s="47" t="s">
        <v>402</v>
      </c>
      <c r="N482" s="47"/>
      <c r="O482" s="47"/>
      <c r="P482" s="47"/>
      <c r="Q482" s="49"/>
      <c r="R482" s="47" t="s">
        <v>462</v>
      </c>
      <c r="S482" s="51">
        <v>46023</v>
      </c>
      <c r="T482" s="47">
        <v>1</v>
      </c>
      <c r="U482" s="47">
        <v>1</v>
      </c>
      <c r="V482" s="47">
        <v>3</v>
      </c>
      <c r="W482" s="51">
        <f t="shared" si="55"/>
        <v>46028</v>
      </c>
      <c r="X482" s="60"/>
    </row>
    <row r="483" spans="1:24" hidden="1">
      <c r="A483" s="47" t="s">
        <v>351</v>
      </c>
      <c r="B483" s="46" t="s">
        <v>456</v>
      </c>
      <c r="C483" s="47" t="s">
        <v>360</v>
      </c>
      <c r="D483" s="47" t="str">
        <f t="shared" si="54"/>
        <v>APPASAMY OCULAR DEVICES (P) LTD</v>
      </c>
      <c r="E483" s="47">
        <v>50081808</v>
      </c>
      <c r="F483" s="47" t="s">
        <v>23</v>
      </c>
      <c r="G483" s="46">
        <v>100000</v>
      </c>
      <c r="H483" s="50">
        <v>0.5</v>
      </c>
      <c r="I483" s="46">
        <f t="shared" si="53"/>
        <v>50000</v>
      </c>
      <c r="J483" s="46" t="s">
        <v>374</v>
      </c>
      <c r="K483" s="46"/>
      <c r="L483" s="46" t="s">
        <v>482</v>
      </c>
      <c r="M483" s="47" t="s">
        <v>402</v>
      </c>
      <c r="N483" s="47"/>
      <c r="O483" s="47"/>
      <c r="P483" s="47"/>
      <c r="Q483" s="49"/>
      <c r="R483" s="47" t="s">
        <v>463</v>
      </c>
      <c r="S483" s="51">
        <v>46023</v>
      </c>
      <c r="T483" s="47">
        <v>1</v>
      </c>
      <c r="U483" s="47">
        <v>1</v>
      </c>
      <c r="V483" s="47">
        <v>3</v>
      </c>
      <c r="W483" s="51">
        <f t="shared" si="55"/>
        <v>46028</v>
      </c>
      <c r="X483" s="60"/>
    </row>
    <row r="484" spans="1:24" hidden="1">
      <c r="A484" s="47" t="s">
        <v>351</v>
      </c>
      <c r="B484" s="46" t="s">
        <v>456</v>
      </c>
      <c r="C484" s="47" t="s">
        <v>360</v>
      </c>
      <c r="D484" s="47" t="str">
        <f t="shared" si="54"/>
        <v>APPASAMY OCULAR DEVICES (P) LTD</v>
      </c>
      <c r="E484" s="47">
        <v>50111939</v>
      </c>
      <c r="F484" s="47" t="s">
        <v>39</v>
      </c>
      <c r="G484" s="46">
        <v>100000</v>
      </c>
      <c r="H484" s="50">
        <v>0.4</v>
      </c>
      <c r="I484" s="46">
        <f t="shared" si="53"/>
        <v>40000</v>
      </c>
      <c r="J484" s="46" t="s">
        <v>374</v>
      </c>
      <c r="K484" s="46"/>
      <c r="L484" s="46" t="s">
        <v>482</v>
      </c>
      <c r="M484" s="47" t="s">
        <v>402</v>
      </c>
      <c r="N484" s="47"/>
      <c r="O484" s="47"/>
      <c r="P484" s="47"/>
      <c r="Q484" s="49"/>
      <c r="R484" s="47" t="s">
        <v>463</v>
      </c>
      <c r="S484" s="51">
        <v>46023</v>
      </c>
      <c r="T484" s="47">
        <v>1</v>
      </c>
      <c r="U484" s="47">
        <v>1</v>
      </c>
      <c r="V484" s="47">
        <v>3</v>
      </c>
      <c r="W484" s="51">
        <f t="shared" si="55"/>
        <v>46028</v>
      </c>
      <c r="X484" s="60"/>
    </row>
    <row r="485" spans="1:24" hidden="1">
      <c r="A485" s="47" t="s">
        <v>351</v>
      </c>
      <c r="B485" s="46" t="s">
        <v>456</v>
      </c>
      <c r="C485" s="47" t="s">
        <v>360</v>
      </c>
      <c r="D485" s="47" t="str">
        <f t="shared" si="54"/>
        <v>APPASAMY OCULAR DEVICES (P) LTD</v>
      </c>
      <c r="E485" s="47">
        <v>50109735</v>
      </c>
      <c r="F485" s="47" t="s">
        <v>464</v>
      </c>
      <c r="G485" s="46">
        <v>200000</v>
      </c>
      <c r="H485" s="50">
        <v>1.5</v>
      </c>
      <c r="I485" s="46">
        <f t="shared" si="53"/>
        <v>300000</v>
      </c>
      <c r="J485" s="46" t="s">
        <v>374</v>
      </c>
      <c r="K485" s="46"/>
      <c r="L485" s="46" t="s">
        <v>482</v>
      </c>
      <c r="M485" s="47" t="s">
        <v>402</v>
      </c>
      <c r="N485" s="47"/>
      <c r="O485" s="47"/>
      <c r="P485" s="47"/>
      <c r="Q485" s="49"/>
      <c r="R485" s="47" t="s">
        <v>462</v>
      </c>
      <c r="S485" s="51">
        <v>46023</v>
      </c>
      <c r="T485" s="47">
        <v>1</v>
      </c>
      <c r="U485" s="47">
        <v>1</v>
      </c>
      <c r="V485" s="47">
        <v>3</v>
      </c>
      <c r="W485" s="51">
        <f t="shared" si="55"/>
        <v>46028</v>
      </c>
      <c r="X485" s="60"/>
    </row>
    <row r="486" spans="1:24" hidden="1">
      <c r="A486" s="47" t="s">
        <v>351</v>
      </c>
      <c r="B486" s="46" t="s">
        <v>456</v>
      </c>
      <c r="C486" s="47" t="s">
        <v>360</v>
      </c>
      <c r="D486" s="47" t="str">
        <f t="shared" si="54"/>
        <v>APPASAMY OCULAR DEVICES (P) LTD</v>
      </c>
      <c r="E486" s="47">
        <v>50081808</v>
      </c>
      <c r="F486" s="47" t="s">
        <v>23</v>
      </c>
      <c r="G486" s="46">
        <v>200000</v>
      </c>
      <c r="H486" s="50">
        <v>0.5</v>
      </c>
      <c r="I486" s="46">
        <f t="shared" si="53"/>
        <v>100000</v>
      </c>
      <c r="J486" s="46" t="s">
        <v>374</v>
      </c>
      <c r="K486" s="46"/>
      <c r="L486" s="46" t="s">
        <v>482</v>
      </c>
      <c r="M486" s="47" t="s">
        <v>402</v>
      </c>
      <c r="N486" s="47"/>
      <c r="O486" s="47"/>
      <c r="P486" s="47"/>
      <c r="Q486" s="49"/>
      <c r="R486" s="47" t="s">
        <v>463</v>
      </c>
      <c r="S486" s="51">
        <v>46023</v>
      </c>
      <c r="T486" s="47">
        <v>1</v>
      </c>
      <c r="U486" s="47">
        <v>1</v>
      </c>
      <c r="V486" s="47">
        <v>3</v>
      </c>
      <c r="W486" s="51">
        <f t="shared" si="55"/>
        <v>46028</v>
      </c>
      <c r="X486" s="60"/>
    </row>
    <row r="487" spans="1:24" hidden="1">
      <c r="A487" s="47" t="s">
        <v>351</v>
      </c>
      <c r="B487" s="46" t="s">
        <v>456</v>
      </c>
      <c r="C487" s="47" t="s">
        <v>360</v>
      </c>
      <c r="D487" s="47" t="str">
        <f t="shared" si="54"/>
        <v>APPASAMY OCULAR DEVICES (P) LTD</v>
      </c>
      <c r="E487" s="47">
        <v>50101632</v>
      </c>
      <c r="F487" s="47" t="s">
        <v>365</v>
      </c>
      <c r="G487" s="46">
        <v>200000</v>
      </c>
      <c r="H487" s="50">
        <v>0.38</v>
      </c>
      <c r="I487" s="46">
        <f t="shared" si="53"/>
        <v>76000</v>
      </c>
      <c r="J487" s="46" t="s">
        <v>374</v>
      </c>
      <c r="K487" s="46"/>
      <c r="L487" s="46" t="s">
        <v>482</v>
      </c>
      <c r="M487" s="47" t="s">
        <v>402</v>
      </c>
      <c r="N487" s="47"/>
      <c r="O487" s="47"/>
      <c r="P487" s="47"/>
      <c r="Q487" s="49"/>
      <c r="R487" s="47" t="s">
        <v>463</v>
      </c>
      <c r="S487" s="51">
        <v>46023</v>
      </c>
      <c r="T487" s="47">
        <v>1</v>
      </c>
      <c r="U487" s="47">
        <v>1</v>
      </c>
      <c r="V487" s="47">
        <v>3</v>
      </c>
      <c r="W487" s="51">
        <f t="shared" si="55"/>
        <v>46028</v>
      </c>
      <c r="X487" s="60"/>
    </row>
    <row r="488" spans="1:24" hidden="1">
      <c r="A488" s="47" t="s">
        <v>351</v>
      </c>
      <c r="B488" s="46" t="s">
        <v>456</v>
      </c>
      <c r="C488" s="47" t="s">
        <v>360</v>
      </c>
      <c r="D488" s="47" t="str">
        <f t="shared" si="54"/>
        <v>APPASAMY OCULAR DEVICES (P) LTD</v>
      </c>
      <c r="E488" s="47">
        <v>50109735</v>
      </c>
      <c r="F488" s="47" t="s">
        <v>464</v>
      </c>
      <c r="G488" s="46">
        <v>300000</v>
      </c>
      <c r="H488" s="50">
        <v>1.5</v>
      </c>
      <c r="I488" s="46">
        <f t="shared" si="53"/>
        <v>450000</v>
      </c>
      <c r="J488" s="46" t="s">
        <v>374</v>
      </c>
      <c r="K488" s="46"/>
      <c r="L488" s="46" t="s">
        <v>482</v>
      </c>
      <c r="M488" s="47" t="s">
        <v>402</v>
      </c>
      <c r="N488" s="47"/>
      <c r="O488" s="47"/>
      <c r="P488" s="47"/>
      <c r="Q488" s="49"/>
      <c r="R488" s="47" t="s">
        <v>462</v>
      </c>
      <c r="S488" s="51">
        <v>46029</v>
      </c>
      <c r="T488" s="47">
        <v>1</v>
      </c>
      <c r="U488" s="47">
        <v>1</v>
      </c>
      <c r="V488" s="47">
        <v>3</v>
      </c>
      <c r="W488" s="51">
        <f t="shared" si="55"/>
        <v>46034</v>
      </c>
      <c r="X488" s="60"/>
    </row>
    <row r="489" spans="1:24" hidden="1">
      <c r="A489" s="47" t="s">
        <v>351</v>
      </c>
      <c r="B489" s="46" t="s">
        <v>456</v>
      </c>
      <c r="C489" s="47" t="s">
        <v>360</v>
      </c>
      <c r="D489" s="47" t="str">
        <f t="shared" si="54"/>
        <v>APPASAMY OCULAR DEVICES (P) LTD</v>
      </c>
      <c r="E489" s="47">
        <v>50081808</v>
      </c>
      <c r="F489" s="47" t="s">
        <v>23</v>
      </c>
      <c r="G489" s="46">
        <v>300000</v>
      </c>
      <c r="H489" s="50">
        <v>0.5</v>
      </c>
      <c r="I489" s="46">
        <f t="shared" si="53"/>
        <v>150000</v>
      </c>
      <c r="J489" s="46" t="s">
        <v>374</v>
      </c>
      <c r="K489" s="46"/>
      <c r="L489" s="46" t="s">
        <v>482</v>
      </c>
      <c r="M489" s="47" t="s">
        <v>402</v>
      </c>
      <c r="N489" s="47"/>
      <c r="O489" s="47"/>
      <c r="P489" s="47"/>
      <c r="Q489" s="49"/>
      <c r="R489" s="47" t="s">
        <v>463</v>
      </c>
      <c r="S489" s="51">
        <v>46029</v>
      </c>
      <c r="T489" s="47">
        <v>1</v>
      </c>
      <c r="U489" s="47">
        <v>1</v>
      </c>
      <c r="V489" s="47">
        <v>3</v>
      </c>
      <c r="W489" s="51">
        <f t="shared" si="55"/>
        <v>46034</v>
      </c>
      <c r="X489" s="60"/>
    </row>
    <row r="490" spans="1:24" hidden="1">
      <c r="A490" s="47" t="s">
        <v>351</v>
      </c>
      <c r="B490" s="46" t="s">
        <v>456</v>
      </c>
      <c r="C490" s="47" t="s">
        <v>360</v>
      </c>
      <c r="D490" s="47" t="str">
        <f t="shared" si="54"/>
        <v>APPASAMY OCULAR DEVICES (P) LTD</v>
      </c>
      <c r="E490" s="47">
        <v>50111939</v>
      </c>
      <c r="F490" s="47" t="s">
        <v>39</v>
      </c>
      <c r="G490" s="46">
        <v>300000</v>
      </c>
      <c r="H490" s="50">
        <v>0.38</v>
      </c>
      <c r="I490" s="46">
        <f t="shared" si="53"/>
        <v>114000</v>
      </c>
      <c r="J490" s="46" t="s">
        <v>374</v>
      </c>
      <c r="K490" s="46"/>
      <c r="L490" s="46" t="s">
        <v>482</v>
      </c>
      <c r="M490" s="47" t="s">
        <v>402</v>
      </c>
      <c r="N490" s="47"/>
      <c r="O490" s="47"/>
      <c r="P490" s="47"/>
      <c r="Q490" s="49"/>
      <c r="R490" s="47" t="s">
        <v>463</v>
      </c>
      <c r="S490" s="51">
        <v>46029</v>
      </c>
      <c r="T490" s="47">
        <v>1</v>
      </c>
      <c r="U490" s="47">
        <v>1</v>
      </c>
      <c r="V490" s="47">
        <v>3</v>
      </c>
      <c r="W490" s="51">
        <f t="shared" si="55"/>
        <v>46034</v>
      </c>
      <c r="X490" s="60"/>
    </row>
    <row r="491" spans="1:24" hidden="1">
      <c r="A491" s="47" t="s">
        <v>351</v>
      </c>
      <c r="B491" s="46" t="s">
        <v>456</v>
      </c>
      <c r="C491" s="47" t="s">
        <v>361</v>
      </c>
      <c r="D491" s="47" t="str">
        <f t="shared" si="54"/>
        <v>Maya Biotech pvt Ltd</v>
      </c>
      <c r="E491" s="47">
        <v>50102865</v>
      </c>
      <c r="F491" s="47" t="s">
        <v>473</v>
      </c>
      <c r="G491" s="46">
        <v>100000</v>
      </c>
      <c r="H491" s="50">
        <v>1.45</v>
      </c>
      <c r="I491" s="46">
        <f t="shared" si="53"/>
        <v>145000</v>
      </c>
      <c r="J491" s="47" t="s">
        <v>374</v>
      </c>
      <c r="K491" s="47"/>
      <c r="L491" s="47"/>
      <c r="M491" s="47"/>
      <c r="N491" s="47"/>
      <c r="O491" s="47"/>
      <c r="P491" s="47"/>
      <c r="Q491" s="49"/>
      <c r="R491" s="47"/>
      <c r="S491" s="52">
        <v>46045</v>
      </c>
      <c r="T491" s="47">
        <v>1</v>
      </c>
      <c r="U491" s="47">
        <v>1</v>
      </c>
      <c r="V491" s="47">
        <v>3</v>
      </c>
      <c r="W491" s="51">
        <f t="shared" si="55"/>
        <v>46050</v>
      </c>
      <c r="X491" s="60"/>
    </row>
    <row r="492" spans="1:24" hidden="1">
      <c r="A492" s="47" t="s">
        <v>351</v>
      </c>
      <c r="B492" s="46" t="s">
        <v>456</v>
      </c>
      <c r="C492" s="47" t="s">
        <v>361</v>
      </c>
      <c r="D492" s="47" t="str">
        <f t="shared" si="54"/>
        <v>Maya Biotech pvt Ltd</v>
      </c>
      <c r="E492" s="47">
        <v>50081808</v>
      </c>
      <c r="F492" s="47" t="s">
        <v>23</v>
      </c>
      <c r="G492" s="46">
        <v>100000</v>
      </c>
      <c r="H492" s="50">
        <v>0.5</v>
      </c>
      <c r="I492" s="46">
        <f t="shared" si="53"/>
        <v>50000</v>
      </c>
      <c r="J492" s="47" t="s">
        <v>374</v>
      </c>
      <c r="K492" s="47"/>
      <c r="L492" s="47"/>
      <c r="M492" s="47"/>
      <c r="N492" s="47"/>
      <c r="O492" s="47"/>
      <c r="P492" s="47"/>
      <c r="Q492" s="49"/>
      <c r="R492" s="47"/>
      <c r="S492" s="52">
        <v>46045</v>
      </c>
      <c r="T492" s="47">
        <v>1</v>
      </c>
      <c r="U492" s="47">
        <v>1</v>
      </c>
      <c r="V492" s="47">
        <v>3</v>
      </c>
      <c r="W492" s="51">
        <f t="shared" si="55"/>
        <v>46050</v>
      </c>
      <c r="X492" s="60"/>
    </row>
    <row r="493" spans="1:24" hidden="1">
      <c r="A493" s="47" t="s">
        <v>351</v>
      </c>
      <c r="B493" s="46" t="s">
        <v>456</v>
      </c>
      <c r="C493" s="47" t="s">
        <v>361</v>
      </c>
      <c r="D493" s="47" t="str">
        <f t="shared" si="54"/>
        <v>Maya Biotech pvt Ltd</v>
      </c>
      <c r="E493" s="47">
        <v>50101632</v>
      </c>
      <c r="F493" s="47" t="s">
        <v>39</v>
      </c>
      <c r="G493" s="46">
        <v>100000</v>
      </c>
      <c r="H493" s="50">
        <v>0.41</v>
      </c>
      <c r="I493" s="46">
        <f t="shared" si="53"/>
        <v>41000</v>
      </c>
      <c r="J493" s="47" t="s">
        <v>374</v>
      </c>
      <c r="K493" s="47"/>
      <c r="L493" s="47"/>
      <c r="M493" s="47"/>
      <c r="N493" s="47"/>
      <c r="O493" s="47"/>
      <c r="P493" s="47"/>
      <c r="Q493" s="49"/>
      <c r="R493" s="47"/>
      <c r="S493" s="52">
        <v>46045</v>
      </c>
      <c r="T493" s="47">
        <v>1</v>
      </c>
      <c r="U493" s="47">
        <v>1</v>
      </c>
      <c r="V493" s="47">
        <v>3</v>
      </c>
      <c r="W493" s="51">
        <f t="shared" si="55"/>
        <v>46050</v>
      </c>
      <c r="X493" s="60"/>
    </row>
    <row r="494" spans="1:24" hidden="1">
      <c r="A494" s="47" t="s">
        <v>351</v>
      </c>
      <c r="B494" s="46" t="s">
        <v>456</v>
      </c>
      <c r="C494" s="47" t="s">
        <v>361</v>
      </c>
      <c r="D494" s="47" t="str">
        <f t="shared" si="54"/>
        <v>Maya Biotech pvt Ltd</v>
      </c>
      <c r="E494" s="47">
        <v>50102394</v>
      </c>
      <c r="F494" s="47" t="s">
        <v>364</v>
      </c>
      <c r="G494" s="46">
        <v>100000</v>
      </c>
      <c r="H494" s="50">
        <v>1.55</v>
      </c>
      <c r="I494" s="46">
        <f t="shared" si="53"/>
        <v>155000</v>
      </c>
      <c r="J494" s="47" t="s">
        <v>420</v>
      </c>
      <c r="K494" s="47"/>
      <c r="L494" s="47"/>
      <c r="M494" s="47"/>
      <c r="N494" s="47"/>
      <c r="O494" s="47"/>
      <c r="P494" s="47"/>
      <c r="Q494" s="49"/>
      <c r="R494" s="47"/>
      <c r="S494" s="47"/>
      <c r="T494" s="47"/>
      <c r="U494" s="47"/>
      <c r="V494" s="47"/>
      <c r="W494" s="47"/>
    </row>
    <row r="495" spans="1:24" hidden="1">
      <c r="A495" s="47" t="s">
        <v>351</v>
      </c>
      <c r="B495" s="46" t="s">
        <v>456</v>
      </c>
      <c r="C495" s="47" t="s">
        <v>361</v>
      </c>
      <c r="D495" s="47" t="str">
        <f t="shared" si="54"/>
        <v>Maya Biotech pvt Ltd</v>
      </c>
      <c r="E495" s="47">
        <v>50081808</v>
      </c>
      <c r="F495" s="47" t="s">
        <v>23</v>
      </c>
      <c r="G495" s="46">
        <v>100000</v>
      </c>
      <c r="H495" s="50">
        <v>0.5</v>
      </c>
      <c r="I495" s="46">
        <f t="shared" si="53"/>
        <v>50000</v>
      </c>
      <c r="J495" s="47" t="s">
        <v>420</v>
      </c>
      <c r="K495" s="47"/>
      <c r="L495" s="47"/>
      <c r="M495" s="47"/>
      <c r="N495" s="47"/>
      <c r="O495" s="47"/>
      <c r="P495" s="47"/>
      <c r="Q495" s="49"/>
      <c r="R495" s="47"/>
      <c r="S495" s="47"/>
      <c r="T495" s="47"/>
      <c r="U495" s="47"/>
      <c r="V495" s="47"/>
      <c r="W495" s="47"/>
    </row>
    <row r="496" spans="1:24" hidden="1">
      <c r="A496" s="47" t="s">
        <v>351</v>
      </c>
      <c r="B496" s="46" t="s">
        <v>456</v>
      </c>
      <c r="C496" s="47" t="s">
        <v>361</v>
      </c>
      <c r="D496" s="47" t="str">
        <f t="shared" si="54"/>
        <v>Maya Biotech pvt Ltd</v>
      </c>
      <c r="E496" s="47">
        <v>50101632</v>
      </c>
      <c r="F496" s="47" t="s">
        <v>365</v>
      </c>
      <c r="G496" s="46">
        <v>100000</v>
      </c>
      <c r="H496" s="50">
        <v>0.4</v>
      </c>
      <c r="I496" s="46">
        <f t="shared" si="53"/>
        <v>40000</v>
      </c>
      <c r="J496" s="47" t="s">
        <v>420</v>
      </c>
      <c r="K496" s="47"/>
      <c r="L496" s="47"/>
      <c r="M496" s="47"/>
      <c r="N496" s="47"/>
      <c r="O496" s="47"/>
      <c r="P496" s="47"/>
      <c r="Q496" s="49"/>
      <c r="R496" s="47"/>
      <c r="S496" s="47"/>
      <c r="T496" s="47"/>
      <c r="U496" s="47"/>
      <c r="V496" s="47"/>
      <c r="W496" s="47"/>
    </row>
    <row r="497" spans="1:24" hidden="1">
      <c r="A497" s="46" t="s">
        <v>350</v>
      </c>
      <c r="B497" s="46" t="s">
        <v>456</v>
      </c>
      <c r="C497" s="47" t="s">
        <v>362</v>
      </c>
      <c r="D497" s="47" t="str">
        <f t="shared" si="54"/>
        <v>Archegos Ventures</v>
      </c>
      <c r="E497" s="47">
        <v>50115629</v>
      </c>
      <c r="F497" s="47" t="s">
        <v>367</v>
      </c>
      <c r="G497" s="46">
        <v>5292</v>
      </c>
      <c r="H497" s="50">
        <v>57</v>
      </c>
      <c r="I497" s="46">
        <f t="shared" si="53"/>
        <v>301644</v>
      </c>
      <c r="J497" s="46" t="s">
        <v>374</v>
      </c>
      <c r="K497" s="47"/>
      <c r="L497" s="47"/>
      <c r="M497" s="47"/>
      <c r="N497" s="47"/>
      <c r="O497" s="47"/>
      <c r="P497" s="47"/>
      <c r="Q497" s="49"/>
      <c r="R497" s="47"/>
      <c r="S497" s="52">
        <v>46037</v>
      </c>
      <c r="T497" s="47"/>
      <c r="U497" s="47"/>
      <c r="V497" s="47"/>
      <c r="W497" s="47"/>
    </row>
    <row r="498" spans="1:24" hidden="1">
      <c r="A498" s="47" t="s">
        <v>346</v>
      </c>
      <c r="B498" s="46" t="s">
        <v>460</v>
      </c>
      <c r="C498" s="47" t="s">
        <v>363</v>
      </c>
      <c r="D498" s="47" t="str">
        <f t="shared" si="54"/>
        <v>SamChunDang Pharm. Co., Ltd.</v>
      </c>
      <c r="E498" s="47">
        <v>50091632</v>
      </c>
      <c r="F498" s="47" t="s">
        <v>221</v>
      </c>
      <c r="G498" s="46">
        <v>40500</v>
      </c>
      <c r="H498" s="50">
        <v>0</v>
      </c>
      <c r="I498" s="46">
        <f t="shared" si="53"/>
        <v>0</v>
      </c>
      <c r="J498" s="47" t="s">
        <v>420</v>
      </c>
      <c r="K498" s="47"/>
      <c r="L498" s="47"/>
      <c r="M498" s="47"/>
      <c r="N498" s="47"/>
      <c r="O498" s="47"/>
      <c r="P498" s="47"/>
      <c r="Q498" s="49"/>
      <c r="R498" s="47"/>
      <c r="S498" s="47"/>
      <c r="T498" s="47"/>
      <c r="U498" s="47"/>
      <c r="V498" s="47"/>
      <c r="W498" s="47"/>
    </row>
    <row r="499" spans="1:24" hidden="1">
      <c r="A499" s="47" t="s">
        <v>349</v>
      </c>
      <c r="B499" s="46" t="s">
        <v>460</v>
      </c>
      <c r="C499" s="47" t="s">
        <v>185</v>
      </c>
      <c r="D499" s="47" t="str">
        <f t="shared" si="54"/>
        <v>AKUMS DRUGS &amp; PHARMACEUTICALS</v>
      </c>
      <c r="E499" s="47">
        <v>50081507</v>
      </c>
      <c r="F499" s="47" t="s">
        <v>368</v>
      </c>
      <c r="G499" s="46">
        <v>50000</v>
      </c>
      <c r="H499" s="50">
        <v>1.5608</v>
      </c>
      <c r="I499" s="46">
        <f t="shared" si="53"/>
        <v>78040</v>
      </c>
      <c r="J499" s="47"/>
      <c r="K499" s="47"/>
      <c r="L499" s="47"/>
      <c r="M499" s="47"/>
      <c r="N499" s="47"/>
      <c r="O499" s="47"/>
      <c r="P499" s="47"/>
      <c r="Q499" s="49"/>
      <c r="R499" s="47"/>
      <c r="S499" s="47"/>
      <c r="T499" s="47">
        <v>1</v>
      </c>
      <c r="U499" s="47">
        <v>1</v>
      </c>
      <c r="V499" s="47">
        <v>3</v>
      </c>
      <c r="W499" s="51">
        <f t="shared" ref="W499:W541" si="56">S499+T499+U499+V499</f>
        <v>5</v>
      </c>
      <c r="X499" s="60"/>
    </row>
    <row r="500" spans="1:24">
      <c r="A500" s="47" t="s">
        <v>349</v>
      </c>
      <c r="B500" s="46" t="s">
        <v>460</v>
      </c>
      <c r="C500" s="47" t="s">
        <v>185</v>
      </c>
      <c r="D500" s="47" t="str">
        <f t="shared" si="54"/>
        <v>AKUMS DRUGS &amp; PHARMACEUTICALS</v>
      </c>
      <c r="E500" s="47">
        <v>50081723</v>
      </c>
      <c r="F500" s="47" t="s">
        <v>55</v>
      </c>
      <c r="G500" s="46">
        <v>100000</v>
      </c>
      <c r="H500" s="50">
        <v>1.3678845942287547</v>
      </c>
      <c r="I500" s="46">
        <f t="shared" ref="I500" si="57">G500*H500</f>
        <v>136788.45942287549</v>
      </c>
      <c r="J500" s="47" t="s">
        <v>374</v>
      </c>
      <c r="K500" s="47"/>
      <c r="L500" s="47" t="s">
        <v>482</v>
      </c>
      <c r="M500" s="47"/>
      <c r="N500" s="47"/>
      <c r="O500" s="47"/>
      <c r="P500" s="47"/>
      <c r="Q500" s="49"/>
      <c r="R500" s="47"/>
      <c r="S500" s="47"/>
      <c r="T500" s="47">
        <v>1</v>
      </c>
      <c r="U500" s="47">
        <v>1</v>
      </c>
      <c r="V500" s="47">
        <v>3</v>
      </c>
      <c r="W500" s="51">
        <f t="shared" ref="W500" si="58">S500+T500+U500+V500</f>
        <v>5</v>
      </c>
      <c r="X500" s="60"/>
    </row>
    <row r="501" spans="1:24" hidden="1">
      <c r="A501" s="47" t="s">
        <v>349</v>
      </c>
      <c r="B501" s="46" t="s">
        <v>460</v>
      </c>
      <c r="C501" s="47" t="s">
        <v>185</v>
      </c>
      <c r="D501" s="47" t="str">
        <f t="shared" si="54"/>
        <v>AKUMS DRUGS &amp; PHARMACEUTICALS</v>
      </c>
      <c r="E501" s="47">
        <v>50081723</v>
      </c>
      <c r="F501" s="47" t="s">
        <v>55</v>
      </c>
      <c r="G501" s="46">
        <v>318000</v>
      </c>
      <c r="H501" s="50">
        <v>1.3678845942287547</v>
      </c>
      <c r="I501" s="46">
        <f t="shared" si="53"/>
        <v>434987.300964744</v>
      </c>
      <c r="J501" s="47"/>
      <c r="K501" s="47"/>
      <c r="L501" s="47"/>
      <c r="M501" s="47"/>
      <c r="N501" s="47"/>
      <c r="O501" s="47"/>
      <c r="P501" s="47"/>
      <c r="Q501" s="49"/>
      <c r="R501" s="47"/>
      <c r="S501" s="47"/>
      <c r="T501" s="47">
        <v>1</v>
      </c>
      <c r="U501" s="47">
        <v>1</v>
      </c>
      <c r="V501" s="47">
        <v>3</v>
      </c>
      <c r="W501" s="51">
        <f t="shared" si="56"/>
        <v>5</v>
      </c>
      <c r="X501" s="60"/>
    </row>
    <row r="502" spans="1:24" hidden="1">
      <c r="A502" s="47" t="s">
        <v>349</v>
      </c>
      <c r="B502" s="46" t="s">
        <v>460</v>
      </c>
      <c r="C502" s="47" t="s">
        <v>185</v>
      </c>
      <c r="D502" s="47" t="str">
        <f t="shared" ref="D502:D537" si="59">C502</f>
        <v>AKUMS DRUGS &amp; PHARMACEUTICALS</v>
      </c>
      <c r="E502" s="47">
        <v>50081734</v>
      </c>
      <c r="F502" s="47" t="s">
        <v>369</v>
      </c>
      <c r="G502" s="46">
        <v>75029</v>
      </c>
      <c r="H502" s="50">
        <v>1.4621546335416973</v>
      </c>
      <c r="I502" s="46">
        <f t="shared" si="53"/>
        <v>109704</v>
      </c>
      <c r="J502" s="47"/>
      <c r="K502" s="47"/>
      <c r="L502" s="47"/>
      <c r="M502" s="47"/>
      <c r="N502" s="47"/>
      <c r="O502" s="47"/>
      <c r="P502" s="47"/>
      <c r="Q502" s="49"/>
      <c r="R502" s="47"/>
      <c r="S502" s="47"/>
      <c r="T502" s="47">
        <v>1</v>
      </c>
      <c r="U502" s="47">
        <v>1</v>
      </c>
      <c r="V502" s="47">
        <v>3</v>
      </c>
      <c r="W502" s="51">
        <f t="shared" si="56"/>
        <v>5</v>
      </c>
      <c r="X502" s="60"/>
    </row>
    <row r="503" spans="1:24" hidden="1">
      <c r="A503" s="47" t="s">
        <v>349</v>
      </c>
      <c r="B503" s="46" t="s">
        <v>460</v>
      </c>
      <c r="C503" s="47" t="s">
        <v>185</v>
      </c>
      <c r="D503" s="47" t="str">
        <f t="shared" si="59"/>
        <v>AKUMS DRUGS &amp; PHARMACEUTICALS</v>
      </c>
      <c r="E503" s="47">
        <v>50081768</v>
      </c>
      <c r="F503" s="47" t="s">
        <v>179</v>
      </c>
      <c r="G503" s="46">
        <v>62350</v>
      </c>
      <c r="H503" s="50">
        <v>2.5627425821972736</v>
      </c>
      <c r="I503" s="46">
        <f t="shared" si="53"/>
        <v>159787</v>
      </c>
      <c r="J503" s="47"/>
      <c r="K503" s="47"/>
      <c r="L503" s="47"/>
      <c r="M503" s="47"/>
      <c r="N503" s="47"/>
      <c r="O503" s="47"/>
      <c r="P503" s="47"/>
      <c r="Q503" s="49"/>
      <c r="R503" s="47"/>
      <c r="S503" s="47"/>
      <c r="T503" s="47">
        <v>1</v>
      </c>
      <c r="U503" s="47">
        <v>1</v>
      </c>
      <c r="V503" s="47">
        <v>3</v>
      </c>
      <c r="W503" s="51">
        <f t="shared" si="56"/>
        <v>5</v>
      </c>
      <c r="X503" s="60"/>
    </row>
    <row r="504" spans="1:24">
      <c r="A504" s="47" t="s">
        <v>349</v>
      </c>
      <c r="B504" s="46" t="s">
        <v>460</v>
      </c>
      <c r="C504" s="47" t="s">
        <v>185</v>
      </c>
      <c r="D504" s="47" t="str">
        <f t="shared" si="59"/>
        <v>AKUMS DRUGS &amp; PHARMACEUTICALS</v>
      </c>
      <c r="E504" s="47">
        <v>50081840</v>
      </c>
      <c r="F504" s="47" t="s">
        <v>137</v>
      </c>
      <c r="G504" s="46">
        <v>100000</v>
      </c>
      <c r="H504" s="50">
        <v>1.1758138395863598</v>
      </c>
      <c r="I504" s="46">
        <f t="shared" si="53"/>
        <v>117581.38395863598</v>
      </c>
      <c r="J504" s="47" t="s">
        <v>374</v>
      </c>
      <c r="K504" s="47"/>
      <c r="L504" s="47" t="s">
        <v>482</v>
      </c>
      <c r="M504" s="47"/>
      <c r="N504" s="47"/>
      <c r="O504" s="47"/>
      <c r="P504" s="47"/>
      <c r="Q504" s="49"/>
      <c r="R504" s="47"/>
      <c r="S504" s="52">
        <v>46044</v>
      </c>
      <c r="T504" s="47">
        <v>1</v>
      </c>
      <c r="U504" s="47">
        <v>1</v>
      </c>
      <c r="V504" s="47">
        <v>3</v>
      </c>
      <c r="W504" s="51">
        <f t="shared" si="56"/>
        <v>46049</v>
      </c>
      <c r="X504" s="60"/>
    </row>
    <row r="505" spans="1:24" hidden="1">
      <c r="A505" s="47" t="s">
        <v>349</v>
      </c>
      <c r="B505" s="46" t="s">
        <v>460</v>
      </c>
      <c r="C505" s="47" t="s">
        <v>185</v>
      </c>
      <c r="D505" s="47" t="str">
        <f t="shared" si="59"/>
        <v>AKUMS DRUGS &amp; PHARMACEUTICALS</v>
      </c>
      <c r="E505" s="47">
        <v>50081840</v>
      </c>
      <c r="F505" s="47" t="s">
        <v>137</v>
      </c>
      <c r="G505" s="46">
        <v>259346</v>
      </c>
      <c r="H505" s="50">
        <v>1.1758138395863598</v>
      </c>
      <c r="I505" s="46">
        <f t="shared" si="53"/>
        <v>304942.61604136403</v>
      </c>
      <c r="J505" s="47"/>
      <c r="K505" s="47"/>
      <c r="L505" s="47"/>
      <c r="M505" s="47"/>
      <c r="N505" s="47"/>
      <c r="O505" s="47"/>
      <c r="P505" s="47"/>
      <c r="Q505" s="49"/>
      <c r="R505" s="47"/>
      <c r="S505" s="47"/>
      <c r="T505" s="47">
        <v>1</v>
      </c>
      <c r="U505" s="47">
        <v>1</v>
      </c>
      <c r="V505" s="47">
        <v>3</v>
      </c>
      <c r="W505" s="51">
        <f t="shared" si="56"/>
        <v>5</v>
      </c>
      <c r="X505" s="60"/>
    </row>
    <row r="506" spans="1:24">
      <c r="A506" s="47" t="s">
        <v>349</v>
      </c>
      <c r="B506" s="46" t="s">
        <v>460</v>
      </c>
      <c r="C506" s="47" t="s">
        <v>185</v>
      </c>
      <c r="D506" s="47" t="str">
        <f t="shared" si="59"/>
        <v>AKUMS DRUGS &amp; PHARMACEUTICALS</v>
      </c>
      <c r="E506" s="47">
        <v>50081938</v>
      </c>
      <c r="F506" s="47" t="s">
        <v>31</v>
      </c>
      <c r="G506" s="46">
        <v>76575</v>
      </c>
      <c r="H506" s="50">
        <v>1.1652758733268038</v>
      </c>
      <c r="I506" s="46">
        <f t="shared" si="53"/>
        <v>89231</v>
      </c>
      <c r="J506" s="47"/>
      <c r="K506" s="47"/>
      <c r="L506" s="47"/>
      <c r="M506" s="47"/>
      <c r="N506" s="47"/>
      <c r="O506" s="47"/>
      <c r="P506" s="47"/>
      <c r="Q506" s="49"/>
      <c r="R506" s="47"/>
      <c r="S506" s="47"/>
      <c r="T506" s="47">
        <v>1</v>
      </c>
      <c r="U506" s="47">
        <v>1</v>
      </c>
      <c r="V506" s="47">
        <v>3</v>
      </c>
      <c r="W506" s="51">
        <f t="shared" si="56"/>
        <v>5</v>
      </c>
      <c r="X506" s="60"/>
    </row>
    <row r="507" spans="1:24">
      <c r="A507" s="47" t="s">
        <v>349</v>
      </c>
      <c r="B507" s="46" t="s">
        <v>460</v>
      </c>
      <c r="C507" s="47" t="s">
        <v>185</v>
      </c>
      <c r="D507" s="47" t="str">
        <f t="shared" si="59"/>
        <v>AKUMS DRUGS &amp; PHARMACEUTICALS</v>
      </c>
      <c r="E507" s="47">
        <v>50114367</v>
      </c>
      <c r="F507" s="47" t="s">
        <v>82</v>
      </c>
      <c r="G507" s="46">
        <v>100000</v>
      </c>
      <c r="H507" s="50">
        <v>1.9592030242161866</v>
      </c>
      <c r="I507" s="46">
        <f t="shared" ref="I507" si="60">G507*H507</f>
        <v>195920.30242161866</v>
      </c>
      <c r="J507" s="47" t="s">
        <v>374</v>
      </c>
      <c r="K507" s="47"/>
      <c r="L507" s="47" t="s">
        <v>482</v>
      </c>
      <c r="M507" s="47"/>
      <c r="N507" s="47"/>
      <c r="O507" s="47"/>
      <c r="P507" s="47"/>
      <c r="Q507" s="49"/>
      <c r="R507" s="47"/>
      <c r="S507" s="47"/>
      <c r="T507" s="47">
        <v>1</v>
      </c>
      <c r="U507" s="47">
        <v>1</v>
      </c>
      <c r="V507" s="47">
        <v>3</v>
      </c>
      <c r="W507" s="51">
        <f t="shared" ref="W507" si="61">S507+T507+U507+V507</f>
        <v>5</v>
      </c>
      <c r="X507" s="60"/>
    </row>
    <row r="508" spans="1:24" hidden="1">
      <c r="A508" s="47" t="s">
        <v>349</v>
      </c>
      <c r="B508" s="46" t="s">
        <v>460</v>
      </c>
      <c r="C508" s="47" t="s">
        <v>185</v>
      </c>
      <c r="D508" s="47" t="str">
        <f t="shared" si="59"/>
        <v>AKUMS DRUGS &amp; PHARMACEUTICALS</v>
      </c>
      <c r="E508" s="47">
        <v>50114367</v>
      </c>
      <c r="F508" s="47" t="s">
        <v>82</v>
      </c>
      <c r="G508" s="46">
        <v>220000</v>
      </c>
      <c r="H508" s="50">
        <v>1.9592030242161866</v>
      </c>
      <c r="I508" s="46">
        <f t="shared" si="53"/>
        <v>431024.66532756109</v>
      </c>
      <c r="J508" s="47"/>
      <c r="K508" s="47"/>
      <c r="L508" s="47"/>
      <c r="M508" s="47"/>
      <c r="N508" s="47"/>
      <c r="O508" s="47"/>
      <c r="P508" s="47"/>
      <c r="Q508" s="49"/>
      <c r="R508" s="47"/>
      <c r="S508" s="47"/>
      <c r="T508" s="47">
        <v>1</v>
      </c>
      <c r="U508" s="47">
        <v>1</v>
      </c>
      <c r="V508" s="47">
        <v>3</v>
      </c>
      <c r="W508" s="51">
        <f t="shared" si="56"/>
        <v>5</v>
      </c>
      <c r="X508" s="60"/>
    </row>
    <row r="509" spans="1:24" hidden="1">
      <c r="A509" s="47" t="s">
        <v>351</v>
      </c>
      <c r="B509" s="46" t="s">
        <v>460</v>
      </c>
      <c r="C509" s="47" t="s">
        <v>185</v>
      </c>
      <c r="D509" s="47" t="str">
        <f t="shared" si="59"/>
        <v>AKUMS DRUGS &amp; PHARMACEUTICALS</v>
      </c>
      <c r="E509" s="47">
        <v>50081679</v>
      </c>
      <c r="F509" s="47" t="s">
        <v>249</v>
      </c>
      <c r="G509" s="46">
        <v>393212</v>
      </c>
      <c r="H509" s="50">
        <v>0.9115667883991333</v>
      </c>
      <c r="I509" s="46">
        <f t="shared" si="53"/>
        <v>358439</v>
      </c>
      <c r="J509" s="47"/>
      <c r="K509" s="47"/>
      <c r="L509" s="47"/>
      <c r="M509" s="47"/>
      <c r="N509" s="47"/>
      <c r="O509" s="47"/>
      <c r="P509" s="47"/>
      <c r="Q509" s="49"/>
      <c r="R509" s="47"/>
      <c r="S509" s="47"/>
      <c r="T509" s="47">
        <v>1</v>
      </c>
      <c r="U509" s="47">
        <v>1</v>
      </c>
      <c r="V509" s="47">
        <v>3</v>
      </c>
      <c r="W509" s="51">
        <f t="shared" si="56"/>
        <v>5</v>
      </c>
      <c r="X509" s="60"/>
    </row>
    <row r="510" spans="1:24" hidden="1">
      <c r="A510" s="47" t="s">
        <v>351</v>
      </c>
      <c r="B510" s="46" t="s">
        <v>460</v>
      </c>
      <c r="C510" s="47" t="s">
        <v>185</v>
      </c>
      <c r="D510" s="47" t="str">
        <f t="shared" si="59"/>
        <v>AKUMS DRUGS &amp; PHARMACEUTICALS</v>
      </c>
      <c r="E510" s="47">
        <v>50081805</v>
      </c>
      <c r="F510" s="47" t="s">
        <v>207</v>
      </c>
      <c r="G510" s="46">
        <v>596808</v>
      </c>
      <c r="H510" s="50">
        <v>0.70544630769024541</v>
      </c>
      <c r="I510" s="46">
        <f t="shared" si="53"/>
        <v>421016</v>
      </c>
      <c r="J510" s="47"/>
      <c r="K510" s="47"/>
      <c r="L510" s="47"/>
      <c r="M510" s="47"/>
      <c r="N510" s="47"/>
      <c r="O510" s="47"/>
      <c r="P510" s="47"/>
      <c r="Q510" s="49"/>
      <c r="R510" s="47"/>
      <c r="S510" s="47"/>
      <c r="T510" s="47">
        <v>1</v>
      </c>
      <c r="U510" s="47">
        <v>1</v>
      </c>
      <c r="V510" s="47">
        <v>3</v>
      </c>
      <c r="W510" s="51">
        <f t="shared" si="56"/>
        <v>5</v>
      </c>
      <c r="X510" s="60"/>
    </row>
    <row r="511" spans="1:24">
      <c r="A511" s="47" t="s">
        <v>349</v>
      </c>
      <c r="B511" s="46" t="s">
        <v>460</v>
      </c>
      <c r="C511" s="47" t="s">
        <v>185</v>
      </c>
      <c r="D511" s="47" t="str">
        <f t="shared" si="59"/>
        <v>AKUMS DRUGS &amp; PHARMACEUTICALS</v>
      </c>
      <c r="E511" s="47">
        <v>50114367</v>
      </c>
      <c r="F511" s="47" t="s">
        <v>82</v>
      </c>
      <c r="G511" s="46">
        <v>400000</v>
      </c>
      <c r="H511" s="50">
        <v>1.57036</v>
      </c>
      <c r="I511" s="46">
        <f t="shared" si="53"/>
        <v>628144</v>
      </c>
      <c r="J511" s="47"/>
      <c r="K511" s="47"/>
      <c r="L511" s="47"/>
      <c r="M511" s="47"/>
      <c r="N511" s="47"/>
      <c r="O511" s="47"/>
      <c r="P511" s="47"/>
      <c r="Q511" s="49"/>
      <c r="R511" s="47"/>
      <c r="S511" s="47"/>
      <c r="T511" s="47">
        <v>1</v>
      </c>
      <c r="U511" s="47">
        <v>1</v>
      </c>
      <c r="V511" s="47">
        <v>3</v>
      </c>
      <c r="W511" s="51">
        <f t="shared" si="56"/>
        <v>5</v>
      </c>
      <c r="X511" s="60"/>
    </row>
    <row r="512" spans="1:24" hidden="1">
      <c r="A512" s="47" t="s">
        <v>351</v>
      </c>
      <c r="B512" s="46" t="s">
        <v>460</v>
      </c>
      <c r="C512" s="47" t="s">
        <v>185</v>
      </c>
      <c r="D512" s="47" t="str">
        <f t="shared" si="59"/>
        <v>AKUMS DRUGS &amp; PHARMACEUTICALS</v>
      </c>
      <c r="E512" s="47">
        <v>50081867</v>
      </c>
      <c r="F512" s="47" t="s">
        <v>187</v>
      </c>
      <c r="G512" s="46">
        <v>65035</v>
      </c>
      <c r="H512" s="50">
        <v>1.8766356577227647</v>
      </c>
      <c r="I512" s="46">
        <f t="shared" si="53"/>
        <v>122047</v>
      </c>
      <c r="J512" s="56"/>
      <c r="K512" s="56"/>
      <c r="L512" s="47"/>
      <c r="M512" s="47"/>
      <c r="N512" s="47"/>
      <c r="O512" s="47"/>
      <c r="P512" s="47"/>
      <c r="Q512" s="49"/>
      <c r="R512" s="47"/>
      <c r="S512" s="47"/>
      <c r="T512" s="47">
        <v>1</v>
      </c>
      <c r="U512" s="47">
        <v>1</v>
      </c>
      <c r="V512" s="47">
        <v>3</v>
      </c>
      <c r="W512" s="51">
        <f t="shared" si="56"/>
        <v>5</v>
      </c>
      <c r="X512" s="60"/>
    </row>
    <row r="513" spans="1:24" hidden="1">
      <c r="A513" s="47" t="s">
        <v>351</v>
      </c>
      <c r="B513" s="46" t="s">
        <v>460</v>
      </c>
      <c r="C513" s="47" t="s">
        <v>185</v>
      </c>
      <c r="D513" s="47" t="str">
        <f t="shared" si="59"/>
        <v>AKUMS DRUGS &amp; PHARMACEUTICALS</v>
      </c>
      <c r="E513" s="47">
        <v>50081892</v>
      </c>
      <c r="F513" s="47" t="s">
        <v>250</v>
      </c>
      <c r="G513" s="46">
        <v>384330</v>
      </c>
      <c r="H513" s="50">
        <v>0.33072880077017147</v>
      </c>
      <c r="I513" s="46">
        <f t="shared" si="53"/>
        <v>127109</v>
      </c>
      <c r="J513" s="47"/>
      <c r="K513" s="47"/>
      <c r="L513" s="47"/>
      <c r="M513" s="47"/>
      <c r="N513" s="47"/>
      <c r="O513" s="47"/>
      <c r="P513" s="47"/>
      <c r="Q513" s="49"/>
      <c r="R513" s="47"/>
      <c r="S513" s="47"/>
      <c r="T513" s="47">
        <v>1</v>
      </c>
      <c r="U513" s="47">
        <v>1</v>
      </c>
      <c r="V513" s="47">
        <v>3</v>
      </c>
      <c r="W513" s="51">
        <f t="shared" si="56"/>
        <v>5</v>
      </c>
      <c r="X513" s="60"/>
    </row>
    <row r="514" spans="1:24">
      <c r="A514" s="47" t="s">
        <v>349</v>
      </c>
      <c r="B514" s="46" t="s">
        <v>460</v>
      </c>
      <c r="C514" s="47" t="s">
        <v>185</v>
      </c>
      <c r="D514" s="47" t="str">
        <f t="shared" si="59"/>
        <v>AKUMS DRUGS &amp; PHARMACEUTICALS</v>
      </c>
      <c r="E514" s="47">
        <v>50114671</v>
      </c>
      <c r="F514" s="47" t="s">
        <v>29</v>
      </c>
      <c r="G514" s="46">
        <v>100000</v>
      </c>
      <c r="H514" s="50">
        <v>2.0699999999999998</v>
      </c>
      <c r="I514" s="46">
        <f t="shared" si="53"/>
        <v>206999.99999999997</v>
      </c>
      <c r="J514" s="47" t="s">
        <v>374</v>
      </c>
      <c r="K514" s="47"/>
      <c r="L514" s="47"/>
      <c r="M514" s="47"/>
      <c r="N514" s="47"/>
      <c r="O514" s="47"/>
      <c r="P514" s="47"/>
      <c r="Q514" s="49"/>
      <c r="R514" s="47"/>
      <c r="S514" s="52">
        <v>46044</v>
      </c>
      <c r="T514" s="47">
        <v>1</v>
      </c>
      <c r="U514" s="47">
        <v>1</v>
      </c>
      <c r="V514" s="47">
        <v>3</v>
      </c>
      <c r="W514" s="51">
        <f t="shared" si="56"/>
        <v>46049</v>
      </c>
      <c r="X514" s="60"/>
    </row>
    <row r="515" spans="1:24">
      <c r="A515" s="47" t="s">
        <v>349</v>
      </c>
      <c r="B515" s="46" t="s">
        <v>460</v>
      </c>
      <c r="C515" s="47" t="s">
        <v>185</v>
      </c>
      <c r="D515" s="47" t="str">
        <f t="shared" si="59"/>
        <v>AKUMS DRUGS &amp; PHARMACEUTICALS</v>
      </c>
      <c r="E515" s="47">
        <v>50114671</v>
      </c>
      <c r="F515" s="47" t="s">
        <v>29</v>
      </c>
      <c r="G515" s="46">
        <v>50000</v>
      </c>
      <c r="H515" s="50">
        <v>2.0699999999999998</v>
      </c>
      <c r="I515" s="46">
        <f t="shared" si="53"/>
        <v>103499.99999999999</v>
      </c>
      <c r="J515" s="47"/>
      <c r="K515" s="47"/>
      <c r="L515" s="47"/>
      <c r="M515" s="47"/>
      <c r="N515" s="47"/>
      <c r="O515" s="47"/>
      <c r="P515" s="47"/>
      <c r="Q515" s="49"/>
      <c r="R515" s="47"/>
      <c r="S515" s="47"/>
      <c r="T515" s="47">
        <v>1</v>
      </c>
      <c r="U515" s="47">
        <v>1</v>
      </c>
      <c r="V515" s="47">
        <v>3</v>
      </c>
      <c r="W515" s="51">
        <f t="shared" si="56"/>
        <v>5</v>
      </c>
      <c r="X515" s="60"/>
    </row>
    <row r="516" spans="1:24">
      <c r="A516" s="47" t="s">
        <v>351</v>
      </c>
      <c r="B516" s="46" t="s">
        <v>460</v>
      </c>
      <c r="C516" s="47" t="s">
        <v>185</v>
      </c>
      <c r="D516" s="47" t="str">
        <f t="shared" si="59"/>
        <v>AKUMS DRUGS &amp; PHARMACEUTICALS</v>
      </c>
      <c r="E516" s="47">
        <v>50081931</v>
      </c>
      <c r="F516" s="47" t="s">
        <v>209</v>
      </c>
      <c r="G516" s="46">
        <v>100000</v>
      </c>
      <c r="H516" s="50">
        <v>0.80629851688229726</v>
      </c>
      <c r="I516" s="46">
        <f t="shared" si="53"/>
        <v>80629.851688229726</v>
      </c>
      <c r="J516" s="47" t="s">
        <v>374</v>
      </c>
      <c r="K516" s="47"/>
      <c r="L516" s="47"/>
      <c r="M516" s="47"/>
      <c r="N516" s="47"/>
      <c r="O516" s="47"/>
      <c r="P516" s="47"/>
      <c r="Q516" s="49"/>
      <c r="R516" s="47"/>
      <c r="S516" s="47"/>
      <c r="T516" s="47">
        <v>1</v>
      </c>
      <c r="U516" s="47">
        <v>1</v>
      </c>
      <c r="V516" s="47">
        <v>3</v>
      </c>
      <c r="W516" s="51">
        <f t="shared" si="56"/>
        <v>5</v>
      </c>
      <c r="X516" s="60"/>
    </row>
    <row r="517" spans="1:24" hidden="1">
      <c r="A517" s="47" t="s">
        <v>351</v>
      </c>
      <c r="B517" s="46" t="s">
        <v>460</v>
      </c>
      <c r="C517" s="47" t="s">
        <v>185</v>
      </c>
      <c r="D517" s="47" t="str">
        <f t="shared" si="59"/>
        <v>AKUMS DRUGS &amp; PHARMACEUTICALS</v>
      </c>
      <c r="E517" s="47">
        <v>50081947</v>
      </c>
      <c r="F517" s="47" t="s">
        <v>148</v>
      </c>
      <c r="G517" s="46">
        <v>576716</v>
      </c>
      <c r="H517" s="50">
        <v>0.26303587901150655</v>
      </c>
      <c r="I517" s="46">
        <f t="shared" si="53"/>
        <v>151697</v>
      </c>
      <c r="J517" s="47"/>
      <c r="K517" s="47"/>
      <c r="L517" s="47"/>
      <c r="M517" s="47"/>
      <c r="N517" s="47"/>
      <c r="O517" s="47"/>
      <c r="P517" s="47"/>
      <c r="Q517" s="49"/>
      <c r="R517" s="47"/>
      <c r="S517" s="47"/>
      <c r="T517" s="47">
        <v>1</v>
      </c>
      <c r="U517" s="47">
        <v>1</v>
      </c>
      <c r="V517" s="47">
        <v>3</v>
      </c>
      <c r="W517" s="51">
        <f t="shared" si="56"/>
        <v>5</v>
      </c>
      <c r="X517" s="60"/>
    </row>
    <row r="518" spans="1:24" hidden="1">
      <c r="A518" s="47" t="s">
        <v>351</v>
      </c>
      <c r="B518" s="46" t="s">
        <v>460</v>
      </c>
      <c r="C518" s="47" t="s">
        <v>185</v>
      </c>
      <c r="D518" s="47" t="str">
        <f t="shared" si="59"/>
        <v>AKUMS DRUGS &amp; PHARMACEUTICALS</v>
      </c>
      <c r="E518" s="47">
        <v>50082012</v>
      </c>
      <c r="F518" s="47" t="s">
        <v>110</v>
      </c>
      <c r="G518" s="46">
        <v>73493</v>
      </c>
      <c r="H518" s="50">
        <v>0.78400664008817167</v>
      </c>
      <c r="I518" s="46">
        <f t="shared" si="53"/>
        <v>57619</v>
      </c>
      <c r="J518" s="47"/>
      <c r="K518" s="47"/>
      <c r="L518" s="47"/>
      <c r="M518" s="47"/>
      <c r="N518" s="47"/>
      <c r="O518" s="47"/>
      <c r="P518" s="47"/>
      <c r="Q518" s="49"/>
      <c r="R518" s="47"/>
      <c r="S518" s="47"/>
      <c r="T518" s="47">
        <v>1</v>
      </c>
      <c r="U518" s="47">
        <v>1</v>
      </c>
      <c r="V518" s="47">
        <v>3</v>
      </c>
      <c r="W518" s="51">
        <f t="shared" si="56"/>
        <v>5</v>
      </c>
      <c r="X518" s="60"/>
    </row>
    <row r="519" spans="1:24" hidden="1">
      <c r="A519" s="47" t="s">
        <v>351</v>
      </c>
      <c r="B519" s="46" t="s">
        <v>460</v>
      </c>
      <c r="C519" s="47" t="s">
        <v>185</v>
      </c>
      <c r="D519" s="47" t="str">
        <f t="shared" si="59"/>
        <v>AKUMS DRUGS &amp; PHARMACEUTICALS</v>
      </c>
      <c r="E519" s="47">
        <v>50082078</v>
      </c>
      <c r="F519" s="47" t="s">
        <v>118</v>
      </c>
      <c r="G519" s="46">
        <v>92529</v>
      </c>
      <c r="H519" s="50">
        <v>0.30604459142539098</v>
      </c>
      <c r="I519" s="46">
        <f t="shared" si="53"/>
        <v>28318</v>
      </c>
      <c r="J519" s="47"/>
      <c r="K519" s="47"/>
      <c r="L519" s="47"/>
      <c r="M519" s="47"/>
      <c r="N519" s="47"/>
      <c r="O519" s="47"/>
      <c r="P519" s="47"/>
      <c r="Q519" s="49"/>
      <c r="R519" s="47"/>
      <c r="S519" s="47"/>
      <c r="T519" s="47">
        <v>1</v>
      </c>
      <c r="U519" s="47">
        <v>1</v>
      </c>
      <c r="V519" s="47">
        <v>3</v>
      </c>
      <c r="W519" s="51">
        <f t="shared" si="56"/>
        <v>5</v>
      </c>
      <c r="X519" s="60"/>
    </row>
    <row r="520" spans="1:24" hidden="1">
      <c r="A520" s="47" t="s">
        <v>351</v>
      </c>
      <c r="B520" s="46" t="s">
        <v>460</v>
      </c>
      <c r="C520" s="47" t="s">
        <v>185</v>
      </c>
      <c r="D520" s="47" t="str">
        <f t="shared" si="59"/>
        <v>AKUMS DRUGS &amp; PHARMACEUTICALS</v>
      </c>
      <c r="E520" s="47">
        <v>50083287</v>
      </c>
      <c r="F520" s="47" t="s">
        <v>370</v>
      </c>
      <c r="G520" s="46">
        <v>145041</v>
      </c>
      <c r="H520" s="50">
        <v>1.4797126329796402</v>
      </c>
      <c r="I520" s="46">
        <f t="shared" si="53"/>
        <v>214619</v>
      </c>
      <c r="J520" s="47"/>
      <c r="K520" s="47"/>
      <c r="L520" s="47"/>
      <c r="M520" s="47"/>
      <c r="N520" s="47"/>
      <c r="O520" s="47"/>
      <c r="P520" s="47"/>
      <c r="Q520" s="49"/>
      <c r="R520" s="47"/>
      <c r="S520" s="47"/>
      <c r="T520" s="47">
        <v>1</v>
      </c>
      <c r="U520" s="47">
        <v>1</v>
      </c>
      <c r="V520" s="47">
        <v>3</v>
      </c>
      <c r="W520" s="51">
        <f t="shared" si="56"/>
        <v>5</v>
      </c>
      <c r="X520" s="60"/>
    </row>
    <row r="521" spans="1:24" hidden="1">
      <c r="A521" s="47" t="s">
        <v>349</v>
      </c>
      <c r="B521" s="46" t="s">
        <v>460</v>
      </c>
      <c r="C521" s="47" t="s">
        <v>185</v>
      </c>
      <c r="D521" s="47" t="str">
        <f t="shared" si="59"/>
        <v>AKUMS DRUGS &amp; PHARMACEUTICALS</v>
      </c>
      <c r="E521" s="47">
        <v>50081734</v>
      </c>
      <c r="F521" s="47" t="s">
        <v>369</v>
      </c>
      <c r="G521" s="46">
        <v>75029</v>
      </c>
      <c r="H521" s="50">
        <v>1.4621546335416973</v>
      </c>
      <c r="I521" s="46">
        <f t="shared" si="53"/>
        <v>109704</v>
      </c>
      <c r="J521" s="47"/>
      <c r="K521" s="47"/>
      <c r="L521" s="47"/>
      <c r="M521" s="47"/>
      <c r="N521" s="47"/>
      <c r="O521" s="47"/>
      <c r="P521" s="47"/>
      <c r="Q521" s="49"/>
      <c r="R521" s="47"/>
      <c r="S521" s="47"/>
      <c r="T521" s="47">
        <v>1</v>
      </c>
      <c r="U521" s="47">
        <v>1</v>
      </c>
      <c r="V521" s="47">
        <v>3</v>
      </c>
      <c r="W521" s="51">
        <f t="shared" si="56"/>
        <v>5</v>
      </c>
      <c r="X521" s="60"/>
    </row>
    <row r="522" spans="1:24" hidden="1">
      <c r="A522" s="47" t="s">
        <v>349</v>
      </c>
      <c r="B522" s="46" t="s">
        <v>460</v>
      </c>
      <c r="C522" s="47" t="s">
        <v>185</v>
      </c>
      <c r="D522" s="47" t="str">
        <f t="shared" si="59"/>
        <v>AKUMS DRUGS &amp; PHARMACEUTICALS</v>
      </c>
      <c r="E522" s="47">
        <v>50081768</v>
      </c>
      <c r="F522" s="47" t="s">
        <v>179</v>
      </c>
      <c r="G522" s="46">
        <v>50350</v>
      </c>
      <c r="H522" s="50">
        <v>2.5627408142999006</v>
      </c>
      <c r="I522" s="46">
        <f t="shared" si="53"/>
        <v>129034</v>
      </c>
      <c r="J522" s="47"/>
      <c r="K522" s="47"/>
      <c r="L522" s="47"/>
      <c r="M522" s="47"/>
      <c r="N522" s="47"/>
      <c r="O522" s="47"/>
      <c r="P522" s="47"/>
      <c r="Q522" s="49"/>
      <c r="R522" s="47"/>
      <c r="S522" s="47"/>
      <c r="T522" s="47">
        <v>1</v>
      </c>
      <c r="U522" s="47">
        <v>1</v>
      </c>
      <c r="V522" s="47">
        <v>3</v>
      </c>
      <c r="W522" s="51">
        <f t="shared" si="56"/>
        <v>5</v>
      </c>
      <c r="X522" s="60"/>
    </row>
    <row r="523" spans="1:24" hidden="1">
      <c r="A523" s="47" t="s">
        <v>349</v>
      </c>
      <c r="B523" s="46" t="s">
        <v>460</v>
      </c>
      <c r="C523" s="47" t="s">
        <v>185</v>
      </c>
      <c r="D523" s="47" t="str">
        <f t="shared" si="59"/>
        <v>AKUMS DRUGS &amp; PHARMACEUTICALS</v>
      </c>
      <c r="E523" s="47">
        <v>50081840</v>
      </c>
      <c r="F523" s="47" t="s">
        <v>137</v>
      </c>
      <c r="G523" s="46">
        <v>359346</v>
      </c>
      <c r="H523" s="50">
        <v>1.1758138395863598</v>
      </c>
      <c r="I523" s="46">
        <f t="shared" ref="I523:I593" si="62">G523*H523</f>
        <v>422524.00000000006</v>
      </c>
      <c r="J523" s="47"/>
      <c r="K523" s="47"/>
      <c r="L523" s="47"/>
      <c r="M523" s="47"/>
      <c r="N523" s="47"/>
      <c r="O523" s="47"/>
      <c r="P523" s="47"/>
      <c r="Q523" s="49"/>
      <c r="R523" s="47"/>
      <c r="S523" s="47"/>
      <c r="T523" s="47">
        <v>1</v>
      </c>
      <c r="U523" s="47">
        <v>1</v>
      </c>
      <c r="V523" s="47">
        <v>3</v>
      </c>
      <c r="W523" s="51">
        <f t="shared" si="56"/>
        <v>5</v>
      </c>
      <c r="X523" s="60"/>
    </row>
    <row r="524" spans="1:24">
      <c r="A524" s="47" t="s">
        <v>351</v>
      </c>
      <c r="B524" s="46" t="s">
        <v>460</v>
      </c>
      <c r="C524" s="47" t="s">
        <v>185</v>
      </c>
      <c r="D524" s="47" t="str">
        <f t="shared" si="59"/>
        <v>AKUMS DRUGS &amp; PHARMACEUTICALS</v>
      </c>
      <c r="E524" s="47">
        <v>50099313</v>
      </c>
      <c r="F524" s="47" t="s">
        <v>208</v>
      </c>
      <c r="G524" s="46">
        <v>100000</v>
      </c>
      <c r="H524" s="50">
        <v>1.5658799999999999</v>
      </c>
      <c r="I524" s="46">
        <f t="shared" si="62"/>
        <v>156588</v>
      </c>
      <c r="J524" s="47" t="s">
        <v>374</v>
      </c>
      <c r="K524" s="47"/>
      <c r="L524" s="47"/>
      <c r="M524" s="47"/>
      <c r="N524" s="47"/>
      <c r="O524" s="47"/>
      <c r="P524" s="47"/>
      <c r="Q524" s="49"/>
      <c r="R524" s="47"/>
      <c r="S524" s="47"/>
      <c r="T524" s="47">
        <v>1</v>
      </c>
      <c r="U524" s="47">
        <v>1</v>
      </c>
      <c r="V524" s="47">
        <v>3</v>
      </c>
      <c r="W524" s="51">
        <f t="shared" si="56"/>
        <v>5</v>
      </c>
      <c r="X524" s="60"/>
    </row>
    <row r="525" spans="1:24" hidden="1">
      <c r="A525" s="47" t="s">
        <v>351</v>
      </c>
      <c r="B525" s="46" t="s">
        <v>460</v>
      </c>
      <c r="C525" s="47" t="s">
        <v>185</v>
      </c>
      <c r="D525" s="47" t="str">
        <f t="shared" si="59"/>
        <v>AKUMS DRUGS &amp; PHARMACEUTICALS</v>
      </c>
      <c r="E525" s="47">
        <v>50114370</v>
      </c>
      <c r="F525" s="47" t="s">
        <v>146</v>
      </c>
      <c r="G525" s="46">
        <v>596659</v>
      </c>
      <c r="H525" s="50">
        <v>1.8672374002570982</v>
      </c>
      <c r="I525" s="46">
        <f t="shared" si="62"/>
        <v>1114104</v>
      </c>
      <c r="J525" s="47"/>
      <c r="K525" s="47"/>
      <c r="L525" s="47"/>
      <c r="M525" s="47"/>
      <c r="N525" s="47"/>
      <c r="O525" s="47"/>
      <c r="P525" s="47"/>
      <c r="Q525" s="49"/>
      <c r="R525" s="47"/>
      <c r="S525" s="47"/>
      <c r="T525" s="47">
        <v>1</v>
      </c>
      <c r="U525" s="47">
        <v>1</v>
      </c>
      <c r="V525" s="47">
        <v>3</v>
      </c>
      <c r="W525" s="51">
        <f t="shared" si="56"/>
        <v>5</v>
      </c>
      <c r="X525" s="60"/>
    </row>
    <row r="526" spans="1:24" hidden="1">
      <c r="A526" s="47" t="s">
        <v>351</v>
      </c>
      <c r="B526" s="46" t="s">
        <v>460</v>
      </c>
      <c r="C526" s="47" t="s">
        <v>185</v>
      </c>
      <c r="D526" s="47" t="str">
        <f t="shared" si="59"/>
        <v>AKUMS DRUGS &amp; PHARMACEUTICALS</v>
      </c>
      <c r="E526" s="47">
        <v>50114401</v>
      </c>
      <c r="F526" s="47" t="s">
        <v>248</v>
      </c>
      <c r="G526" s="46">
        <v>247581</v>
      </c>
      <c r="H526" s="50">
        <v>2.1376236464025915</v>
      </c>
      <c r="I526" s="46">
        <f t="shared" si="62"/>
        <v>529235</v>
      </c>
      <c r="J526" s="47"/>
      <c r="K526" s="47"/>
      <c r="L526" s="47"/>
      <c r="M526" s="47"/>
      <c r="N526" s="47"/>
      <c r="O526" s="47"/>
      <c r="P526" s="47"/>
      <c r="Q526" s="49"/>
      <c r="R526" s="47"/>
      <c r="S526" s="47"/>
      <c r="T526" s="47">
        <v>1</v>
      </c>
      <c r="U526" s="47">
        <v>1</v>
      </c>
      <c r="V526" s="47">
        <v>3</v>
      </c>
      <c r="W526" s="51">
        <f t="shared" si="56"/>
        <v>5</v>
      </c>
      <c r="X526" s="60"/>
    </row>
    <row r="527" spans="1:24" hidden="1">
      <c r="A527" s="47" t="s">
        <v>346</v>
      </c>
      <c r="B527" s="46" t="s">
        <v>460</v>
      </c>
      <c r="C527" s="47" t="s">
        <v>414</v>
      </c>
      <c r="D527" s="47" t="str">
        <f t="shared" si="59"/>
        <v>MANKIND PHARMA LTD</v>
      </c>
      <c r="E527" s="47">
        <v>50081547</v>
      </c>
      <c r="F527" s="47" t="s">
        <v>371</v>
      </c>
      <c r="G527" s="46">
        <v>250000</v>
      </c>
      <c r="H527" s="50">
        <v>0.79</v>
      </c>
      <c r="I527" s="46">
        <f t="shared" si="62"/>
        <v>197500</v>
      </c>
      <c r="J527" s="46" t="s">
        <v>374</v>
      </c>
      <c r="K527" s="47"/>
      <c r="L527" s="46" t="s">
        <v>482</v>
      </c>
      <c r="M527" s="47"/>
      <c r="N527" s="47"/>
      <c r="O527" s="47"/>
      <c r="P527" s="47"/>
      <c r="Q527" s="49"/>
      <c r="R527" s="47"/>
      <c r="S527" s="52">
        <v>46028</v>
      </c>
      <c r="T527" s="47">
        <v>1</v>
      </c>
      <c r="U527" s="47">
        <v>1</v>
      </c>
      <c r="V527" s="47">
        <v>3</v>
      </c>
      <c r="W527" s="52">
        <f t="shared" si="56"/>
        <v>46033</v>
      </c>
      <c r="X527" s="59"/>
    </row>
    <row r="528" spans="1:24" hidden="1">
      <c r="A528" s="47" t="s">
        <v>346</v>
      </c>
      <c r="B528" s="46" t="s">
        <v>460</v>
      </c>
      <c r="C528" s="47" t="s">
        <v>414</v>
      </c>
      <c r="D528" s="47" t="str">
        <f t="shared" si="59"/>
        <v>MANKIND PHARMA LTD</v>
      </c>
      <c r="E528" s="47">
        <v>50096939</v>
      </c>
      <c r="F528" s="47" t="s">
        <v>372</v>
      </c>
      <c r="G528" s="46">
        <v>200000</v>
      </c>
      <c r="H528" s="50">
        <v>5.47</v>
      </c>
      <c r="I528" s="46">
        <f t="shared" ref="I528:I530" si="63">G528*H528</f>
        <v>1094000</v>
      </c>
      <c r="J528" s="46" t="s">
        <v>374</v>
      </c>
      <c r="K528" s="47"/>
      <c r="L528" s="47" t="s">
        <v>482</v>
      </c>
      <c r="M528" s="47"/>
      <c r="N528" s="47"/>
      <c r="O528" s="47"/>
      <c r="P528" s="47"/>
      <c r="Q528" s="49"/>
      <c r="R528" s="47"/>
      <c r="S528" s="52">
        <v>46028</v>
      </c>
      <c r="T528" s="47">
        <v>1</v>
      </c>
      <c r="U528" s="47">
        <v>1</v>
      </c>
      <c r="V528" s="47">
        <v>3</v>
      </c>
      <c r="W528" s="52">
        <f t="shared" ref="W528:W530" si="64">S528+T528+U528+V528</f>
        <v>46033</v>
      </c>
      <c r="X528" s="59"/>
    </row>
    <row r="529" spans="1:24" hidden="1">
      <c r="A529" s="47" t="s">
        <v>346</v>
      </c>
      <c r="B529" s="46" t="s">
        <v>460</v>
      </c>
      <c r="C529" s="47" t="s">
        <v>414</v>
      </c>
      <c r="D529" s="47" t="str">
        <f t="shared" si="59"/>
        <v>MANKIND PHARMA LTD</v>
      </c>
      <c r="E529" s="47">
        <v>50091674</v>
      </c>
      <c r="F529" s="47" t="s">
        <v>373</v>
      </c>
      <c r="G529" s="46">
        <v>200000</v>
      </c>
      <c r="H529" s="50">
        <v>1.6</v>
      </c>
      <c r="I529" s="46">
        <f t="shared" si="63"/>
        <v>320000</v>
      </c>
      <c r="J529" s="46" t="s">
        <v>374</v>
      </c>
      <c r="K529" s="47"/>
      <c r="L529" s="47" t="s">
        <v>482</v>
      </c>
      <c r="M529" s="47"/>
      <c r="N529" s="47"/>
      <c r="O529" s="47"/>
      <c r="P529" s="47"/>
      <c r="Q529" s="49"/>
      <c r="R529" s="47"/>
      <c r="S529" s="52">
        <v>46028</v>
      </c>
      <c r="T529" s="47">
        <v>1</v>
      </c>
      <c r="U529" s="47">
        <v>1</v>
      </c>
      <c r="V529" s="47">
        <v>3</v>
      </c>
      <c r="W529" s="52">
        <f t="shared" si="64"/>
        <v>46033</v>
      </c>
      <c r="X529" s="59"/>
    </row>
    <row r="530" spans="1:24" hidden="1">
      <c r="A530" s="47" t="s">
        <v>346</v>
      </c>
      <c r="B530" s="46" t="s">
        <v>460</v>
      </c>
      <c r="C530" s="47" t="s">
        <v>414</v>
      </c>
      <c r="D530" s="47" t="str">
        <f t="shared" si="59"/>
        <v>MANKIND PHARMA LTD</v>
      </c>
      <c r="E530" s="47">
        <v>50081547</v>
      </c>
      <c r="F530" s="47" t="s">
        <v>371</v>
      </c>
      <c r="G530" s="46">
        <v>200000</v>
      </c>
      <c r="H530" s="50">
        <v>0.79</v>
      </c>
      <c r="I530" s="46">
        <f t="shared" si="63"/>
        <v>158000</v>
      </c>
      <c r="J530" s="46" t="s">
        <v>374</v>
      </c>
      <c r="K530" s="47"/>
      <c r="L530" s="47" t="s">
        <v>482</v>
      </c>
      <c r="M530" s="47"/>
      <c r="N530" s="47"/>
      <c r="O530" s="47"/>
      <c r="P530" s="47"/>
      <c r="Q530" s="49"/>
      <c r="R530" s="47"/>
      <c r="S530" s="52">
        <v>46032</v>
      </c>
      <c r="T530" s="47">
        <v>1</v>
      </c>
      <c r="U530" s="47">
        <v>1</v>
      </c>
      <c r="V530" s="47">
        <v>3</v>
      </c>
      <c r="W530" s="52">
        <f t="shared" si="64"/>
        <v>46037</v>
      </c>
      <c r="X530" s="59"/>
    </row>
    <row r="531" spans="1:24" hidden="1">
      <c r="A531" s="47" t="s">
        <v>346</v>
      </c>
      <c r="B531" s="46" t="s">
        <v>460</v>
      </c>
      <c r="C531" s="47" t="s">
        <v>414</v>
      </c>
      <c r="D531" s="47" t="str">
        <f t="shared" si="59"/>
        <v>MANKIND PHARMA LTD</v>
      </c>
      <c r="E531" s="47">
        <v>50096939</v>
      </c>
      <c r="F531" s="47" t="s">
        <v>372</v>
      </c>
      <c r="G531" s="46">
        <v>300000</v>
      </c>
      <c r="H531" s="50">
        <v>5.47</v>
      </c>
      <c r="I531" s="46">
        <f t="shared" si="62"/>
        <v>1641000</v>
      </c>
      <c r="J531" s="46" t="s">
        <v>374</v>
      </c>
      <c r="K531" s="47"/>
      <c r="L531" s="47" t="s">
        <v>482</v>
      </c>
      <c r="M531" s="47"/>
      <c r="N531" s="47"/>
      <c r="O531" s="47"/>
      <c r="P531" s="47"/>
      <c r="Q531" s="49"/>
      <c r="R531" s="47"/>
      <c r="S531" s="52">
        <v>46028</v>
      </c>
      <c r="T531" s="47">
        <v>1</v>
      </c>
      <c r="U531" s="47">
        <v>1</v>
      </c>
      <c r="V531" s="47">
        <v>3</v>
      </c>
      <c r="W531" s="52">
        <f t="shared" si="56"/>
        <v>46033</v>
      </c>
      <c r="X531" s="59"/>
    </row>
    <row r="532" spans="1:24" hidden="1">
      <c r="A532" s="47" t="s">
        <v>346</v>
      </c>
      <c r="B532" s="46" t="s">
        <v>460</v>
      </c>
      <c r="C532" s="47" t="s">
        <v>414</v>
      </c>
      <c r="D532" s="47" t="str">
        <f t="shared" si="59"/>
        <v>MANKIND PHARMA LTD</v>
      </c>
      <c r="E532" s="47">
        <v>50091674</v>
      </c>
      <c r="F532" s="47" t="s">
        <v>373</v>
      </c>
      <c r="G532" s="46">
        <v>300000</v>
      </c>
      <c r="H532" s="50">
        <v>1.6</v>
      </c>
      <c r="I532" s="46">
        <f t="shared" si="62"/>
        <v>480000</v>
      </c>
      <c r="J532" s="46" t="s">
        <v>374</v>
      </c>
      <c r="K532" s="47"/>
      <c r="L532" s="47" t="s">
        <v>482</v>
      </c>
      <c r="M532" s="47"/>
      <c r="N532" s="47"/>
      <c r="O532" s="47"/>
      <c r="P532" s="47"/>
      <c r="Q532" s="49"/>
      <c r="R532" s="47"/>
      <c r="S532" s="52">
        <v>46028</v>
      </c>
      <c r="T532" s="47">
        <v>1</v>
      </c>
      <c r="U532" s="47">
        <v>1</v>
      </c>
      <c r="V532" s="47">
        <v>3</v>
      </c>
      <c r="W532" s="52">
        <f t="shared" si="56"/>
        <v>46033</v>
      </c>
      <c r="X532" s="59"/>
    </row>
    <row r="533" spans="1:24" hidden="1">
      <c r="A533" s="47" t="s">
        <v>346</v>
      </c>
      <c r="B533" s="46" t="s">
        <v>460</v>
      </c>
      <c r="C533" s="47" t="s">
        <v>414</v>
      </c>
      <c r="D533" s="47" t="str">
        <f t="shared" si="59"/>
        <v>MANKIND PHARMA LTD</v>
      </c>
      <c r="E533" s="47">
        <v>50081547</v>
      </c>
      <c r="F533" s="47" t="s">
        <v>371</v>
      </c>
      <c r="G533" s="46">
        <v>300000</v>
      </c>
      <c r="H533" s="50">
        <v>0.79</v>
      </c>
      <c r="I533" s="46">
        <f t="shared" si="62"/>
        <v>237000</v>
      </c>
      <c r="J533" s="46" t="s">
        <v>374</v>
      </c>
      <c r="K533" s="47"/>
      <c r="L533" s="47" t="s">
        <v>482</v>
      </c>
      <c r="M533" s="47"/>
      <c r="N533" s="47"/>
      <c r="O533" s="47"/>
      <c r="P533" s="47"/>
      <c r="Q533" s="49"/>
      <c r="R533" s="47"/>
      <c r="S533" s="52">
        <v>46032</v>
      </c>
      <c r="T533" s="47">
        <v>1</v>
      </c>
      <c r="U533" s="47">
        <v>1</v>
      </c>
      <c r="V533" s="47">
        <v>3</v>
      </c>
      <c r="W533" s="52">
        <f t="shared" si="56"/>
        <v>46037</v>
      </c>
      <c r="X533" s="59"/>
    </row>
    <row r="534" spans="1:24" hidden="1">
      <c r="A534" s="47" t="s">
        <v>346</v>
      </c>
      <c r="B534" s="46" t="s">
        <v>460</v>
      </c>
      <c r="C534" s="47" t="s">
        <v>414</v>
      </c>
      <c r="D534" s="47" t="str">
        <f t="shared" si="59"/>
        <v>MANKIND PHARMA LTD</v>
      </c>
      <c r="E534" s="47">
        <v>50096939</v>
      </c>
      <c r="F534" s="47" t="s">
        <v>372</v>
      </c>
      <c r="G534" s="46">
        <v>250000</v>
      </c>
      <c r="H534" s="50">
        <v>5.47</v>
      </c>
      <c r="I534" s="46">
        <f t="shared" si="62"/>
        <v>1367500</v>
      </c>
      <c r="J534" s="46" t="s">
        <v>374</v>
      </c>
      <c r="K534" s="47"/>
      <c r="L534" s="47" t="s">
        <v>482</v>
      </c>
      <c r="M534" s="47"/>
      <c r="N534" s="47"/>
      <c r="O534" s="47"/>
      <c r="P534" s="47"/>
      <c r="Q534" s="49"/>
      <c r="R534" s="47"/>
      <c r="S534" s="52">
        <v>46032</v>
      </c>
      <c r="T534" s="47">
        <v>1</v>
      </c>
      <c r="U534" s="47">
        <v>1</v>
      </c>
      <c r="V534" s="47">
        <v>3</v>
      </c>
      <c r="W534" s="52">
        <f t="shared" si="56"/>
        <v>46037</v>
      </c>
      <c r="X534" s="59"/>
    </row>
    <row r="535" spans="1:24" hidden="1">
      <c r="A535" s="47" t="s">
        <v>346</v>
      </c>
      <c r="B535" s="46" t="s">
        <v>460</v>
      </c>
      <c r="C535" s="47" t="s">
        <v>414</v>
      </c>
      <c r="D535" s="47" t="str">
        <f t="shared" si="59"/>
        <v>MANKIND PHARMA LTD</v>
      </c>
      <c r="E535" s="47">
        <v>50091674</v>
      </c>
      <c r="F535" s="47" t="s">
        <v>373</v>
      </c>
      <c r="G535" s="46">
        <v>250000</v>
      </c>
      <c r="H535" s="50">
        <v>1.6</v>
      </c>
      <c r="I535" s="46">
        <f t="shared" si="62"/>
        <v>400000</v>
      </c>
      <c r="J535" s="46" t="s">
        <v>374</v>
      </c>
      <c r="K535" s="47"/>
      <c r="L535" s="47" t="s">
        <v>482</v>
      </c>
      <c r="M535" s="47"/>
      <c r="N535" s="47"/>
      <c r="O535" s="47"/>
      <c r="P535" s="47"/>
      <c r="Q535" s="49"/>
      <c r="R535" s="47"/>
      <c r="S535" s="52">
        <v>46032</v>
      </c>
      <c r="T535" s="47">
        <v>1</v>
      </c>
      <c r="U535" s="47">
        <v>1</v>
      </c>
      <c r="V535" s="47">
        <v>3</v>
      </c>
      <c r="W535" s="52">
        <f t="shared" si="56"/>
        <v>46037</v>
      </c>
      <c r="X535" s="59"/>
    </row>
    <row r="536" spans="1:24" hidden="1">
      <c r="A536" s="47" t="s">
        <v>346</v>
      </c>
      <c r="B536" s="46" t="s">
        <v>460</v>
      </c>
      <c r="C536" s="47" t="s">
        <v>414</v>
      </c>
      <c r="D536" s="47" t="str">
        <f t="shared" si="59"/>
        <v>MANKIND PHARMA LTD</v>
      </c>
      <c r="E536" s="47">
        <v>50081547</v>
      </c>
      <c r="F536" s="47" t="s">
        <v>371</v>
      </c>
      <c r="G536" s="46">
        <v>300000</v>
      </c>
      <c r="H536" s="50">
        <v>0.79</v>
      </c>
      <c r="I536" s="46">
        <f t="shared" si="62"/>
        <v>237000</v>
      </c>
      <c r="J536" s="46" t="s">
        <v>374</v>
      </c>
      <c r="K536" s="47"/>
      <c r="L536" s="47"/>
      <c r="M536" s="47"/>
      <c r="N536" s="47"/>
      <c r="O536" s="47"/>
      <c r="P536" s="47"/>
      <c r="Q536" s="49"/>
      <c r="R536" s="47"/>
      <c r="S536" s="52">
        <v>46035</v>
      </c>
      <c r="T536" s="47">
        <v>1</v>
      </c>
      <c r="U536" s="47">
        <v>1</v>
      </c>
      <c r="V536" s="47">
        <v>3</v>
      </c>
      <c r="W536" s="52">
        <f t="shared" si="56"/>
        <v>46040</v>
      </c>
      <c r="X536" s="59"/>
    </row>
    <row r="537" spans="1:24" hidden="1">
      <c r="A537" s="47" t="s">
        <v>346</v>
      </c>
      <c r="B537" s="46" t="s">
        <v>460</v>
      </c>
      <c r="C537" s="47" t="s">
        <v>414</v>
      </c>
      <c r="D537" s="47" t="str">
        <f t="shared" si="59"/>
        <v>MANKIND PHARMA LTD</v>
      </c>
      <c r="E537" s="47">
        <v>50096939</v>
      </c>
      <c r="F537" s="47" t="s">
        <v>372</v>
      </c>
      <c r="G537" s="46">
        <v>300000</v>
      </c>
      <c r="H537" s="50">
        <v>5.47</v>
      </c>
      <c r="I537" s="46">
        <f t="shared" si="62"/>
        <v>1641000</v>
      </c>
      <c r="J537" s="46" t="s">
        <v>374</v>
      </c>
      <c r="K537" s="47"/>
      <c r="L537" s="47"/>
      <c r="M537" s="47"/>
      <c r="N537" s="47"/>
      <c r="O537" s="47"/>
      <c r="P537" s="47"/>
      <c r="Q537" s="49"/>
      <c r="R537" s="47"/>
      <c r="S537" s="52">
        <v>46035</v>
      </c>
      <c r="T537" s="47">
        <v>1</v>
      </c>
      <c r="U537" s="47">
        <v>1</v>
      </c>
      <c r="V537" s="47">
        <v>3</v>
      </c>
      <c r="W537" s="52">
        <f t="shared" si="56"/>
        <v>46040</v>
      </c>
      <c r="X537" s="59"/>
    </row>
    <row r="538" spans="1:24" hidden="1">
      <c r="A538" s="47" t="s">
        <v>346</v>
      </c>
      <c r="B538" s="46" t="s">
        <v>460</v>
      </c>
      <c r="C538" s="47" t="s">
        <v>414</v>
      </c>
      <c r="D538" s="47" t="str">
        <f t="shared" ref="D538" si="65">C538</f>
        <v>MANKIND PHARMA LTD</v>
      </c>
      <c r="E538" s="47">
        <v>50091674</v>
      </c>
      <c r="F538" s="47" t="s">
        <v>373</v>
      </c>
      <c r="G538" s="46">
        <v>300000</v>
      </c>
      <c r="H538" s="50">
        <v>1.6</v>
      </c>
      <c r="I538" s="46">
        <f t="shared" si="62"/>
        <v>480000</v>
      </c>
      <c r="J538" s="46" t="s">
        <v>374</v>
      </c>
      <c r="K538" s="47"/>
      <c r="L538" s="47"/>
      <c r="M538" s="47"/>
      <c r="N538" s="47"/>
      <c r="O538" s="47"/>
      <c r="P538" s="47"/>
      <c r="Q538" s="49"/>
      <c r="R538" s="47"/>
      <c r="S538" s="52">
        <v>46035</v>
      </c>
      <c r="T538" s="47">
        <v>1</v>
      </c>
      <c r="U538" s="47">
        <v>1</v>
      </c>
      <c r="V538" s="47">
        <v>3</v>
      </c>
      <c r="W538" s="52">
        <f t="shared" si="56"/>
        <v>46040</v>
      </c>
      <c r="X538" s="59"/>
    </row>
    <row r="539" spans="1:24" hidden="1">
      <c r="A539" s="47" t="s">
        <v>351</v>
      </c>
      <c r="B539" s="46" t="s">
        <v>457</v>
      </c>
      <c r="C539" s="47" t="s">
        <v>376</v>
      </c>
      <c r="D539" s="47" t="s">
        <v>376</v>
      </c>
      <c r="E539" s="47">
        <v>50111528</v>
      </c>
      <c r="F539" s="47" t="s">
        <v>38</v>
      </c>
      <c r="G539" s="46">
        <v>300000</v>
      </c>
      <c r="H539" s="47">
        <v>1.69</v>
      </c>
      <c r="I539" s="46">
        <f t="shared" si="62"/>
        <v>507000</v>
      </c>
      <c r="J539" s="47" t="s">
        <v>374</v>
      </c>
      <c r="K539" s="47"/>
      <c r="L539" s="47"/>
      <c r="M539" s="47"/>
      <c r="N539" s="47"/>
      <c r="O539" s="47"/>
      <c r="P539" s="47"/>
      <c r="Q539" s="49"/>
      <c r="R539" s="47"/>
      <c r="S539" s="47"/>
      <c r="T539" s="47">
        <v>1</v>
      </c>
      <c r="U539" s="47">
        <v>1</v>
      </c>
      <c r="V539" s="47">
        <v>3</v>
      </c>
      <c r="W539" s="51">
        <f t="shared" si="56"/>
        <v>5</v>
      </c>
      <c r="X539" s="60"/>
    </row>
    <row r="540" spans="1:24" hidden="1">
      <c r="A540" s="47" t="s">
        <v>351</v>
      </c>
      <c r="B540" s="46" t="s">
        <v>457</v>
      </c>
      <c r="C540" s="47" t="s">
        <v>376</v>
      </c>
      <c r="D540" s="47" t="s">
        <v>376</v>
      </c>
      <c r="E540" s="47">
        <v>50081808</v>
      </c>
      <c r="F540" s="47" t="s">
        <v>23</v>
      </c>
      <c r="G540" s="46">
        <v>300000</v>
      </c>
      <c r="H540" s="47">
        <v>0.54</v>
      </c>
      <c r="I540" s="46">
        <f t="shared" si="62"/>
        <v>162000</v>
      </c>
      <c r="J540" s="47" t="s">
        <v>374</v>
      </c>
      <c r="K540" s="47"/>
      <c r="L540" s="47"/>
      <c r="M540" s="47"/>
      <c r="N540" s="47"/>
      <c r="O540" s="47"/>
      <c r="P540" s="47"/>
      <c r="Q540" s="49"/>
      <c r="R540" s="47"/>
      <c r="S540" s="47"/>
      <c r="T540" s="47">
        <v>1</v>
      </c>
      <c r="U540" s="47">
        <v>1</v>
      </c>
      <c r="V540" s="47">
        <v>3</v>
      </c>
      <c r="W540" s="51">
        <f t="shared" si="56"/>
        <v>5</v>
      </c>
      <c r="X540" s="60"/>
    </row>
    <row r="541" spans="1:24" hidden="1">
      <c r="A541" s="47" t="s">
        <v>351</v>
      </c>
      <c r="B541" s="46" t="s">
        <v>457</v>
      </c>
      <c r="C541" s="47" t="s">
        <v>376</v>
      </c>
      <c r="D541" s="47" t="s">
        <v>376</v>
      </c>
      <c r="E541" s="47">
        <v>50111939</v>
      </c>
      <c r="F541" s="47" t="s">
        <v>39</v>
      </c>
      <c r="G541" s="46">
        <v>300000</v>
      </c>
      <c r="H541" s="47">
        <v>0.24</v>
      </c>
      <c r="I541" s="46">
        <f t="shared" si="62"/>
        <v>72000</v>
      </c>
      <c r="J541" s="47" t="s">
        <v>374</v>
      </c>
      <c r="K541" s="47"/>
      <c r="L541" s="47"/>
      <c r="M541" s="47"/>
      <c r="N541" s="47"/>
      <c r="O541" s="47"/>
      <c r="P541" s="47"/>
      <c r="Q541" s="49"/>
      <c r="R541" s="47"/>
      <c r="S541" s="47"/>
      <c r="T541" s="47">
        <v>1</v>
      </c>
      <c r="U541" s="47">
        <v>1</v>
      </c>
      <c r="V541" s="47">
        <v>3</v>
      </c>
      <c r="W541" s="51">
        <f t="shared" si="56"/>
        <v>5</v>
      </c>
      <c r="X541" s="60"/>
    </row>
    <row r="542" spans="1:24" hidden="1">
      <c r="A542" s="46" t="s">
        <v>347</v>
      </c>
      <c r="B542" s="46" t="s">
        <v>455</v>
      </c>
      <c r="C542" s="47" t="s">
        <v>5</v>
      </c>
      <c r="D542" s="47" t="s">
        <v>5</v>
      </c>
      <c r="E542" s="47">
        <v>50101139</v>
      </c>
      <c r="F542" s="47" t="s">
        <v>257</v>
      </c>
      <c r="G542" s="46">
        <v>170000</v>
      </c>
      <c r="H542" s="47">
        <v>3.26</v>
      </c>
      <c r="I542" s="46">
        <f t="shared" si="62"/>
        <v>554200</v>
      </c>
      <c r="J542" s="46" t="s">
        <v>374</v>
      </c>
      <c r="K542" s="46">
        <v>170000</v>
      </c>
      <c r="L542" s="46" t="s">
        <v>482</v>
      </c>
      <c r="M542" s="47">
        <v>25501615</v>
      </c>
      <c r="N542" s="48">
        <v>4110074139</v>
      </c>
      <c r="O542" s="49">
        <v>46010</v>
      </c>
      <c r="P542" s="50">
        <v>1</v>
      </c>
      <c r="Q542" s="49">
        <v>46081</v>
      </c>
      <c r="R542" s="47" t="s">
        <v>495</v>
      </c>
      <c r="S542" s="52">
        <v>46028</v>
      </c>
      <c r="T542" s="47">
        <v>1</v>
      </c>
      <c r="U542" s="47">
        <v>1</v>
      </c>
      <c r="V542" s="47"/>
      <c r="W542" s="52">
        <f t="shared" ref="W542:W543" si="66">S542+T542+U542</f>
        <v>46030</v>
      </c>
      <c r="X542" s="59"/>
    </row>
    <row r="543" spans="1:24" hidden="1">
      <c r="A543" s="47" t="s">
        <v>347</v>
      </c>
      <c r="B543" s="46" t="s">
        <v>457</v>
      </c>
      <c r="C543" s="47" t="s">
        <v>89</v>
      </c>
      <c r="D543" s="47" t="s">
        <v>377</v>
      </c>
      <c r="E543" s="47">
        <v>50110012</v>
      </c>
      <c r="F543" s="47" t="s">
        <v>103</v>
      </c>
      <c r="G543" s="46">
        <f>600000-70000</f>
        <v>530000</v>
      </c>
      <c r="H543" s="47">
        <v>2.2200000000000002</v>
      </c>
      <c r="I543" s="46">
        <f t="shared" si="62"/>
        <v>1176600</v>
      </c>
      <c r="J543" s="47" t="s">
        <v>401</v>
      </c>
      <c r="K543" s="47"/>
      <c r="L543" s="47"/>
      <c r="M543" s="47"/>
      <c r="N543" s="47"/>
      <c r="O543" s="47"/>
      <c r="P543" s="47"/>
      <c r="Q543" s="49"/>
      <c r="R543" s="47"/>
      <c r="S543" s="52">
        <v>46039</v>
      </c>
      <c r="T543" s="47">
        <v>1</v>
      </c>
      <c r="U543" s="47">
        <v>1</v>
      </c>
      <c r="V543" s="47"/>
      <c r="W543" s="52">
        <f t="shared" si="66"/>
        <v>46041</v>
      </c>
      <c r="X543" s="59"/>
    </row>
    <row r="544" spans="1:24" hidden="1">
      <c r="A544" s="47" t="s">
        <v>351</v>
      </c>
      <c r="B544" s="46" t="s">
        <v>457</v>
      </c>
      <c r="C544" s="47" t="s">
        <v>124</v>
      </c>
      <c r="D544" s="47" t="s">
        <v>124</v>
      </c>
      <c r="E544" s="47">
        <v>50112214</v>
      </c>
      <c r="F544" s="47" t="s">
        <v>380</v>
      </c>
      <c r="G544" s="46">
        <v>400000</v>
      </c>
      <c r="H544" s="47">
        <v>1.61</v>
      </c>
      <c r="I544" s="46">
        <f t="shared" si="62"/>
        <v>644000</v>
      </c>
      <c r="J544" s="47" t="s">
        <v>420</v>
      </c>
      <c r="K544" s="47"/>
      <c r="L544" s="47"/>
      <c r="M544" s="47"/>
      <c r="N544" s="47"/>
      <c r="O544" s="47"/>
      <c r="P544" s="47"/>
      <c r="Q544" s="49"/>
      <c r="R544" s="47"/>
      <c r="S544" s="47"/>
      <c r="T544" s="47"/>
      <c r="U544" s="47"/>
      <c r="V544" s="47"/>
      <c r="W544" s="47"/>
    </row>
    <row r="545" spans="1:24" hidden="1">
      <c r="A545" s="47" t="s">
        <v>351</v>
      </c>
      <c r="B545" s="46" t="s">
        <v>457</v>
      </c>
      <c r="C545" s="47" t="s">
        <v>124</v>
      </c>
      <c r="D545" s="47" t="s">
        <v>124</v>
      </c>
      <c r="E545" s="47">
        <v>50082011</v>
      </c>
      <c r="F545" s="47" t="s">
        <v>154</v>
      </c>
      <c r="G545" s="46">
        <v>400000</v>
      </c>
      <c r="H545" s="47">
        <v>0.46</v>
      </c>
      <c r="I545" s="46">
        <f t="shared" si="62"/>
        <v>184000</v>
      </c>
      <c r="J545" s="47" t="s">
        <v>420</v>
      </c>
      <c r="K545" s="47"/>
      <c r="L545" s="47"/>
      <c r="M545" s="47"/>
      <c r="N545" s="47"/>
      <c r="O545" s="47"/>
      <c r="P545" s="47"/>
      <c r="Q545" s="49"/>
      <c r="R545" s="47"/>
      <c r="S545" s="47"/>
      <c r="T545" s="47"/>
      <c r="U545" s="47"/>
      <c r="V545" s="47"/>
      <c r="W545" s="47"/>
    </row>
    <row r="546" spans="1:24" hidden="1">
      <c r="A546" s="47" t="s">
        <v>351</v>
      </c>
      <c r="B546" s="46" t="s">
        <v>457</v>
      </c>
      <c r="C546" s="47" t="s">
        <v>124</v>
      </c>
      <c r="D546" s="47" t="s">
        <v>124</v>
      </c>
      <c r="E546" s="47">
        <v>50104925</v>
      </c>
      <c r="F546" s="47" t="s">
        <v>381</v>
      </c>
      <c r="G546" s="46">
        <v>400000</v>
      </c>
      <c r="H546" s="47">
        <v>0.21</v>
      </c>
      <c r="I546" s="46">
        <f t="shared" si="62"/>
        <v>84000</v>
      </c>
      <c r="J546" s="47" t="s">
        <v>420</v>
      </c>
      <c r="K546" s="47"/>
      <c r="L546" s="47"/>
      <c r="M546" s="47"/>
      <c r="N546" s="47"/>
      <c r="O546" s="47"/>
      <c r="P546" s="47"/>
      <c r="Q546" s="49"/>
      <c r="R546" s="47"/>
      <c r="S546" s="47"/>
      <c r="T546" s="47"/>
      <c r="U546" s="47"/>
      <c r="V546" s="47"/>
      <c r="W546" s="47"/>
    </row>
    <row r="547" spans="1:24" hidden="1">
      <c r="A547" s="47" t="s">
        <v>351</v>
      </c>
      <c r="B547" s="46" t="s">
        <v>457</v>
      </c>
      <c r="C547" s="47" t="s">
        <v>259</v>
      </c>
      <c r="D547" s="47" t="s">
        <v>259</v>
      </c>
      <c r="E547" s="47">
        <v>50083266</v>
      </c>
      <c r="F547" s="47" t="s">
        <v>73</v>
      </c>
      <c r="G547" s="46">
        <v>100000</v>
      </c>
      <c r="H547" s="47">
        <v>1.8</v>
      </c>
      <c r="I547" s="46">
        <f t="shared" si="62"/>
        <v>180000</v>
      </c>
      <c r="J547" s="47"/>
      <c r="K547" s="47"/>
      <c r="L547" s="47"/>
      <c r="M547" s="47"/>
      <c r="N547" s="47"/>
      <c r="O547" s="47"/>
      <c r="P547" s="47"/>
      <c r="Q547" s="49"/>
      <c r="R547" s="47"/>
      <c r="S547" s="47"/>
      <c r="T547" s="47">
        <v>1</v>
      </c>
      <c r="U547" s="47">
        <v>1</v>
      </c>
      <c r="V547" s="47">
        <v>3</v>
      </c>
      <c r="W547" s="51">
        <f t="shared" ref="W547:W558" si="67">S547+T547+U547+V547</f>
        <v>5</v>
      </c>
      <c r="X547" s="60"/>
    </row>
    <row r="548" spans="1:24" hidden="1">
      <c r="A548" s="47" t="s">
        <v>351</v>
      </c>
      <c r="B548" s="46" t="s">
        <v>457</v>
      </c>
      <c r="C548" s="47" t="s">
        <v>259</v>
      </c>
      <c r="D548" s="47" t="s">
        <v>259</v>
      </c>
      <c r="E548" s="47">
        <v>50099121</v>
      </c>
      <c r="F548" s="47" t="s">
        <v>51</v>
      </c>
      <c r="G548" s="46">
        <v>100000</v>
      </c>
      <c r="H548" s="47">
        <v>0.31</v>
      </c>
      <c r="I548" s="46">
        <f t="shared" si="62"/>
        <v>31000</v>
      </c>
      <c r="J548" s="47"/>
      <c r="K548" s="47"/>
      <c r="L548" s="47"/>
      <c r="M548" s="47"/>
      <c r="N548" s="47"/>
      <c r="O548" s="47"/>
      <c r="P548" s="47"/>
      <c r="Q548" s="49"/>
      <c r="R548" s="47"/>
      <c r="S548" s="47"/>
      <c r="T548" s="47">
        <v>1</v>
      </c>
      <c r="U548" s="47">
        <v>1</v>
      </c>
      <c r="V548" s="47">
        <v>3</v>
      </c>
      <c r="W548" s="51">
        <f t="shared" si="67"/>
        <v>5</v>
      </c>
      <c r="X548" s="60"/>
    </row>
    <row r="549" spans="1:24" hidden="1">
      <c r="A549" s="47" t="s">
        <v>351</v>
      </c>
      <c r="B549" s="46" t="s">
        <v>457</v>
      </c>
      <c r="C549" s="47" t="s">
        <v>259</v>
      </c>
      <c r="D549" s="47" t="s">
        <v>259</v>
      </c>
      <c r="E549" s="47">
        <v>50081903</v>
      </c>
      <c r="F549" s="47" t="s">
        <v>50</v>
      </c>
      <c r="G549" s="46">
        <v>100000</v>
      </c>
      <c r="H549" s="47">
        <v>0.51</v>
      </c>
      <c r="I549" s="46">
        <f t="shared" si="62"/>
        <v>51000</v>
      </c>
      <c r="J549" s="47"/>
      <c r="K549" s="47"/>
      <c r="L549" s="47"/>
      <c r="M549" s="47"/>
      <c r="N549" s="47"/>
      <c r="O549" s="47"/>
      <c r="P549" s="47"/>
      <c r="Q549" s="49"/>
      <c r="R549" s="47"/>
      <c r="S549" s="47"/>
      <c r="T549" s="47">
        <v>1</v>
      </c>
      <c r="U549" s="47">
        <v>1</v>
      </c>
      <c r="V549" s="47">
        <v>3</v>
      </c>
      <c r="W549" s="51">
        <f t="shared" si="67"/>
        <v>5</v>
      </c>
      <c r="X549" s="60"/>
    </row>
    <row r="550" spans="1:24" hidden="1">
      <c r="A550" s="47" t="s">
        <v>346</v>
      </c>
      <c r="B550" s="46" t="s">
        <v>457</v>
      </c>
      <c r="C550" s="47" t="s">
        <v>259</v>
      </c>
      <c r="D550" s="47" t="s">
        <v>259</v>
      </c>
      <c r="E550" s="47">
        <v>50114358</v>
      </c>
      <c r="F550" s="47" t="s">
        <v>60</v>
      </c>
      <c r="G550" s="46">
        <v>150000</v>
      </c>
      <c r="H550" s="47">
        <v>3.89</v>
      </c>
      <c r="I550" s="46">
        <f t="shared" si="62"/>
        <v>583500</v>
      </c>
      <c r="J550" s="47" t="s">
        <v>374</v>
      </c>
      <c r="K550" s="47"/>
      <c r="L550" s="47"/>
      <c r="M550" s="47"/>
      <c r="N550" s="47"/>
      <c r="O550" s="47"/>
      <c r="P550" s="47"/>
      <c r="Q550" s="49"/>
      <c r="R550" s="47"/>
      <c r="S550" s="52">
        <v>46036</v>
      </c>
      <c r="T550" s="47">
        <v>1</v>
      </c>
      <c r="U550" s="47">
        <v>1</v>
      </c>
      <c r="V550" s="47">
        <v>3</v>
      </c>
      <c r="W550" s="52">
        <f t="shared" si="67"/>
        <v>46041</v>
      </c>
      <c r="X550" s="59"/>
    </row>
    <row r="551" spans="1:24" hidden="1">
      <c r="A551" s="47" t="s">
        <v>346</v>
      </c>
      <c r="B551" s="46" t="s">
        <v>457</v>
      </c>
      <c r="C551" s="47" t="s">
        <v>259</v>
      </c>
      <c r="D551" s="47" t="s">
        <v>259</v>
      </c>
      <c r="E551" s="47">
        <v>50105703</v>
      </c>
      <c r="F551" s="47" t="s">
        <v>260</v>
      </c>
      <c r="G551" s="46">
        <v>150000</v>
      </c>
      <c r="H551" s="47">
        <v>1.1000000000000001</v>
      </c>
      <c r="I551" s="46">
        <f t="shared" si="62"/>
        <v>165000</v>
      </c>
      <c r="J551" s="47" t="s">
        <v>374</v>
      </c>
      <c r="K551" s="47"/>
      <c r="L551" s="47"/>
      <c r="M551" s="47"/>
      <c r="N551" s="47"/>
      <c r="O551" s="47"/>
      <c r="P551" s="47"/>
      <c r="Q551" s="49"/>
      <c r="R551" s="47"/>
      <c r="S551" s="52">
        <v>46036</v>
      </c>
      <c r="T551" s="47">
        <v>1</v>
      </c>
      <c r="U551" s="47">
        <v>1</v>
      </c>
      <c r="V551" s="47">
        <v>3</v>
      </c>
      <c r="W551" s="52">
        <f t="shared" si="67"/>
        <v>46041</v>
      </c>
      <c r="X551" s="59"/>
    </row>
    <row r="552" spans="1:24" hidden="1">
      <c r="A552" s="47" t="s">
        <v>346</v>
      </c>
      <c r="B552" s="46" t="s">
        <v>457</v>
      </c>
      <c r="C552" s="47" t="s">
        <v>259</v>
      </c>
      <c r="D552" s="47" t="s">
        <v>259</v>
      </c>
      <c r="E552" s="47">
        <v>50113738</v>
      </c>
      <c r="F552" s="47" t="s">
        <v>12</v>
      </c>
      <c r="G552" s="46">
        <v>150000</v>
      </c>
      <c r="H552" s="47">
        <v>1.65</v>
      </c>
      <c r="I552" s="46">
        <f t="shared" si="62"/>
        <v>247500</v>
      </c>
      <c r="J552" s="47" t="s">
        <v>374</v>
      </c>
      <c r="K552" s="47"/>
      <c r="L552" s="47" t="s">
        <v>477</v>
      </c>
      <c r="M552" s="47"/>
      <c r="N552" s="47"/>
      <c r="O552" s="47"/>
      <c r="P552" s="47"/>
      <c r="Q552" s="49"/>
      <c r="R552" s="47"/>
      <c r="S552" s="52">
        <v>46036</v>
      </c>
      <c r="T552" s="47">
        <v>1</v>
      </c>
      <c r="U552" s="47">
        <v>1</v>
      </c>
      <c r="V552" s="47">
        <v>3</v>
      </c>
      <c r="W552" s="52">
        <f t="shared" si="67"/>
        <v>46041</v>
      </c>
      <c r="X552" s="59"/>
    </row>
    <row r="553" spans="1:24" hidden="1">
      <c r="A553" s="47" t="s">
        <v>346</v>
      </c>
      <c r="B553" s="46" t="s">
        <v>457</v>
      </c>
      <c r="C553" s="47" t="s">
        <v>259</v>
      </c>
      <c r="D553" s="47" t="s">
        <v>259</v>
      </c>
      <c r="E553" s="47">
        <v>50098148</v>
      </c>
      <c r="F553" s="47" t="s">
        <v>382</v>
      </c>
      <c r="G553" s="46">
        <v>150000</v>
      </c>
      <c r="H553" s="47">
        <v>4.92</v>
      </c>
      <c r="I553" s="46">
        <f t="shared" si="62"/>
        <v>738000</v>
      </c>
      <c r="J553" s="47" t="s">
        <v>374</v>
      </c>
      <c r="K553" s="47"/>
      <c r="L553" s="47"/>
      <c r="M553" s="47"/>
      <c r="N553" s="47"/>
      <c r="O553" s="47"/>
      <c r="P553" s="47"/>
      <c r="Q553" s="49"/>
      <c r="R553" s="47"/>
      <c r="S553" s="52">
        <v>46034</v>
      </c>
      <c r="T553" s="47">
        <v>1</v>
      </c>
      <c r="U553" s="47">
        <v>1</v>
      </c>
      <c r="V553" s="47">
        <v>3</v>
      </c>
      <c r="W553" s="52">
        <f t="shared" si="67"/>
        <v>46039</v>
      </c>
      <c r="X553" s="59"/>
    </row>
    <row r="554" spans="1:24" hidden="1">
      <c r="A554" s="47" t="s">
        <v>346</v>
      </c>
      <c r="B554" s="46" t="s">
        <v>457</v>
      </c>
      <c r="C554" s="47" t="s">
        <v>259</v>
      </c>
      <c r="D554" s="47" t="s">
        <v>259</v>
      </c>
      <c r="E554" s="47">
        <v>50113746</v>
      </c>
      <c r="F554" s="47" t="s">
        <v>383</v>
      </c>
      <c r="G554" s="46">
        <v>150000</v>
      </c>
      <c r="H554" s="47">
        <v>1.74</v>
      </c>
      <c r="I554" s="46">
        <f t="shared" si="62"/>
        <v>261000</v>
      </c>
      <c r="J554" s="47" t="s">
        <v>374</v>
      </c>
      <c r="K554" s="47"/>
      <c r="L554" s="47"/>
      <c r="M554" s="47"/>
      <c r="N554" s="47"/>
      <c r="O554" s="47"/>
      <c r="P554" s="47"/>
      <c r="Q554" s="49"/>
      <c r="R554" s="47"/>
      <c r="S554" s="52">
        <v>46034</v>
      </c>
      <c r="T554" s="47">
        <v>1</v>
      </c>
      <c r="U554" s="47">
        <v>1</v>
      </c>
      <c r="V554" s="47">
        <v>3</v>
      </c>
      <c r="W554" s="52">
        <f t="shared" si="67"/>
        <v>46039</v>
      </c>
      <c r="X554" s="59"/>
    </row>
    <row r="555" spans="1:24" hidden="1">
      <c r="A555" s="47" t="s">
        <v>346</v>
      </c>
      <c r="B555" s="46" t="s">
        <v>457</v>
      </c>
      <c r="C555" s="47" t="s">
        <v>259</v>
      </c>
      <c r="D555" s="47" t="s">
        <v>259</v>
      </c>
      <c r="E555" s="47">
        <v>50110391</v>
      </c>
      <c r="F555" s="47" t="s">
        <v>384</v>
      </c>
      <c r="G555" s="46">
        <v>150000</v>
      </c>
      <c r="H555" s="47">
        <v>1.17</v>
      </c>
      <c r="I555" s="46">
        <f t="shared" si="62"/>
        <v>175500</v>
      </c>
      <c r="J555" s="47" t="s">
        <v>374</v>
      </c>
      <c r="K555" s="47"/>
      <c r="L555" s="47"/>
      <c r="M555" s="47"/>
      <c r="N555" s="47"/>
      <c r="O555" s="47"/>
      <c r="P555" s="47"/>
      <c r="Q555" s="49"/>
      <c r="R555" s="47"/>
      <c r="S555" s="52">
        <v>46034</v>
      </c>
      <c r="T555" s="47">
        <v>1</v>
      </c>
      <c r="U555" s="47">
        <v>1</v>
      </c>
      <c r="V555" s="47">
        <v>3</v>
      </c>
      <c r="W555" s="52">
        <f t="shared" si="67"/>
        <v>46039</v>
      </c>
      <c r="X555" s="59"/>
    </row>
    <row r="556" spans="1:24" hidden="1">
      <c r="A556" s="47" t="s">
        <v>351</v>
      </c>
      <c r="B556" s="46" t="s">
        <v>457</v>
      </c>
      <c r="C556" s="47" t="s">
        <v>259</v>
      </c>
      <c r="D556" s="47" t="s">
        <v>259</v>
      </c>
      <c r="E556" s="47">
        <v>50114680</v>
      </c>
      <c r="F556" s="47" t="s">
        <v>385</v>
      </c>
      <c r="G556" s="46">
        <v>200000</v>
      </c>
      <c r="H556" s="47">
        <v>1.82</v>
      </c>
      <c r="I556" s="46">
        <f t="shared" si="62"/>
        <v>364000</v>
      </c>
      <c r="J556" s="47"/>
      <c r="K556" s="47"/>
      <c r="L556" s="47"/>
      <c r="M556" s="47"/>
      <c r="N556" s="47"/>
      <c r="O556" s="47"/>
      <c r="P556" s="47"/>
      <c r="Q556" s="49"/>
      <c r="R556" s="47"/>
      <c r="S556" s="47"/>
      <c r="T556" s="47">
        <v>1</v>
      </c>
      <c r="U556" s="47">
        <v>1</v>
      </c>
      <c r="V556" s="47">
        <v>3</v>
      </c>
      <c r="W556" s="51">
        <f t="shared" si="67"/>
        <v>5</v>
      </c>
      <c r="X556" s="60"/>
    </row>
    <row r="557" spans="1:24" hidden="1">
      <c r="A557" s="47" t="s">
        <v>351</v>
      </c>
      <c r="B557" s="46" t="s">
        <v>457</v>
      </c>
      <c r="C557" s="47" t="s">
        <v>259</v>
      </c>
      <c r="D557" s="47" t="s">
        <v>259</v>
      </c>
      <c r="E557" s="47">
        <v>50082039</v>
      </c>
      <c r="F557" s="47" t="s">
        <v>386</v>
      </c>
      <c r="G557" s="46">
        <v>200000</v>
      </c>
      <c r="H557" s="47">
        <v>0.36</v>
      </c>
      <c r="I557" s="46">
        <f t="shared" si="62"/>
        <v>72000</v>
      </c>
      <c r="J557" s="47"/>
      <c r="K557" s="47"/>
      <c r="L557" s="47"/>
      <c r="M557" s="47"/>
      <c r="N557" s="47"/>
      <c r="O557" s="47"/>
      <c r="P557" s="47"/>
      <c r="Q557" s="49"/>
      <c r="R557" s="47"/>
      <c r="S557" s="47"/>
      <c r="T557" s="47">
        <v>1</v>
      </c>
      <c r="U557" s="47">
        <v>1</v>
      </c>
      <c r="V557" s="47">
        <v>3</v>
      </c>
      <c r="W557" s="51">
        <f t="shared" si="67"/>
        <v>5</v>
      </c>
      <c r="X557" s="60"/>
    </row>
    <row r="558" spans="1:24" hidden="1">
      <c r="A558" s="47" t="s">
        <v>351</v>
      </c>
      <c r="B558" s="46" t="s">
        <v>457</v>
      </c>
      <c r="C558" s="47" t="s">
        <v>259</v>
      </c>
      <c r="D558" s="47" t="s">
        <v>259</v>
      </c>
      <c r="E558" s="47">
        <v>50081803</v>
      </c>
      <c r="F558" s="47" t="s">
        <v>387</v>
      </c>
      <c r="G558" s="46">
        <v>200000</v>
      </c>
      <c r="H558" s="47">
        <v>0.6</v>
      </c>
      <c r="I558" s="46">
        <f t="shared" si="62"/>
        <v>120000</v>
      </c>
      <c r="J558" s="47"/>
      <c r="K558" s="47"/>
      <c r="L558" s="47"/>
      <c r="M558" s="47"/>
      <c r="N558" s="47"/>
      <c r="O558" s="47"/>
      <c r="P558" s="47"/>
      <c r="Q558" s="49"/>
      <c r="R558" s="47"/>
      <c r="S558" s="47"/>
      <c r="T558" s="47">
        <v>1</v>
      </c>
      <c r="U558" s="47">
        <v>1</v>
      </c>
      <c r="V558" s="47">
        <v>3</v>
      </c>
      <c r="W558" s="51">
        <f t="shared" si="67"/>
        <v>5</v>
      </c>
      <c r="X558" s="60"/>
    </row>
    <row r="559" spans="1:24" hidden="1">
      <c r="A559" s="47" t="s">
        <v>351</v>
      </c>
      <c r="B559" s="46" t="s">
        <v>457</v>
      </c>
      <c r="C559" s="47" t="s">
        <v>378</v>
      </c>
      <c r="D559" s="47" t="s">
        <v>378</v>
      </c>
      <c r="E559" s="47">
        <v>50081786</v>
      </c>
      <c r="F559" s="47" t="s">
        <v>388</v>
      </c>
      <c r="G559" s="46">
        <v>50000</v>
      </c>
      <c r="H559" s="47">
        <v>1.92</v>
      </c>
      <c r="I559" s="46">
        <f t="shared" si="62"/>
        <v>96000</v>
      </c>
      <c r="J559" s="47" t="s">
        <v>374</v>
      </c>
      <c r="K559" s="47"/>
      <c r="L559" s="47"/>
      <c r="M559" s="47"/>
      <c r="N559" s="47"/>
      <c r="O559" s="47"/>
      <c r="P559" s="47"/>
      <c r="Q559" s="49"/>
      <c r="R559" s="47"/>
      <c r="S559" s="51">
        <v>46036</v>
      </c>
      <c r="T559" s="47">
        <v>1</v>
      </c>
      <c r="U559" s="47">
        <v>1</v>
      </c>
      <c r="V559" s="47">
        <v>3</v>
      </c>
      <c r="W559" s="51">
        <f t="shared" ref="W559:W564" si="68">S559+V559+U559+T559</f>
        <v>46041</v>
      </c>
      <c r="X559" s="60"/>
    </row>
    <row r="560" spans="1:24" hidden="1">
      <c r="A560" s="47" t="s">
        <v>351</v>
      </c>
      <c r="B560" s="46" t="s">
        <v>457</v>
      </c>
      <c r="C560" s="47" t="s">
        <v>378</v>
      </c>
      <c r="D560" s="47" t="s">
        <v>378</v>
      </c>
      <c r="E560" s="47">
        <v>50081930</v>
      </c>
      <c r="F560" s="47" t="s">
        <v>253</v>
      </c>
      <c r="G560" s="46">
        <v>50000</v>
      </c>
      <c r="H560" s="47">
        <v>0.79</v>
      </c>
      <c r="I560" s="46">
        <f t="shared" si="62"/>
        <v>39500</v>
      </c>
      <c r="J560" s="47" t="s">
        <v>374</v>
      </c>
      <c r="K560" s="47"/>
      <c r="L560" s="47"/>
      <c r="M560" s="47"/>
      <c r="N560" s="47"/>
      <c r="O560" s="47"/>
      <c r="P560" s="47"/>
      <c r="Q560" s="49"/>
      <c r="R560" s="47"/>
      <c r="S560" s="51">
        <v>46036</v>
      </c>
      <c r="T560" s="47">
        <v>1</v>
      </c>
      <c r="U560" s="47">
        <v>1</v>
      </c>
      <c r="V560" s="47">
        <v>3</v>
      </c>
      <c r="W560" s="51">
        <f t="shared" si="68"/>
        <v>46041</v>
      </c>
      <c r="X560" s="60"/>
    </row>
    <row r="561" spans="1:24" hidden="1">
      <c r="A561" s="47" t="s">
        <v>351</v>
      </c>
      <c r="B561" s="46" t="s">
        <v>457</v>
      </c>
      <c r="C561" s="47" t="s">
        <v>378</v>
      </c>
      <c r="D561" s="47" t="s">
        <v>378</v>
      </c>
      <c r="E561" s="47">
        <v>50115921</v>
      </c>
      <c r="F561" s="47" t="s">
        <v>389</v>
      </c>
      <c r="G561" s="46">
        <v>50000</v>
      </c>
      <c r="H561" s="47">
        <v>0.39</v>
      </c>
      <c r="I561" s="46">
        <f t="shared" si="62"/>
        <v>19500</v>
      </c>
      <c r="J561" s="47" t="s">
        <v>374</v>
      </c>
      <c r="K561" s="47"/>
      <c r="L561" s="47"/>
      <c r="M561" s="47"/>
      <c r="N561" s="47"/>
      <c r="O561" s="47"/>
      <c r="P561" s="47"/>
      <c r="Q561" s="49"/>
      <c r="R561" s="47"/>
      <c r="S561" s="51">
        <v>46036</v>
      </c>
      <c r="T561" s="47">
        <v>1</v>
      </c>
      <c r="U561" s="47">
        <v>1</v>
      </c>
      <c r="V561" s="47">
        <v>3</v>
      </c>
      <c r="W561" s="51">
        <f t="shared" si="68"/>
        <v>46041</v>
      </c>
      <c r="X561" s="60"/>
    </row>
    <row r="562" spans="1:24" hidden="1">
      <c r="A562" s="47" t="s">
        <v>351</v>
      </c>
      <c r="B562" s="46" t="s">
        <v>457</v>
      </c>
      <c r="C562" s="47" t="s">
        <v>378</v>
      </c>
      <c r="D562" s="47" t="s">
        <v>378</v>
      </c>
      <c r="E562" s="47">
        <v>50081866</v>
      </c>
      <c r="F562" s="47" t="s">
        <v>153</v>
      </c>
      <c r="G562" s="46">
        <v>50000</v>
      </c>
      <c r="H562" s="47">
        <v>1.86</v>
      </c>
      <c r="I562" s="46">
        <f t="shared" si="62"/>
        <v>93000</v>
      </c>
      <c r="J562" s="47" t="s">
        <v>374</v>
      </c>
      <c r="K562" s="47"/>
      <c r="L562" s="47"/>
      <c r="M562" s="47"/>
      <c r="N562" s="47"/>
      <c r="O562" s="47"/>
      <c r="P562" s="47"/>
      <c r="Q562" s="49"/>
      <c r="R562" s="47"/>
      <c r="S562" s="51">
        <v>46032</v>
      </c>
      <c r="T562" s="47">
        <v>1</v>
      </c>
      <c r="U562" s="47">
        <v>1</v>
      </c>
      <c r="V562" s="47">
        <v>3</v>
      </c>
      <c r="W562" s="51">
        <f t="shared" si="68"/>
        <v>46037</v>
      </c>
      <c r="X562" s="60"/>
    </row>
    <row r="563" spans="1:24" hidden="1">
      <c r="A563" s="47" t="s">
        <v>351</v>
      </c>
      <c r="B563" s="46" t="s">
        <v>457</v>
      </c>
      <c r="C563" s="47" t="s">
        <v>378</v>
      </c>
      <c r="D563" s="47" t="s">
        <v>378</v>
      </c>
      <c r="E563" s="47">
        <v>50082011</v>
      </c>
      <c r="F563" s="47" t="s">
        <v>154</v>
      </c>
      <c r="G563" s="46">
        <v>50000</v>
      </c>
      <c r="H563" s="47">
        <v>0.74</v>
      </c>
      <c r="I563" s="46">
        <f t="shared" si="62"/>
        <v>37000</v>
      </c>
      <c r="J563" s="47" t="s">
        <v>374</v>
      </c>
      <c r="K563" s="47"/>
      <c r="L563" s="47"/>
      <c r="M563" s="47"/>
      <c r="N563" s="47"/>
      <c r="O563" s="47"/>
      <c r="P563" s="47"/>
      <c r="Q563" s="49"/>
      <c r="R563" s="47"/>
      <c r="S563" s="51">
        <v>46032</v>
      </c>
      <c r="T563" s="47">
        <v>1</v>
      </c>
      <c r="U563" s="47">
        <v>1</v>
      </c>
      <c r="V563" s="47">
        <v>3</v>
      </c>
      <c r="W563" s="51">
        <f t="shared" si="68"/>
        <v>46037</v>
      </c>
      <c r="X563" s="60"/>
    </row>
    <row r="564" spans="1:24" hidden="1">
      <c r="A564" s="47" t="s">
        <v>351</v>
      </c>
      <c r="B564" s="46" t="s">
        <v>457</v>
      </c>
      <c r="C564" s="47" t="s">
        <v>378</v>
      </c>
      <c r="D564" s="47" t="s">
        <v>378</v>
      </c>
      <c r="E564" s="47">
        <v>50105010</v>
      </c>
      <c r="F564" s="47" t="s">
        <v>155</v>
      </c>
      <c r="G564" s="46">
        <v>50000</v>
      </c>
      <c r="H564" s="47">
        <v>0.33</v>
      </c>
      <c r="I564" s="46">
        <f t="shared" si="62"/>
        <v>16500</v>
      </c>
      <c r="J564" s="47" t="s">
        <v>374</v>
      </c>
      <c r="K564" s="47"/>
      <c r="L564" s="47"/>
      <c r="M564" s="47"/>
      <c r="N564" s="47"/>
      <c r="O564" s="47"/>
      <c r="P564" s="47"/>
      <c r="Q564" s="49"/>
      <c r="R564" s="47"/>
      <c r="S564" s="51">
        <v>46032</v>
      </c>
      <c r="T564" s="47">
        <v>1</v>
      </c>
      <c r="U564" s="47">
        <v>1</v>
      </c>
      <c r="V564" s="47">
        <v>3</v>
      </c>
      <c r="W564" s="51">
        <f t="shared" si="68"/>
        <v>46037</v>
      </c>
      <c r="X564" s="60"/>
    </row>
    <row r="565" spans="1:24" hidden="1">
      <c r="A565" s="47" t="s">
        <v>351</v>
      </c>
      <c r="B565" s="46" t="s">
        <v>457</v>
      </c>
      <c r="C565" s="47" t="s">
        <v>379</v>
      </c>
      <c r="D565" s="47" t="s">
        <v>379</v>
      </c>
      <c r="E565" s="47">
        <v>50110683</v>
      </c>
      <c r="F565" s="47" t="s">
        <v>390</v>
      </c>
      <c r="G565" s="46">
        <v>120000</v>
      </c>
      <c r="H565" s="47">
        <v>2.58</v>
      </c>
      <c r="I565" s="46">
        <f t="shared" si="62"/>
        <v>309600</v>
      </c>
      <c r="J565" s="47"/>
      <c r="K565" s="47"/>
      <c r="L565" s="47"/>
      <c r="M565" s="47"/>
      <c r="N565" s="47"/>
      <c r="O565" s="47"/>
      <c r="P565" s="47"/>
      <c r="Q565" s="49"/>
      <c r="R565" s="47"/>
      <c r="S565" s="47"/>
      <c r="T565" s="47">
        <v>1</v>
      </c>
      <c r="U565" s="47">
        <v>1</v>
      </c>
      <c r="V565" s="47">
        <v>3</v>
      </c>
      <c r="W565" s="51">
        <f>S565+T565+U565+V565</f>
        <v>5</v>
      </c>
      <c r="X565" s="60"/>
    </row>
    <row r="566" spans="1:24" hidden="1">
      <c r="A566" s="47" t="s">
        <v>351</v>
      </c>
      <c r="B566" s="46" t="s">
        <v>457</v>
      </c>
      <c r="C566" s="47" t="s">
        <v>379</v>
      </c>
      <c r="D566" s="47" t="s">
        <v>379</v>
      </c>
      <c r="E566" s="47">
        <v>50081803</v>
      </c>
      <c r="F566" s="47" t="s">
        <v>387</v>
      </c>
      <c r="G566" s="46">
        <v>120000</v>
      </c>
      <c r="H566" s="47">
        <v>0.57999999999999996</v>
      </c>
      <c r="I566" s="46">
        <f t="shared" si="62"/>
        <v>69600</v>
      </c>
      <c r="J566" s="47"/>
      <c r="K566" s="47"/>
      <c r="L566" s="47"/>
      <c r="M566" s="47"/>
      <c r="N566" s="47"/>
      <c r="O566" s="47"/>
      <c r="P566" s="47"/>
      <c r="Q566" s="49"/>
      <c r="R566" s="47"/>
      <c r="S566" s="47"/>
      <c r="T566" s="47">
        <v>1</v>
      </c>
      <c r="U566" s="47">
        <v>1</v>
      </c>
      <c r="V566" s="47">
        <v>3</v>
      </c>
      <c r="W566" s="51">
        <f>S566+T566+U566+V566</f>
        <v>5</v>
      </c>
      <c r="X566" s="60"/>
    </row>
    <row r="567" spans="1:24" hidden="1">
      <c r="A567" s="47" t="s">
        <v>351</v>
      </c>
      <c r="B567" s="46" t="s">
        <v>457</v>
      </c>
      <c r="C567" s="47" t="s">
        <v>379</v>
      </c>
      <c r="D567" s="47" t="s">
        <v>379</v>
      </c>
      <c r="E567" s="47">
        <v>50082039</v>
      </c>
      <c r="F567" s="47" t="s">
        <v>386</v>
      </c>
      <c r="G567" s="46">
        <v>120000</v>
      </c>
      <c r="H567" s="47">
        <v>0.34</v>
      </c>
      <c r="I567" s="46">
        <f t="shared" si="62"/>
        <v>40800</v>
      </c>
      <c r="J567" s="47"/>
      <c r="K567" s="47"/>
      <c r="L567" s="47"/>
      <c r="M567" s="47"/>
      <c r="N567" s="47"/>
      <c r="O567" s="47"/>
      <c r="P567" s="47"/>
      <c r="Q567" s="49"/>
      <c r="R567" s="47"/>
      <c r="S567" s="47"/>
      <c r="T567" s="47">
        <v>1</v>
      </c>
      <c r="U567" s="47">
        <v>1</v>
      </c>
      <c r="V567" s="47">
        <v>3</v>
      </c>
      <c r="W567" s="51">
        <f>S567+T567+U567+V567</f>
        <v>5</v>
      </c>
      <c r="X567" s="60"/>
    </row>
    <row r="568" spans="1:24" hidden="1">
      <c r="A568" s="46" t="s">
        <v>348</v>
      </c>
      <c r="B568" s="46" t="s">
        <v>455</v>
      </c>
      <c r="C568" s="47" t="s">
        <v>7</v>
      </c>
      <c r="D568" s="47" t="str">
        <f>C568</f>
        <v>DR.REDDY'S LABORATORIES LTD</v>
      </c>
      <c r="E568" s="53">
        <v>50101362</v>
      </c>
      <c r="F568" s="47" t="s">
        <v>8</v>
      </c>
      <c r="G568" s="46">
        <v>84000</v>
      </c>
      <c r="H568" s="47">
        <v>2.25</v>
      </c>
      <c r="I568" s="46">
        <f t="shared" ref="I568" si="69">G568*H568</f>
        <v>189000</v>
      </c>
      <c r="J568" s="46" t="s">
        <v>374</v>
      </c>
      <c r="K568" s="47">
        <v>500000</v>
      </c>
      <c r="L568" s="47" t="s">
        <v>482</v>
      </c>
      <c r="M568" s="47"/>
      <c r="N568" s="47"/>
      <c r="O568" s="47"/>
      <c r="P568" s="47"/>
      <c r="Q568" s="49"/>
      <c r="R568" s="47" t="s">
        <v>495</v>
      </c>
      <c r="S568" s="52">
        <v>46028</v>
      </c>
      <c r="T568" s="47">
        <v>1</v>
      </c>
      <c r="U568" s="47">
        <v>1</v>
      </c>
      <c r="V568" s="47"/>
      <c r="W568" s="52">
        <f>S568+T568+U568</f>
        <v>46030</v>
      </c>
      <c r="X568" s="59"/>
    </row>
    <row r="569" spans="1:24" hidden="1">
      <c r="A569" s="46" t="s">
        <v>348</v>
      </c>
      <c r="B569" s="46" t="s">
        <v>455</v>
      </c>
      <c r="C569" s="47" t="s">
        <v>7</v>
      </c>
      <c r="D569" s="47" t="str">
        <f>C569</f>
        <v>DR.REDDY'S LABORATORIES LTD</v>
      </c>
      <c r="E569" s="53">
        <v>50101362</v>
      </c>
      <c r="F569" s="47" t="s">
        <v>8</v>
      </c>
      <c r="G569" s="46">
        <f>500000-84000</f>
        <v>416000</v>
      </c>
      <c r="H569" s="47">
        <v>2.25</v>
      </c>
      <c r="I569" s="46">
        <f t="shared" si="62"/>
        <v>936000</v>
      </c>
      <c r="J569" s="47" t="s">
        <v>374</v>
      </c>
      <c r="K569" s="47">
        <v>500000</v>
      </c>
      <c r="L569" s="47"/>
      <c r="M569" s="47"/>
      <c r="N569" s="47"/>
      <c r="O569" s="47"/>
      <c r="P569" s="47"/>
      <c r="Q569" s="49"/>
      <c r="R569" s="47" t="s">
        <v>495</v>
      </c>
      <c r="S569" s="52">
        <v>46028</v>
      </c>
      <c r="T569" s="47">
        <v>1</v>
      </c>
      <c r="U569" s="47">
        <v>1</v>
      </c>
      <c r="V569" s="47"/>
      <c r="W569" s="52">
        <f>S569+T569+U569</f>
        <v>46030</v>
      </c>
      <c r="X569" s="59"/>
    </row>
    <row r="570" spans="1:24" hidden="1">
      <c r="A570" s="47" t="s">
        <v>346</v>
      </c>
      <c r="B570" s="46" t="s">
        <v>455</v>
      </c>
      <c r="C570" s="47" t="s">
        <v>7</v>
      </c>
      <c r="D570" s="47" t="str">
        <f>C570</f>
        <v>DR.REDDY'S LABORATORIES LTD</v>
      </c>
      <c r="E570" s="53">
        <v>50105264</v>
      </c>
      <c r="F570" s="47" t="s">
        <v>393</v>
      </c>
      <c r="G570" s="46">
        <v>6000</v>
      </c>
      <c r="H570" s="47">
        <v>10.02</v>
      </c>
      <c r="I570" s="46">
        <f t="shared" si="62"/>
        <v>60120</v>
      </c>
      <c r="J570" s="46"/>
      <c r="K570" s="46"/>
      <c r="L570" s="46"/>
      <c r="M570" s="47" t="s">
        <v>402</v>
      </c>
      <c r="N570" s="47"/>
      <c r="O570" s="47"/>
      <c r="P570" s="47"/>
      <c r="Q570" s="49"/>
      <c r="R570" s="47"/>
      <c r="S570" s="47"/>
      <c r="T570" s="47">
        <v>1</v>
      </c>
      <c r="U570" s="47">
        <v>1</v>
      </c>
      <c r="V570" s="47">
        <v>3</v>
      </c>
      <c r="W570" s="52">
        <f>S570+T570+U570+V570</f>
        <v>5</v>
      </c>
      <c r="X570" s="59"/>
    </row>
    <row r="571" spans="1:24" hidden="1">
      <c r="A571" s="47" t="s">
        <v>346</v>
      </c>
      <c r="B571" s="46" t="s">
        <v>455</v>
      </c>
      <c r="C571" s="47" t="s">
        <v>7</v>
      </c>
      <c r="D571" s="47" t="str">
        <f>C571</f>
        <v>DR.REDDY'S LABORATORIES LTD</v>
      </c>
      <c r="E571" s="53">
        <v>50114140</v>
      </c>
      <c r="F571" s="47" t="s">
        <v>394</v>
      </c>
      <c r="G571" s="46">
        <v>5800</v>
      </c>
      <c r="H571" s="47">
        <v>9.1199999999999992</v>
      </c>
      <c r="I571" s="46">
        <f t="shared" si="62"/>
        <v>52895.999999999993</v>
      </c>
      <c r="J571" s="46"/>
      <c r="K571" s="46"/>
      <c r="L571" s="46"/>
      <c r="M571" s="47" t="s">
        <v>402</v>
      </c>
      <c r="N571" s="47"/>
      <c r="O571" s="47"/>
      <c r="P571" s="47"/>
      <c r="Q571" s="49"/>
      <c r="R571" s="47"/>
      <c r="S571" s="47"/>
      <c r="T571" s="47">
        <v>1</v>
      </c>
      <c r="U571" s="47">
        <v>1</v>
      </c>
      <c r="V571" s="47">
        <v>3</v>
      </c>
      <c r="W571" s="52">
        <f>S571+T571+U571+V571</f>
        <v>5</v>
      </c>
      <c r="X571" s="59"/>
    </row>
    <row r="572" spans="1:24" hidden="1">
      <c r="A572" s="46" t="s">
        <v>347</v>
      </c>
      <c r="B572" s="46" t="s">
        <v>455</v>
      </c>
      <c r="C572" s="47" t="s">
        <v>5</v>
      </c>
      <c r="D572" s="47" t="s">
        <v>5</v>
      </c>
      <c r="E572" s="47">
        <v>50101133</v>
      </c>
      <c r="F572" s="47" t="s">
        <v>6</v>
      </c>
      <c r="G572" s="46">
        <v>200000</v>
      </c>
      <c r="H572" s="47">
        <v>3.26</v>
      </c>
      <c r="I572" s="46">
        <f t="shared" si="62"/>
        <v>652000</v>
      </c>
      <c r="J572" s="46" t="s">
        <v>374</v>
      </c>
      <c r="K572" s="46">
        <v>200000</v>
      </c>
      <c r="L572" s="46"/>
      <c r="M572" s="47">
        <v>25501615</v>
      </c>
      <c r="N572" s="48">
        <v>4110074139</v>
      </c>
      <c r="O572" s="49">
        <v>46010</v>
      </c>
      <c r="P572" s="50">
        <v>5</v>
      </c>
      <c r="Q572" s="49">
        <v>46081</v>
      </c>
      <c r="R572" s="47" t="s">
        <v>495</v>
      </c>
      <c r="S572" s="52">
        <v>46028</v>
      </c>
      <c r="T572" s="47">
        <v>1</v>
      </c>
      <c r="U572" s="47">
        <v>1</v>
      </c>
      <c r="V572" s="47"/>
      <c r="W572" s="52">
        <f t="shared" ref="W572:W575" si="70">S572+T572+U572</f>
        <v>46030</v>
      </c>
      <c r="X572" s="59"/>
    </row>
    <row r="573" spans="1:24" hidden="1">
      <c r="A573" s="46" t="s">
        <v>347</v>
      </c>
      <c r="B573" s="46" t="s">
        <v>457</v>
      </c>
      <c r="C573" s="47" t="s">
        <v>239</v>
      </c>
      <c r="D573" s="47" t="s">
        <v>239</v>
      </c>
      <c r="E573" s="47">
        <v>50113461</v>
      </c>
      <c r="F573" s="47" t="s">
        <v>91</v>
      </c>
      <c r="G573" s="46">
        <v>60000</v>
      </c>
      <c r="H573" s="47">
        <v>2.15</v>
      </c>
      <c r="I573" s="46">
        <f t="shared" si="62"/>
        <v>129000</v>
      </c>
      <c r="J573" s="46" t="s">
        <v>374</v>
      </c>
      <c r="K573" s="46"/>
      <c r="L573" s="46"/>
      <c r="M573" s="47">
        <v>25501588</v>
      </c>
      <c r="N573" s="48" t="s">
        <v>238</v>
      </c>
      <c r="O573" s="49">
        <v>46008</v>
      </c>
      <c r="P573" s="50">
        <v>1</v>
      </c>
      <c r="Q573" s="49">
        <v>46047</v>
      </c>
      <c r="R573" s="47"/>
      <c r="S573" s="52">
        <v>46040</v>
      </c>
      <c r="T573" s="47">
        <v>1</v>
      </c>
      <c r="U573" s="47">
        <v>1</v>
      </c>
      <c r="V573" s="47"/>
      <c r="W573" s="52">
        <f t="shared" si="70"/>
        <v>46042</v>
      </c>
      <c r="X573" s="59"/>
    </row>
    <row r="574" spans="1:24" hidden="1">
      <c r="A574" s="46" t="s">
        <v>347</v>
      </c>
      <c r="B574" s="46" t="s">
        <v>455</v>
      </c>
      <c r="C574" s="47" t="s">
        <v>106</v>
      </c>
      <c r="D574" s="47" t="s">
        <v>106</v>
      </c>
      <c r="E574" s="47">
        <v>50101134</v>
      </c>
      <c r="F574" s="47" t="s">
        <v>27</v>
      </c>
      <c r="G574" s="46">
        <v>150000</v>
      </c>
      <c r="H574" s="47">
        <v>3.43</v>
      </c>
      <c r="I574" s="46">
        <f t="shared" si="62"/>
        <v>514500</v>
      </c>
      <c r="J574" s="46" t="s">
        <v>374</v>
      </c>
      <c r="K574" s="46">
        <v>80000</v>
      </c>
      <c r="L574" s="46"/>
      <c r="M574" s="47">
        <v>25501261</v>
      </c>
      <c r="N574" s="48">
        <v>4110073358</v>
      </c>
      <c r="O574" s="49">
        <v>45961</v>
      </c>
      <c r="P574" s="50">
        <v>1.1000000000000001</v>
      </c>
      <c r="Q574" s="49">
        <v>46019</v>
      </c>
      <c r="R574" s="47" t="s">
        <v>495</v>
      </c>
      <c r="S574" s="52">
        <v>46028</v>
      </c>
      <c r="T574" s="47">
        <v>1</v>
      </c>
      <c r="U574" s="47">
        <v>1</v>
      </c>
      <c r="V574" s="47"/>
      <c r="W574" s="52">
        <f t="shared" si="70"/>
        <v>46030</v>
      </c>
      <c r="X574" s="59"/>
    </row>
    <row r="575" spans="1:24" hidden="1">
      <c r="A575" s="46" t="s">
        <v>347</v>
      </c>
      <c r="B575" s="46" t="s">
        <v>455</v>
      </c>
      <c r="C575" s="47" t="s">
        <v>106</v>
      </c>
      <c r="D575" s="47" t="s">
        <v>106</v>
      </c>
      <c r="E575" s="47">
        <v>50101133</v>
      </c>
      <c r="F575" s="47" t="s">
        <v>6</v>
      </c>
      <c r="G575" s="46">
        <v>170000</v>
      </c>
      <c r="H575" s="47">
        <v>3.26</v>
      </c>
      <c r="I575" s="46">
        <f t="shared" si="62"/>
        <v>554200</v>
      </c>
      <c r="J575" s="46" t="s">
        <v>374</v>
      </c>
      <c r="K575" s="46">
        <v>170000</v>
      </c>
      <c r="L575" s="46"/>
      <c r="M575" s="47">
        <v>25501322</v>
      </c>
      <c r="N575" s="48">
        <v>4110073357</v>
      </c>
      <c r="O575" s="49">
        <v>45972</v>
      </c>
      <c r="P575" s="50">
        <v>1.2</v>
      </c>
      <c r="Q575" s="49">
        <v>46019</v>
      </c>
      <c r="R575" s="47" t="s">
        <v>495</v>
      </c>
      <c r="S575" s="52">
        <v>46028</v>
      </c>
      <c r="T575" s="47">
        <v>1</v>
      </c>
      <c r="U575" s="47">
        <v>1</v>
      </c>
      <c r="V575" s="47"/>
      <c r="W575" s="52">
        <f t="shared" si="70"/>
        <v>46030</v>
      </c>
      <c r="X575" s="59"/>
    </row>
    <row r="576" spans="1:24" hidden="1">
      <c r="A576" s="47" t="s">
        <v>346</v>
      </c>
      <c r="B576" s="46" t="s">
        <v>455</v>
      </c>
      <c r="C576" s="47" t="s">
        <v>392</v>
      </c>
      <c r="D576" s="47" t="str">
        <f t="shared" ref="D576:D586" si="71">C576</f>
        <v>SOMERSET THERAPEUTICS PRIVATE LIMITED</v>
      </c>
      <c r="E576" s="53">
        <v>50081840</v>
      </c>
      <c r="F576" s="47" t="s">
        <v>137</v>
      </c>
      <c r="G576" s="46">
        <v>500000</v>
      </c>
      <c r="H576" s="47">
        <v>1.55</v>
      </c>
      <c r="I576" s="46">
        <f t="shared" si="62"/>
        <v>775000</v>
      </c>
      <c r="J576" s="47" t="s">
        <v>374</v>
      </c>
      <c r="K576" s="47"/>
      <c r="L576" s="47"/>
      <c r="M576" s="47"/>
      <c r="N576" s="47"/>
      <c r="O576" s="47"/>
      <c r="P576" s="47"/>
      <c r="Q576" s="49"/>
      <c r="R576" s="47"/>
      <c r="S576" s="47"/>
      <c r="T576" s="47">
        <v>1</v>
      </c>
      <c r="U576" s="47">
        <v>1</v>
      </c>
      <c r="V576" s="47">
        <v>3</v>
      </c>
      <c r="W576" s="52">
        <f t="shared" ref="W576:W585" si="72">S576+T576+U576+V576</f>
        <v>5</v>
      </c>
      <c r="X576" s="59"/>
    </row>
    <row r="577" spans="1:24" hidden="1">
      <c r="A577" s="47" t="s">
        <v>346</v>
      </c>
      <c r="B577" s="46" t="s">
        <v>455</v>
      </c>
      <c r="C577" s="47" t="s">
        <v>392</v>
      </c>
      <c r="D577" s="47" t="str">
        <f t="shared" ref="D577" si="73">C577</f>
        <v>SOMERSET THERAPEUTICS PRIVATE LIMITED</v>
      </c>
      <c r="E577" s="53">
        <v>50081938</v>
      </c>
      <c r="F577" s="47" t="s">
        <v>31</v>
      </c>
      <c r="G577" s="46">
        <v>200000</v>
      </c>
      <c r="H577" s="47">
        <v>1.55</v>
      </c>
      <c r="I577" s="46">
        <f t="shared" ref="I577" si="74">G577*H577</f>
        <v>310000</v>
      </c>
      <c r="J577" s="47" t="s">
        <v>374</v>
      </c>
      <c r="K577" s="47"/>
      <c r="L577" s="47" t="s">
        <v>482</v>
      </c>
      <c r="M577" s="47"/>
      <c r="N577" s="47"/>
      <c r="O577" s="47"/>
      <c r="P577" s="47"/>
      <c r="Q577" s="49"/>
      <c r="R577" s="47"/>
      <c r="S577" s="47"/>
      <c r="T577" s="47">
        <v>1</v>
      </c>
      <c r="U577" s="47">
        <v>1</v>
      </c>
      <c r="V577" s="47">
        <v>3</v>
      </c>
      <c r="W577" s="52">
        <f t="shared" ref="W577" si="75">S577+T577+U577+V577</f>
        <v>5</v>
      </c>
      <c r="X577" s="59"/>
    </row>
    <row r="578" spans="1:24" hidden="1">
      <c r="A578" s="47" t="s">
        <v>346</v>
      </c>
      <c r="B578" s="46" t="s">
        <v>455</v>
      </c>
      <c r="C578" s="47" t="s">
        <v>392</v>
      </c>
      <c r="D578" s="47" t="str">
        <f t="shared" si="71"/>
        <v>SOMERSET THERAPEUTICS PRIVATE LIMITED</v>
      </c>
      <c r="E578" s="53">
        <v>50081938</v>
      </c>
      <c r="F578" s="47" t="s">
        <v>31</v>
      </c>
      <c r="G578" s="46">
        <v>200000</v>
      </c>
      <c r="H578" s="47">
        <v>1.55</v>
      </c>
      <c r="I578" s="46">
        <f t="shared" si="62"/>
        <v>310000</v>
      </c>
      <c r="J578" s="47" t="s">
        <v>374</v>
      </c>
      <c r="K578" s="47"/>
      <c r="L578" s="47" t="s">
        <v>477</v>
      </c>
      <c r="M578" s="47"/>
      <c r="N578" s="47"/>
      <c r="O578" s="47"/>
      <c r="P578" s="47"/>
      <c r="Q578" s="49"/>
      <c r="R578" s="47"/>
      <c r="S578" s="47"/>
      <c r="T578" s="47">
        <v>1</v>
      </c>
      <c r="U578" s="47">
        <v>1</v>
      </c>
      <c r="V578" s="47">
        <v>3</v>
      </c>
      <c r="W578" s="52">
        <f t="shared" si="72"/>
        <v>5</v>
      </c>
      <c r="X578" s="59"/>
    </row>
    <row r="579" spans="1:24" hidden="1">
      <c r="A579" s="47" t="s">
        <v>346</v>
      </c>
      <c r="B579" s="46" t="s">
        <v>455</v>
      </c>
      <c r="C579" s="47" t="s">
        <v>392</v>
      </c>
      <c r="D579" s="47" t="str">
        <f t="shared" si="71"/>
        <v>SOMERSET THERAPEUTICS PRIVATE LIMITED</v>
      </c>
      <c r="E579" s="53">
        <v>50091672</v>
      </c>
      <c r="F579" s="47" t="s">
        <v>476</v>
      </c>
      <c r="G579" s="46">
        <v>200000</v>
      </c>
      <c r="H579" s="47">
        <v>3.02</v>
      </c>
      <c r="I579" s="46">
        <f t="shared" si="62"/>
        <v>604000</v>
      </c>
      <c r="J579" s="47" t="s">
        <v>374</v>
      </c>
      <c r="K579" s="47"/>
      <c r="L579" s="47"/>
      <c r="M579" s="47"/>
      <c r="N579" s="47"/>
      <c r="O579" s="47"/>
      <c r="P579" s="47"/>
      <c r="Q579" s="49"/>
      <c r="R579" s="47"/>
      <c r="S579" s="47"/>
      <c r="T579" s="47">
        <v>1</v>
      </c>
      <c r="U579" s="47">
        <v>1</v>
      </c>
      <c r="V579" s="47">
        <v>3</v>
      </c>
      <c r="W579" s="52">
        <f t="shared" si="72"/>
        <v>5</v>
      </c>
      <c r="X579" s="59"/>
    </row>
    <row r="580" spans="1:24" hidden="1">
      <c r="A580" s="47" t="s">
        <v>346</v>
      </c>
      <c r="B580" s="46" t="s">
        <v>455</v>
      </c>
      <c r="C580" s="47" t="s">
        <v>392</v>
      </c>
      <c r="D580" s="47" t="str">
        <f t="shared" si="71"/>
        <v>SOMERSET THERAPEUTICS PRIVATE LIMITED</v>
      </c>
      <c r="E580" s="53">
        <v>50092422</v>
      </c>
      <c r="F580" s="47" t="s">
        <v>396</v>
      </c>
      <c r="G580" s="46">
        <v>150000</v>
      </c>
      <c r="H580" s="47">
        <v>3.37</v>
      </c>
      <c r="I580" s="46">
        <f t="shared" si="62"/>
        <v>505500</v>
      </c>
      <c r="J580" s="47" t="s">
        <v>374</v>
      </c>
      <c r="K580" s="47"/>
      <c r="L580" s="47"/>
      <c r="M580" s="47"/>
      <c r="N580" s="47"/>
      <c r="O580" s="47"/>
      <c r="P580" s="47"/>
      <c r="Q580" s="49"/>
      <c r="R580" s="47"/>
      <c r="S580" s="47"/>
      <c r="T580" s="47">
        <v>1</v>
      </c>
      <c r="U580" s="47">
        <v>1</v>
      </c>
      <c r="V580" s="47">
        <v>3</v>
      </c>
      <c r="W580" s="52">
        <f t="shared" si="72"/>
        <v>5</v>
      </c>
      <c r="X580" s="59"/>
    </row>
    <row r="581" spans="1:24" hidden="1">
      <c r="A581" s="47" t="s">
        <v>346</v>
      </c>
      <c r="B581" s="46" t="s">
        <v>455</v>
      </c>
      <c r="C581" s="47" t="s">
        <v>392</v>
      </c>
      <c r="D581" s="47" t="str">
        <f t="shared" si="71"/>
        <v>SOMERSET THERAPEUTICS PRIVATE LIMITED</v>
      </c>
      <c r="E581" s="53">
        <v>50092422</v>
      </c>
      <c r="F581" s="47" t="s">
        <v>475</v>
      </c>
      <c r="G581" s="46">
        <v>180000</v>
      </c>
      <c r="H581" s="47">
        <v>3.37</v>
      </c>
      <c r="I581" s="46">
        <f t="shared" si="62"/>
        <v>606600</v>
      </c>
      <c r="J581" s="47" t="s">
        <v>374</v>
      </c>
      <c r="K581" s="47"/>
      <c r="L581" s="47" t="s">
        <v>482</v>
      </c>
      <c r="M581" s="47"/>
      <c r="N581" s="47"/>
      <c r="O581" s="47"/>
      <c r="P581" s="47"/>
      <c r="Q581" s="49"/>
      <c r="R581" s="47"/>
      <c r="S581" s="47"/>
      <c r="T581" s="47">
        <v>1</v>
      </c>
      <c r="U581" s="47">
        <v>1</v>
      </c>
      <c r="V581" s="47">
        <v>3</v>
      </c>
      <c r="W581" s="52">
        <f t="shared" si="72"/>
        <v>5</v>
      </c>
      <c r="X581" s="59"/>
    </row>
    <row r="582" spans="1:24" hidden="1">
      <c r="A582" s="47" t="s">
        <v>346</v>
      </c>
      <c r="B582" s="46" t="s">
        <v>455</v>
      </c>
      <c r="C582" s="47" t="s">
        <v>392</v>
      </c>
      <c r="D582" s="47" t="str">
        <f t="shared" si="71"/>
        <v>SOMERSET THERAPEUTICS PRIVATE LIMITED</v>
      </c>
      <c r="E582" s="53">
        <v>50092422</v>
      </c>
      <c r="F582" s="47" t="s">
        <v>475</v>
      </c>
      <c r="G582" s="46">
        <v>120000</v>
      </c>
      <c r="H582" s="47">
        <v>3.37</v>
      </c>
      <c r="I582" s="46">
        <f t="shared" si="62"/>
        <v>404400</v>
      </c>
      <c r="J582" s="47" t="s">
        <v>374</v>
      </c>
      <c r="K582" s="47"/>
      <c r="L582" s="47"/>
      <c r="M582" s="47"/>
      <c r="N582" s="47"/>
      <c r="O582" s="47"/>
      <c r="P582" s="47"/>
      <c r="Q582" s="49"/>
      <c r="R582" s="47"/>
      <c r="S582" s="47"/>
      <c r="T582" s="47">
        <v>1</v>
      </c>
      <c r="U582" s="47">
        <v>1</v>
      </c>
      <c r="V582" s="47">
        <v>3</v>
      </c>
      <c r="W582" s="52">
        <f t="shared" si="72"/>
        <v>5</v>
      </c>
      <c r="X582" s="59"/>
    </row>
    <row r="583" spans="1:24" hidden="1">
      <c r="A583" s="47" t="s">
        <v>346</v>
      </c>
      <c r="B583" s="46" t="s">
        <v>455</v>
      </c>
      <c r="C583" s="47" t="s">
        <v>392</v>
      </c>
      <c r="D583" s="47" t="str">
        <f t="shared" ref="D583" si="76">C583</f>
        <v>SOMERSET THERAPEUTICS PRIVATE LIMITED</v>
      </c>
      <c r="E583" s="53">
        <v>50113738</v>
      </c>
      <c r="F583" s="47" t="s">
        <v>12</v>
      </c>
      <c r="G583" s="46">
        <v>250000</v>
      </c>
      <c r="H583" s="47">
        <v>1.59</v>
      </c>
      <c r="I583" s="46">
        <f t="shared" ref="I583" si="77">G583*H583</f>
        <v>397500</v>
      </c>
      <c r="J583" s="47" t="s">
        <v>374</v>
      </c>
      <c r="K583" s="47"/>
      <c r="L583" s="47" t="s">
        <v>482</v>
      </c>
      <c r="M583" s="47"/>
      <c r="N583" s="47"/>
      <c r="O583" s="47"/>
      <c r="P583" s="47"/>
      <c r="Q583" s="49"/>
      <c r="R583" s="47"/>
      <c r="S583" s="47"/>
      <c r="T583" s="47">
        <v>1</v>
      </c>
      <c r="U583" s="47">
        <v>1</v>
      </c>
      <c r="V583" s="47">
        <v>3</v>
      </c>
      <c r="W583" s="52">
        <f t="shared" ref="W583" si="78">S583+T583+U583+V583</f>
        <v>5</v>
      </c>
      <c r="X583" s="59"/>
    </row>
    <row r="584" spans="1:24" hidden="1">
      <c r="A584" s="47" t="s">
        <v>346</v>
      </c>
      <c r="B584" s="46" t="s">
        <v>455</v>
      </c>
      <c r="C584" s="47" t="s">
        <v>392</v>
      </c>
      <c r="D584" s="47" t="str">
        <f t="shared" si="71"/>
        <v>SOMERSET THERAPEUTICS PRIVATE LIMITED</v>
      </c>
      <c r="E584" s="53">
        <v>50113738</v>
      </c>
      <c r="F584" s="47" t="s">
        <v>12</v>
      </c>
      <c r="G584" s="46">
        <f>400000-150000</f>
        <v>250000</v>
      </c>
      <c r="H584" s="47">
        <v>1.59</v>
      </c>
      <c r="I584" s="46">
        <f t="shared" si="62"/>
        <v>397500</v>
      </c>
      <c r="J584" s="47" t="s">
        <v>374</v>
      </c>
      <c r="K584" s="47"/>
      <c r="L584" s="47"/>
      <c r="M584" s="47"/>
      <c r="N584" s="47"/>
      <c r="O584" s="47"/>
      <c r="P584" s="47"/>
      <c r="Q584" s="49"/>
      <c r="R584" s="47"/>
      <c r="S584" s="47"/>
      <c r="T584" s="47">
        <v>1</v>
      </c>
      <c r="U584" s="47">
        <v>1</v>
      </c>
      <c r="V584" s="47">
        <v>3</v>
      </c>
      <c r="W584" s="52">
        <f t="shared" si="72"/>
        <v>5</v>
      </c>
      <c r="X584" s="59"/>
    </row>
    <row r="585" spans="1:24" hidden="1">
      <c r="A585" s="47" t="s">
        <v>346</v>
      </c>
      <c r="B585" s="46" t="s">
        <v>455</v>
      </c>
      <c r="C585" s="47" t="s">
        <v>392</v>
      </c>
      <c r="D585" s="47" t="str">
        <f t="shared" si="71"/>
        <v>SOMERSET THERAPEUTICS PRIVATE LIMITED</v>
      </c>
      <c r="E585" s="53">
        <v>50114041</v>
      </c>
      <c r="F585" s="47" t="s">
        <v>188</v>
      </c>
      <c r="G585" s="46">
        <v>200000</v>
      </c>
      <c r="H585" s="47">
        <v>1.59</v>
      </c>
      <c r="I585" s="46">
        <f t="shared" si="62"/>
        <v>318000</v>
      </c>
      <c r="J585" s="47" t="s">
        <v>374</v>
      </c>
      <c r="K585" s="47"/>
      <c r="L585" s="47"/>
      <c r="M585" s="47"/>
      <c r="N585" s="47"/>
      <c r="O585" s="47"/>
      <c r="P585" s="47"/>
      <c r="Q585" s="49"/>
      <c r="R585" s="47"/>
      <c r="S585" s="47"/>
      <c r="T585" s="47">
        <v>1</v>
      </c>
      <c r="U585" s="47">
        <v>1</v>
      </c>
      <c r="V585" s="47">
        <v>3</v>
      </c>
      <c r="W585" s="52">
        <f t="shared" si="72"/>
        <v>5</v>
      </c>
      <c r="X585" s="59"/>
    </row>
    <row r="586" spans="1:24" hidden="1">
      <c r="A586" s="46" t="s">
        <v>348</v>
      </c>
      <c r="B586" s="46" t="s">
        <v>457</v>
      </c>
      <c r="C586" s="47" t="s">
        <v>397</v>
      </c>
      <c r="D586" s="47" t="str">
        <f t="shared" si="71"/>
        <v>Lupin Limited</v>
      </c>
      <c r="E586" s="53">
        <v>50101361</v>
      </c>
      <c r="F586" s="47" t="s">
        <v>159</v>
      </c>
      <c r="G586" s="46">
        <v>600000</v>
      </c>
      <c r="H586" s="47">
        <v>2.6</v>
      </c>
      <c r="I586" s="46">
        <f t="shared" si="62"/>
        <v>1560000</v>
      </c>
      <c r="J586" s="47" t="s">
        <v>374</v>
      </c>
      <c r="K586" s="47">
        <v>600000</v>
      </c>
      <c r="L586" s="47" t="s">
        <v>482</v>
      </c>
      <c r="M586" s="47"/>
      <c r="N586" s="47"/>
      <c r="O586" s="47"/>
      <c r="P586" s="47"/>
      <c r="Q586" s="49"/>
      <c r="R586" s="47" t="s">
        <v>495</v>
      </c>
      <c r="S586" s="52">
        <v>46028</v>
      </c>
      <c r="T586" s="47">
        <v>1</v>
      </c>
      <c r="U586" s="47">
        <v>1</v>
      </c>
      <c r="V586" s="47"/>
      <c r="W586" s="52">
        <f t="shared" ref="W586:W593" si="79">S586+T586+U586</f>
        <v>46030</v>
      </c>
      <c r="X586" s="59"/>
    </row>
    <row r="587" spans="1:24" hidden="1">
      <c r="A587" s="46" t="s">
        <v>347</v>
      </c>
      <c r="B587" s="46" t="s">
        <v>455</v>
      </c>
      <c r="C587" s="47" t="s">
        <v>5</v>
      </c>
      <c r="D587" s="47" t="s">
        <v>5</v>
      </c>
      <c r="E587" s="47">
        <v>50101144</v>
      </c>
      <c r="F587" s="47" t="s">
        <v>182</v>
      </c>
      <c r="G587" s="46">
        <v>30000</v>
      </c>
      <c r="H587" s="47">
        <v>3.43</v>
      </c>
      <c r="I587" s="46">
        <f t="shared" si="62"/>
        <v>102900</v>
      </c>
      <c r="J587" s="46" t="s">
        <v>374</v>
      </c>
      <c r="K587" s="46"/>
      <c r="L587" s="46" t="s">
        <v>482</v>
      </c>
      <c r="M587" s="47">
        <v>25501615</v>
      </c>
      <c r="N587" s="48">
        <v>4110074139</v>
      </c>
      <c r="O587" s="49">
        <v>46010</v>
      </c>
      <c r="P587" s="50">
        <v>2</v>
      </c>
      <c r="Q587" s="49">
        <v>46081</v>
      </c>
      <c r="R587" s="47"/>
      <c r="S587" s="52">
        <v>46044</v>
      </c>
      <c r="T587" s="47">
        <v>1</v>
      </c>
      <c r="U587" s="47">
        <v>1</v>
      </c>
      <c r="V587" s="47"/>
      <c r="W587" s="52">
        <f t="shared" si="79"/>
        <v>46046</v>
      </c>
      <c r="X587" s="59"/>
    </row>
    <row r="588" spans="1:24" hidden="1">
      <c r="A588" s="46" t="s">
        <v>347</v>
      </c>
      <c r="B588" s="46" t="s">
        <v>455</v>
      </c>
      <c r="C588" s="47" t="s">
        <v>88</v>
      </c>
      <c r="D588" s="47" t="s">
        <v>88</v>
      </c>
      <c r="E588" s="47">
        <v>50106939</v>
      </c>
      <c r="F588" s="47" t="s">
        <v>181</v>
      </c>
      <c r="G588" s="46">
        <v>20000</v>
      </c>
      <c r="H588" s="47">
        <v>3.43</v>
      </c>
      <c r="I588" s="46">
        <f t="shared" si="62"/>
        <v>68600</v>
      </c>
      <c r="J588" s="46" t="s">
        <v>374</v>
      </c>
      <c r="K588" s="46"/>
      <c r="L588" s="46" t="s">
        <v>482</v>
      </c>
      <c r="M588" s="47">
        <v>25501517</v>
      </c>
      <c r="N588" s="48">
        <v>4090034959</v>
      </c>
      <c r="O588" s="49">
        <v>46001</v>
      </c>
      <c r="P588" s="50">
        <v>1</v>
      </c>
      <c r="Q588" s="49">
        <v>46016</v>
      </c>
      <c r="R588" s="47"/>
      <c r="S588" s="52">
        <v>46044</v>
      </c>
      <c r="T588" s="47">
        <v>1</v>
      </c>
      <c r="U588" s="47">
        <v>1</v>
      </c>
      <c r="V588" s="47"/>
      <c r="W588" s="52">
        <f t="shared" si="79"/>
        <v>46046</v>
      </c>
      <c r="X588" s="59"/>
    </row>
    <row r="589" spans="1:24" hidden="1">
      <c r="A589" s="47" t="s">
        <v>347</v>
      </c>
      <c r="B589" s="46" t="s">
        <v>457</v>
      </c>
      <c r="C589" s="47" t="s">
        <v>398</v>
      </c>
      <c r="D589" s="47" t="str">
        <f>C589</f>
        <v>Zydus Lifesciences</v>
      </c>
      <c r="E589" s="53">
        <v>50110013</v>
      </c>
      <c r="F589" s="47" t="s">
        <v>178</v>
      </c>
      <c r="G589" s="46">
        <v>600000</v>
      </c>
      <c r="H589" s="47">
        <v>2.2000000000000002</v>
      </c>
      <c r="I589" s="46">
        <f t="shared" ref="I589" si="80">G589*H589</f>
        <v>1320000</v>
      </c>
      <c r="J589" s="46" t="s">
        <v>374</v>
      </c>
      <c r="K589" s="47">
        <v>1200000</v>
      </c>
      <c r="L589" s="47" t="s">
        <v>482</v>
      </c>
      <c r="M589" s="47"/>
      <c r="N589" s="47"/>
      <c r="O589" s="47"/>
      <c r="P589" s="47"/>
      <c r="Q589" s="49"/>
      <c r="R589" s="47" t="s">
        <v>495</v>
      </c>
      <c r="S589" s="52">
        <v>46028</v>
      </c>
      <c r="T589" s="47">
        <v>1</v>
      </c>
      <c r="U589" s="47">
        <v>1</v>
      </c>
      <c r="V589" s="47"/>
      <c r="W589" s="52">
        <f t="shared" ref="W589" si="81">S589+T589+U589</f>
        <v>46030</v>
      </c>
      <c r="X589" s="59"/>
    </row>
    <row r="590" spans="1:24" hidden="1">
      <c r="A590" s="47" t="s">
        <v>347</v>
      </c>
      <c r="B590" s="46" t="s">
        <v>457</v>
      </c>
      <c r="C590" s="47" t="s">
        <v>398</v>
      </c>
      <c r="D590" s="47" t="str">
        <f>C590</f>
        <v>Zydus Lifesciences</v>
      </c>
      <c r="E590" s="53">
        <v>50110013</v>
      </c>
      <c r="F590" s="47" t="s">
        <v>178</v>
      </c>
      <c r="G590" s="46">
        <v>600000</v>
      </c>
      <c r="H590" s="47">
        <v>2.2000000000000002</v>
      </c>
      <c r="I590" s="46">
        <f t="shared" si="62"/>
        <v>1320000</v>
      </c>
      <c r="J590" s="46" t="s">
        <v>374</v>
      </c>
      <c r="K590" s="47">
        <v>600000</v>
      </c>
      <c r="L590" s="47"/>
      <c r="M590" s="47"/>
      <c r="N590" s="47"/>
      <c r="O590" s="47"/>
      <c r="P590" s="47"/>
      <c r="Q590" s="49"/>
      <c r="R590" s="47" t="s">
        <v>495</v>
      </c>
      <c r="S590" s="52">
        <v>46028</v>
      </c>
      <c r="T590" s="47">
        <v>1</v>
      </c>
      <c r="U590" s="47">
        <v>1</v>
      </c>
      <c r="V590" s="47"/>
      <c r="W590" s="52">
        <f t="shared" si="79"/>
        <v>46030</v>
      </c>
      <c r="X590" s="59"/>
    </row>
    <row r="591" spans="1:24" hidden="1">
      <c r="A591" s="47" t="s">
        <v>347</v>
      </c>
      <c r="B591" s="46" t="s">
        <v>457</v>
      </c>
      <c r="C591" s="47" t="s">
        <v>398</v>
      </c>
      <c r="D591" s="47" t="str">
        <f>C591</f>
        <v>Zydus Lifesciences</v>
      </c>
      <c r="E591" s="53">
        <v>50110015</v>
      </c>
      <c r="F591" s="47" t="s">
        <v>244</v>
      </c>
      <c r="G591" s="46">
        <v>300000</v>
      </c>
      <c r="H591" s="47">
        <v>2.87</v>
      </c>
      <c r="I591" s="46">
        <f t="shared" si="62"/>
        <v>861000</v>
      </c>
      <c r="J591" s="46" t="s">
        <v>374</v>
      </c>
      <c r="K591" s="47">
        <v>300000</v>
      </c>
      <c r="L591" s="47"/>
      <c r="M591" s="47"/>
      <c r="N591" s="47"/>
      <c r="O591" s="47"/>
      <c r="P591" s="47"/>
      <c r="Q591" s="49"/>
      <c r="R591" s="47" t="s">
        <v>495</v>
      </c>
      <c r="S591" s="52">
        <v>46028</v>
      </c>
      <c r="T591" s="47">
        <v>1</v>
      </c>
      <c r="U591" s="47">
        <v>1</v>
      </c>
      <c r="V591" s="47"/>
      <c r="W591" s="52">
        <f t="shared" si="79"/>
        <v>46030</v>
      </c>
      <c r="X591" s="59"/>
    </row>
    <row r="592" spans="1:24" hidden="1">
      <c r="A592" s="46" t="s">
        <v>347</v>
      </c>
      <c r="B592" s="46" t="s">
        <v>457</v>
      </c>
      <c r="C592" s="47" t="s">
        <v>264</v>
      </c>
      <c r="D592" s="47" t="s">
        <v>264</v>
      </c>
      <c r="E592" s="47">
        <v>50110012</v>
      </c>
      <c r="F592" s="47" t="s">
        <v>103</v>
      </c>
      <c r="G592" s="46">
        <v>700000</v>
      </c>
      <c r="H592" s="47">
        <v>1.75</v>
      </c>
      <c r="I592" s="46">
        <f t="shared" si="62"/>
        <v>1225000</v>
      </c>
      <c r="J592" s="46" t="s">
        <v>374</v>
      </c>
      <c r="K592" s="46">
        <v>500000</v>
      </c>
      <c r="L592" s="46" t="s">
        <v>482</v>
      </c>
      <c r="M592" s="47">
        <v>25501622</v>
      </c>
      <c r="N592" s="48">
        <v>4500348989</v>
      </c>
      <c r="O592" s="49">
        <v>46010</v>
      </c>
      <c r="P592" s="50">
        <v>1</v>
      </c>
      <c r="Q592" s="49">
        <v>46022</v>
      </c>
      <c r="R592" s="52"/>
      <c r="S592" s="52">
        <v>46031</v>
      </c>
      <c r="T592" s="47">
        <v>1</v>
      </c>
      <c r="U592" s="47">
        <v>1</v>
      </c>
      <c r="V592" s="47"/>
      <c r="W592" s="52">
        <f t="shared" si="79"/>
        <v>46033</v>
      </c>
      <c r="X592" s="59"/>
    </row>
    <row r="593" spans="1:24" hidden="1">
      <c r="A593" s="47" t="s">
        <v>347</v>
      </c>
      <c r="B593" s="46" t="s">
        <v>457</v>
      </c>
      <c r="C593" s="47" t="s">
        <v>264</v>
      </c>
      <c r="D593" s="47" t="s">
        <v>173</v>
      </c>
      <c r="E593" s="53">
        <v>50110012</v>
      </c>
      <c r="F593" s="47" t="s">
        <v>103</v>
      </c>
      <c r="G593" s="46">
        <v>300000</v>
      </c>
      <c r="H593" s="47">
        <v>1.75</v>
      </c>
      <c r="I593" s="46">
        <f t="shared" si="62"/>
        <v>525000</v>
      </c>
      <c r="J593" s="46" t="s">
        <v>374</v>
      </c>
      <c r="K593" s="46"/>
      <c r="L593" s="46" t="s">
        <v>482</v>
      </c>
      <c r="M593" s="47">
        <v>25501661</v>
      </c>
      <c r="N593" s="53">
        <v>4500349029</v>
      </c>
      <c r="O593" s="49">
        <v>46015</v>
      </c>
      <c r="P593" s="47"/>
      <c r="Q593" s="49">
        <v>46032</v>
      </c>
      <c r="R593" s="47"/>
      <c r="S593" s="52">
        <v>46031</v>
      </c>
      <c r="T593" s="47">
        <v>1</v>
      </c>
      <c r="U593" s="47">
        <v>1</v>
      </c>
      <c r="V593" s="47"/>
      <c r="W593" s="52">
        <f t="shared" si="79"/>
        <v>46033</v>
      </c>
      <c r="X593" s="59"/>
    </row>
    <row r="594" spans="1:24" hidden="1">
      <c r="A594" s="46" t="s">
        <v>346</v>
      </c>
      <c r="B594" s="46" t="s">
        <v>457</v>
      </c>
      <c r="C594" s="47" t="s">
        <v>1</v>
      </c>
      <c r="D594" s="47" t="str">
        <f t="shared" ref="D594:D599" si="82">C594</f>
        <v>AMNEAL PHARMACEUTICALS PVT LTD</v>
      </c>
      <c r="E594" s="53">
        <v>50113650</v>
      </c>
      <c r="F594" s="47" t="s">
        <v>18</v>
      </c>
      <c r="G594" s="46">
        <v>144000</v>
      </c>
      <c r="H594" s="47">
        <v>2.0099999999999998</v>
      </c>
      <c r="I594" s="46">
        <f t="shared" ref="I594:I618" si="83">G594*H594</f>
        <v>289439.99999999994</v>
      </c>
      <c r="J594" s="47"/>
      <c r="K594" s="47"/>
      <c r="L594" s="47"/>
      <c r="M594" s="47"/>
      <c r="N594" s="47"/>
      <c r="O594" s="47"/>
      <c r="P594" s="47"/>
      <c r="Q594" s="49"/>
      <c r="R594" s="47"/>
      <c r="S594" s="47"/>
      <c r="T594" s="47">
        <v>1</v>
      </c>
      <c r="U594" s="47">
        <v>1</v>
      </c>
      <c r="V594" s="47">
        <v>3</v>
      </c>
      <c r="W594" s="52">
        <f t="shared" ref="W594:W601" si="84">S594+T594+U594+V594</f>
        <v>5</v>
      </c>
      <c r="X594" s="59"/>
    </row>
    <row r="595" spans="1:24" hidden="1">
      <c r="A595" s="46" t="s">
        <v>346</v>
      </c>
      <c r="B595" s="46" t="s">
        <v>457</v>
      </c>
      <c r="C595" s="47" t="s">
        <v>1</v>
      </c>
      <c r="D595" s="47" t="str">
        <f t="shared" si="82"/>
        <v>AMNEAL PHARMACEUTICALS PVT LTD</v>
      </c>
      <c r="E595" s="53">
        <v>50114341</v>
      </c>
      <c r="F595" s="47" t="s">
        <v>180</v>
      </c>
      <c r="G595" s="46">
        <v>100000</v>
      </c>
      <c r="H595" s="47">
        <v>2.2799999999999998</v>
      </c>
      <c r="I595" s="46">
        <f t="shared" si="83"/>
        <v>227999.99999999997</v>
      </c>
      <c r="J595" s="47"/>
      <c r="K595" s="47"/>
      <c r="L595" s="47"/>
      <c r="M595" s="47"/>
      <c r="N595" s="47"/>
      <c r="O595" s="47"/>
      <c r="P595" s="47"/>
      <c r="Q595" s="49"/>
      <c r="R595" s="47"/>
      <c r="S595" s="47"/>
      <c r="T595" s="47">
        <v>1</v>
      </c>
      <c r="U595" s="47">
        <v>1</v>
      </c>
      <c r="V595" s="47">
        <v>3</v>
      </c>
      <c r="W595" s="52">
        <f t="shared" si="84"/>
        <v>5</v>
      </c>
      <c r="X595" s="59"/>
    </row>
    <row r="596" spans="1:24" hidden="1">
      <c r="A596" s="46" t="s">
        <v>346</v>
      </c>
      <c r="B596" s="46" t="s">
        <v>457</v>
      </c>
      <c r="C596" s="47" t="s">
        <v>1</v>
      </c>
      <c r="D596" s="47" t="str">
        <f t="shared" si="82"/>
        <v>AMNEAL PHARMACEUTICALS PVT LTD</v>
      </c>
      <c r="E596" s="53">
        <v>50091672</v>
      </c>
      <c r="F596" s="47" t="s">
        <v>108</v>
      </c>
      <c r="G596" s="46">
        <v>100000</v>
      </c>
      <c r="H596" s="47">
        <v>3.29</v>
      </c>
      <c r="I596" s="46">
        <f t="shared" si="83"/>
        <v>329000</v>
      </c>
      <c r="J596" s="47"/>
      <c r="K596" s="47"/>
      <c r="L596" s="47"/>
      <c r="M596" s="47"/>
      <c r="N596" s="47"/>
      <c r="O596" s="47"/>
      <c r="P596" s="47"/>
      <c r="Q596" s="49"/>
      <c r="R596" s="47"/>
      <c r="S596" s="47"/>
      <c r="T596" s="47">
        <v>1</v>
      </c>
      <c r="U596" s="47">
        <v>1</v>
      </c>
      <c r="V596" s="47">
        <v>3</v>
      </c>
      <c r="W596" s="52">
        <f t="shared" si="84"/>
        <v>5</v>
      </c>
      <c r="X596" s="59"/>
    </row>
    <row r="597" spans="1:24" hidden="1">
      <c r="A597" s="47" t="s">
        <v>346</v>
      </c>
      <c r="B597" s="46" t="s">
        <v>457</v>
      </c>
      <c r="C597" s="47" t="s">
        <v>397</v>
      </c>
      <c r="D597" s="47" t="str">
        <f t="shared" si="82"/>
        <v>Lupin Limited</v>
      </c>
      <c r="E597" s="53">
        <v>50113743</v>
      </c>
      <c r="F597" s="47" t="s">
        <v>170</v>
      </c>
      <c r="G597" s="46">
        <v>168000</v>
      </c>
      <c r="H597" s="47">
        <v>1.9</v>
      </c>
      <c r="I597" s="46">
        <f t="shared" si="83"/>
        <v>319200</v>
      </c>
      <c r="J597" s="47" t="s">
        <v>374</v>
      </c>
      <c r="K597" s="47"/>
      <c r="L597" s="47"/>
      <c r="M597" s="47"/>
      <c r="N597" s="47"/>
      <c r="O597" s="47"/>
      <c r="P597" s="47"/>
      <c r="Q597" s="49"/>
      <c r="R597" s="47"/>
      <c r="S597" s="47"/>
      <c r="T597" s="47">
        <v>1</v>
      </c>
      <c r="U597" s="47">
        <v>1</v>
      </c>
      <c r="V597" s="47">
        <v>3</v>
      </c>
      <c r="W597" s="52">
        <f t="shared" si="84"/>
        <v>5</v>
      </c>
      <c r="X597" s="59"/>
    </row>
    <row r="598" spans="1:24" hidden="1">
      <c r="A598" s="47" t="s">
        <v>346</v>
      </c>
      <c r="B598" s="46" t="s">
        <v>457</v>
      </c>
      <c r="C598" s="47" t="s">
        <v>397</v>
      </c>
      <c r="D598" s="47" t="str">
        <f t="shared" si="82"/>
        <v>Lupin Limited</v>
      </c>
      <c r="E598" s="53">
        <v>50083289</v>
      </c>
      <c r="F598" s="47" t="s">
        <v>24</v>
      </c>
      <c r="G598" s="46">
        <v>63000</v>
      </c>
      <c r="H598" s="47">
        <v>2.74</v>
      </c>
      <c r="I598" s="46">
        <f t="shared" si="83"/>
        <v>172620</v>
      </c>
      <c r="J598" s="47" t="s">
        <v>374</v>
      </c>
      <c r="K598" s="47"/>
      <c r="L598" s="47"/>
      <c r="M598" s="47"/>
      <c r="N598" s="47"/>
      <c r="O598" s="47"/>
      <c r="P598" s="47"/>
      <c r="Q598" s="49"/>
      <c r="R598" s="47"/>
      <c r="S598" s="47"/>
      <c r="T598" s="47">
        <v>1</v>
      </c>
      <c r="U598" s="47">
        <v>1</v>
      </c>
      <c r="V598" s="47">
        <v>3</v>
      </c>
      <c r="W598" s="52">
        <f t="shared" si="84"/>
        <v>5</v>
      </c>
      <c r="X598" s="59"/>
    </row>
    <row r="599" spans="1:24" hidden="1">
      <c r="A599" s="47" t="s">
        <v>346</v>
      </c>
      <c r="B599" s="46" t="s">
        <v>457</v>
      </c>
      <c r="C599" s="47" t="s">
        <v>397</v>
      </c>
      <c r="D599" s="47" t="str">
        <f t="shared" si="82"/>
        <v>Lupin Limited</v>
      </c>
      <c r="E599" s="53">
        <v>50081840</v>
      </c>
      <c r="F599" s="47" t="s">
        <v>137</v>
      </c>
      <c r="G599" s="46">
        <v>168000</v>
      </c>
      <c r="H599" s="47">
        <v>1.33</v>
      </c>
      <c r="I599" s="46">
        <f t="shared" si="83"/>
        <v>223440</v>
      </c>
      <c r="J599" s="47" t="s">
        <v>374</v>
      </c>
      <c r="K599" s="47"/>
      <c r="L599" s="47"/>
      <c r="M599" s="47"/>
      <c r="N599" s="47"/>
      <c r="O599" s="47"/>
      <c r="P599" s="47"/>
      <c r="Q599" s="49"/>
      <c r="R599" s="47"/>
      <c r="S599" s="47"/>
      <c r="T599" s="47">
        <v>1</v>
      </c>
      <c r="U599" s="47">
        <v>1</v>
      </c>
      <c r="V599" s="47">
        <v>3</v>
      </c>
      <c r="W599" s="52">
        <f t="shared" si="84"/>
        <v>5</v>
      </c>
      <c r="X599" s="59"/>
    </row>
    <row r="600" spans="1:24" hidden="1">
      <c r="A600" s="47" t="s">
        <v>346</v>
      </c>
      <c r="B600" s="46" t="s">
        <v>455</v>
      </c>
      <c r="C600" s="47" t="s">
        <v>97</v>
      </c>
      <c r="D600" s="47" t="s">
        <v>97</v>
      </c>
      <c r="E600" s="53">
        <v>50091673</v>
      </c>
      <c r="F600" s="47" t="s">
        <v>2</v>
      </c>
      <c r="G600" s="46">
        <v>250000</v>
      </c>
      <c r="H600" s="47">
        <v>3.63</v>
      </c>
      <c r="I600" s="46">
        <f t="shared" si="83"/>
        <v>907500</v>
      </c>
      <c r="J600" s="46" t="s">
        <v>374</v>
      </c>
      <c r="K600" s="46"/>
      <c r="L600" s="46"/>
      <c r="M600" s="47">
        <v>25501660</v>
      </c>
      <c r="N600" s="53">
        <v>4142511117</v>
      </c>
      <c r="O600" s="49">
        <v>46015</v>
      </c>
      <c r="P600" s="47"/>
      <c r="Q600" s="49">
        <v>46043</v>
      </c>
      <c r="R600" s="47" t="s">
        <v>463</v>
      </c>
      <c r="S600" s="52">
        <v>46026</v>
      </c>
      <c r="T600" s="47">
        <v>1</v>
      </c>
      <c r="U600" s="47">
        <v>1</v>
      </c>
      <c r="V600" s="47">
        <v>3</v>
      </c>
      <c r="W600" s="52">
        <f t="shared" si="84"/>
        <v>46031</v>
      </c>
      <c r="X600" s="59"/>
    </row>
    <row r="601" spans="1:24" hidden="1">
      <c r="A601" s="47" t="s">
        <v>346</v>
      </c>
      <c r="B601" s="46" t="s">
        <v>455</v>
      </c>
      <c r="C601" s="47" t="s">
        <v>97</v>
      </c>
      <c r="D601" s="47" t="s">
        <v>97</v>
      </c>
      <c r="E601" s="53">
        <v>50081939</v>
      </c>
      <c r="F601" s="47" t="s">
        <v>109</v>
      </c>
      <c r="G601" s="46">
        <v>450000</v>
      </c>
      <c r="H601" s="47">
        <v>1.29</v>
      </c>
      <c r="I601" s="46">
        <f t="shared" si="83"/>
        <v>580500</v>
      </c>
      <c r="J601" s="46" t="s">
        <v>374</v>
      </c>
      <c r="K601" s="46"/>
      <c r="L601" s="46"/>
      <c r="M601" s="47">
        <v>25501660</v>
      </c>
      <c r="N601" s="53">
        <v>4142511117</v>
      </c>
      <c r="O601" s="49">
        <v>46015</v>
      </c>
      <c r="P601" s="47"/>
      <c r="Q601" s="49">
        <v>46043</v>
      </c>
      <c r="R601" s="47" t="s">
        <v>463</v>
      </c>
      <c r="S601" s="52">
        <v>46026</v>
      </c>
      <c r="T601" s="47">
        <v>1</v>
      </c>
      <c r="U601" s="47">
        <v>1</v>
      </c>
      <c r="V601" s="47">
        <v>3</v>
      </c>
      <c r="W601" s="52">
        <f t="shared" si="84"/>
        <v>46031</v>
      </c>
      <c r="X601" s="59"/>
    </row>
    <row r="602" spans="1:24" hidden="1">
      <c r="A602" s="46" t="s">
        <v>347</v>
      </c>
      <c r="B602" s="46" t="s">
        <v>457</v>
      </c>
      <c r="C602" s="47" t="s">
        <v>241</v>
      </c>
      <c r="D602" s="47" t="s">
        <v>241</v>
      </c>
      <c r="E602" s="47">
        <v>50110013</v>
      </c>
      <c r="F602" s="47" t="s">
        <v>178</v>
      </c>
      <c r="G602" s="46">
        <v>70000</v>
      </c>
      <c r="H602" s="47">
        <v>2.2000000000000002</v>
      </c>
      <c r="I602" s="46">
        <f t="shared" si="83"/>
        <v>154000</v>
      </c>
      <c r="J602" s="46" t="s">
        <v>374</v>
      </c>
      <c r="K602" s="46"/>
      <c r="L602" s="46"/>
      <c r="M602" s="47">
        <v>25501593</v>
      </c>
      <c r="N602" s="48">
        <v>4100014720</v>
      </c>
      <c r="O602" s="49">
        <v>46009</v>
      </c>
      <c r="P602" s="50">
        <v>1</v>
      </c>
      <c r="Q602" s="49">
        <v>46076</v>
      </c>
      <c r="R602" s="47"/>
      <c r="S602" s="52">
        <v>46038</v>
      </c>
      <c r="T602" s="47">
        <v>1</v>
      </c>
      <c r="U602" s="47">
        <v>1</v>
      </c>
      <c r="V602" s="47"/>
      <c r="W602" s="52">
        <f>S602+T602+U602</f>
        <v>46040</v>
      </c>
      <c r="X602" s="59"/>
    </row>
    <row r="603" spans="1:24" hidden="1">
      <c r="A603" s="47" t="s">
        <v>346</v>
      </c>
      <c r="B603" s="46" t="s">
        <v>460</v>
      </c>
      <c r="C603" s="47" t="s">
        <v>414</v>
      </c>
      <c r="D603" s="47" t="s">
        <v>112</v>
      </c>
      <c r="E603" s="53">
        <v>50112640</v>
      </c>
      <c r="F603" s="47" t="s">
        <v>72</v>
      </c>
      <c r="G603" s="46">
        <v>24000</v>
      </c>
      <c r="H603" s="47">
        <v>2.2000000000000002</v>
      </c>
      <c r="I603" s="46">
        <f t="shared" si="83"/>
        <v>52800.000000000007</v>
      </c>
      <c r="J603" s="46" t="s">
        <v>374</v>
      </c>
      <c r="K603" s="46"/>
      <c r="L603" s="46"/>
      <c r="M603" s="47">
        <v>25501662</v>
      </c>
      <c r="N603" s="53">
        <v>4114015793</v>
      </c>
      <c r="O603" s="49">
        <v>46015</v>
      </c>
      <c r="P603" s="47"/>
      <c r="Q603" s="49">
        <v>46020</v>
      </c>
      <c r="R603" s="47" t="s">
        <v>462</v>
      </c>
      <c r="S603" s="51">
        <v>46042</v>
      </c>
      <c r="T603" s="47">
        <v>1</v>
      </c>
      <c r="U603" s="47">
        <v>1</v>
      </c>
      <c r="V603" s="47">
        <v>3</v>
      </c>
      <c r="W603" s="52">
        <f t="shared" ref="W603:W621" si="85">S603+T603+U603+V603</f>
        <v>46047</v>
      </c>
      <c r="X603" s="59"/>
    </row>
    <row r="604" spans="1:24" hidden="1">
      <c r="A604" s="47" t="s">
        <v>351</v>
      </c>
      <c r="B604" s="46" t="s">
        <v>457</v>
      </c>
      <c r="C604" s="47" t="s">
        <v>136</v>
      </c>
      <c r="D604" s="47" t="s">
        <v>136</v>
      </c>
      <c r="E604" s="53">
        <v>50110676</v>
      </c>
      <c r="F604" s="47" t="s">
        <v>129</v>
      </c>
      <c r="G604" s="46">
        <v>220000</v>
      </c>
      <c r="H604" s="47">
        <v>2.74</v>
      </c>
      <c r="I604" s="46">
        <f t="shared" si="83"/>
        <v>602800</v>
      </c>
      <c r="J604" s="46" t="s">
        <v>374</v>
      </c>
      <c r="K604" s="46"/>
      <c r="L604" s="46"/>
      <c r="M604" s="47">
        <v>25501663</v>
      </c>
      <c r="N604" s="53" t="s">
        <v>410</v>
      </c>
      <c r="O604" s="49">
        <v>46015</v>
      </c>
      <c r="P604" s="47"/>
      <c r="Q604" s="49">
        <v>46023</v>
      </c>
      <c r="R604" s="47" t="s">
        <v>462</v>
      </c>
      <c r="S604" s="51">
        <v>46047</v>
      </c>
      <c r="T604" s="47">
        <v>1</v>
      </c>
      <c r="U604" s="47">
        <v>1</v>
      </c>
      <c r="V604" s="47">
        <v>3</v>
      </c>
      <c r="W604" s="51">
        <f t="shared" si="85"/>
        <v>46052</v>
      </c>
      <c r="X604" s="60"/>
    </row>
    <row r="605" spans="1:24" hidden="1">
      <c r="A605" s="47" t="s">
        <v>351</v>
      </c>
      <c r="B605" s="46" t="s">
        <v>457</v>
      </c>
      <c r="C605" s="47" t="s">
        <v>136</v>
      </c>
      <c r="D605" s="47" t="s">
        <v>136</v>
      </c>
      <c r="E605" s="53">
        <v>50081903</v>
      </c>
      <c r="F605" s="47" t="s">
        <v>50</v>
      </c>
      <c r="G605" s="46">
        <v>220000</v>
      </c>
      <c r="H605" s="47">
        <v>0.63</v>
      </c>
      <c r="I605" s="46">
        <f t="shared" si="83"/>
        <v>138600</v>
      </c>
      <c r="J605" s="46" t="s">
        <v>374</v>
      </c>
      <c r="K605" s="46"/>
      <c r="L605" s="46"/>
      <c r="M605" s="47">
        <v>25501663</v>
      </c>
      <c r="N605" s="53" t="s">
        <v>410</v>
      </c>
      <c r="O605" s="49">
        <v>46015</v>
      </c>
      <c r="P605" s="47"/>
      <c r="Q605" s="49">
        <v>46023</v>
      </c>
      <c r="R605" s="47" t="s">
        <v>463</v>
      </c>
      <c r="S605" s="51">
        <v>46047</v>
      </c>
      <c r="T605" s="47">
        <v>1</v>
      </c>
      <c r="U605" s="47">
        <v>1</v>
      </c>
      <c r="V605" s="47">
        <v>3</v>
      </c>
      <c r="W605" s="51">
        <f t="shared" si="85"/>
        <v>46052</v>
      </c>
      <c r="X605" s="60"/>
    </row>
    <row r="606" spans="1:24" hidden="1">
      <c r="A606" s="47" t="s">
        <v>351</v>
      </c>
      <c r="B606" s="46" t="s">
        <v>457</v>
      </c>
      <c r="C606" s="47" t="s">
        <v>136</v>
      </c>
      <c r="D606" s="47" t="s">
        <v>136</v>
      </c>
      <c r="E606" s="53">
        <v>50082096</v>
      </c>
      <c r="F606" s="47" t="s">
        <v>76</v>
      </c>
      <c r="G606" s="46">
        <v>220000</v>
      </c>
      <c r="H606" s="47">
        <v>0.28000000000000003</v>
      </c>
      <c r="I606" s="46">
        <f t="shared" si="83"/>
        <v>61600.000000000007</v>
      </c>
      <c r="J606" s="46" t="s">
        <v>374</v>
      </c>
      <c r="K606" s="46"/>
      <c r="L606" s="46"/>
      <c r="M606" s="47">
        <v>25501663</v>
      </c>
      <c r="N606" s="53" t="s">
        <v>410</v>
      </c>
      <c r="O606" s="49">
        <v>46015</v>
      </c>
      <c r="P606" s="47"/>
      <c r="Q606" s="49">
        <v>46023</v>
      </c>
      <c r="R606" s="47" t="s">
        <v>463</v>
      </c>
      <c r="S606" s="51">
        <v>46047</v>
      </c>
      <c r="T606" s="47">
        <v>1</v>
      </c>
      <c r="U606" s="47">
        <v>1</v>
      </c>
      <c r="V606" s="47">
        <v>3</v>
      </c>
      <c r="W606" s="51">
        <f t="shared" si="85"/>
        <v>46052</v>
      </c>
      <c r="X606" s="60"/>
    </row>
    <row r="607" spans="1:24" hidden="1">
      <c r="A607" s="47" t="s">
        <v>351</v>
      </c>
      <c r="B607" s="46" t="s">
        <v>457</v>
      </c>
      <c r="C607" s="47" t="s">
        <v>136</v>
      </c>
      <c r="D607" s="47" t="s">
        <v>136</v>
      </c>
      <c r="E607" s="53">
        <v>50110683</v>
      </c>
      <c r="F607" s="47" t="s">
        <v>390</v>
      </c>
      <c r="G607" s="46">
        <v>55000</v>
      </c>
      <c r="H607" s="47">
        <v>3.33</v>
      </c>
      <c r="I607" s="46">
        <f t="shared" si="83"/>
        <v>183150</v>
      </c>
      <c r="J607" s="46" t="s">
        <v>374</v>
      </c>
      <c r="K607" s="46"/>
      <c r="L607" s="46" t="s">
        <v>482</v>
      </c>
      <c r="M607" s="47">
        <v>25501663</v>
      </c>
      <c r="N607" s="53" t="s">
        <v>410</v>
      </c>
      <c r="O607" s="49">
        <v>46015</v>
      </c>
      <c r="P607" s="47"/>
      <c r="Q607" s="49">
        <v>46023</v>
      </c>
      <c r="R607" s="47" t="s">
        <v>463</v>
      </c>
      <c r="S607" s="51">
        <v>46030</v>
      </c>
      <c r="T607" s="47">
        <v>1</v>
      </c>
      <c r="U607" s="47">
        <v>1</v>
      </c>
      <c r="V607" s="47">
        <v>3</v>
      </c>
      <c r="W607" s="51">
        <f t="shared" si="85"/>
        <v>46035</v>
      </c>
      <c r="X607" s="60"/>
    </row>
    <row r="608" spans="1:24" hidden="1">
      <c r="A608" s="47" t="s">
        <v>351</v>
      </c>
      <c r="B608" s="46" t="s">
        <v>457</v>
      </c>
      <c r="C608" s="47" t="s">
        <v>136</v>
      </c>
      <c r="D608" s="47" t="s">
        <v>136</v>
      </c>
      <c r="E608" s="53">
        <v>50081803</v>
      </c>
      <c r="F608" s="47" t="s">
        <v>387</v>
      </c>
      <c r="G608" s="46">
        <v>60000</v>
      </c>
      <c r="H608" s="47">
        <v>0.91</v>
      </c>
      <c r="I608" s="46">
        <f t="shared" si="83"/>
        <v>54600</v>
      </c>
      <c r="J608" s="46" t="s">
        <v>374</v>
      </c>
      <c r="K608" s="46"/>
      <c r="L608" s="46" t="s">
        <v>482</v>
      </c>
      <c r="M608" s="47">
        <v>25501663</v>
      </c>
      <c r="N608" s="53" t="s">
        <v>410</v>
      </c>
      <c r="O608" s="49">
        <v>46015</v>
      </c>
      <c r="P608" s="47"/>
      <c r="Q608" s="49">
        <v>46023</v>
      </c>
      <c r="R608" s="47" t="s">
        <v>463</v>
      </c>
      <c r="S608" s="51">
        <v>46030</v>
      </c>
      <c r="T608" s="47">
        <v>1</v>
      </c>
      <c r="U608" s="47">
        <v>1</v>
      </c>
      <c r="V608" s="47">
        <v>3</v>
      </c>
      <c r="W608" s="51">
        <f t="shared" si="85"/>
        <v>46035</v>
      </c>
      <c r="X608" s="60"/>
    </row>
    <row r="609" spans="1:24" hidden="1">
      <c r="A609" s="47" t="s">
        <v>351</v>
      </c>
      <c r="B609" s="46" t="s">
        <v>457</v>
      </c>
      <c r="C609" s="47" t="s">
        <v>136</v>
      </c>
      <c r="D609" s="47" t="s">
        <v>136</v>
      </c>
      <c r="E609" s="53">
        <v>50082039</v>
      </c>
      <c r="F609" s="47" t="s">
        <v>386</v>
      </c>
      <c r="G609" s="46">
        <v>60000</v>
      </c>
      <c r="H609" s="47">
        <v>0.53</v>
      </c>
      <c r="I609" s="46">
        <f t="shared" si="83"/>
        <v>31800</v>
      </c>
      <c r="J609" s="46" t="s">
        <v>374</v>
      </c>
      <c r="K609" s="46"/>
      <c r="L609" s="46" t="s">
        <v>482</v>
      </c>
      <c r="M609" s="47">
        <v>25501663</v>
      </c>
      <c r="N609" s="53" t="s">
        <v>410</v>
      </c>
      <c r="O609" s="49">
        <v>46015</v>
      </c>
      <c r="P609" s="47"/>
      <c r="Q609" s="49">
        <v>46023</v>
      </c>
      <c r="R609" s="47" t="s">
        <v>463</v>
      </c>
      <c r="S609" s="51">
        <v>46030</v>
      </c>
      <c r="T609" s="47">
        <v>1</v>
      </c>
      <c r="U609" s="47">
        <v>1</v>
      </c>
      <c r="V609" s="47">
        <v>3</v>
      </c>
      <c r="W609" s="51">
        <f t="shared" si="85"/>
        <v>46035</v>
      </c>
      <c r="X609" s="60"/>
    </row>
    <row r="610" spans="1:24" hidden="1">
      <c r="A610" s="47" t="s">
        <v>346</v>
      </c>
      <c r="B610" s="46" t="s">
        <v>456</v>
      </c>
      <c r="C610" s="47" t="s">
        <v>407</v>
      </c>
      <c r="D610" s="47" t="s">
        <v>407</v>
      </c>
      <c r="E610" s="53">
        <v>50104784</v>
      </c>
      <c r="F610" s="47" t="s">
        <v>233</v>
      </c>
      <c r="G610" s="46">
        <v>25000</v>
      </c>
      <c r="H610" s="47">
        <v>3.94</v>
      </c>
      <c r="I610" s="46">
        <f t="shared" si="83"/>
        <v>98500</v>
      </c>
      <c r="J610" s="46" t="s">
        <v>374</v>
      </c>
      <c r="K610" s="46"/>
      <c r="L610" s="46"/>
      <c r="M610" s="47">
        <v>25501664</v>
      </c>
      <c r="N610" s="53" t="s">
        <v>411</v>
      </c>
      <c r="O610" s="49">
        <v>46015</v>
      </c>
      <c r="P610" s="47"/>
      <c r="Q610" s="49">
        <v>46022</v>
      </c>
      <c r="R610" s="47" t="s">
        <v>462</v>
      </c>
      <c r="S610" s="51">
        <v>46043</v>
      </c>
      <c r="T610" s="47">
        <v>1</v>
      </c>
      <c r="U610" s="47">
        <v>1</v>
      </c>
      <c r="V610" s="47">
        <v>3</v>
      </c>
      <c r="W610" s="52">
        <f t="shared" si="85"/>
        <v>46048</v>
      </c>
      <c r="X610" s="59"/>
    </row>
    <row r="611" spans="1:24" hidden="1">
      <c r="A611" s="47" t="s">
        <v>346</v>
      </c>
      <c r="B611" s="46" t="s">
        <v>456</v>
      </c>
      <c r="C611" s="47" t="s">
        <v>407</v>
      </c>
      <c r="D611" s="47" t="s">
        <v>407</v>
      </c>
      <c r="E611" s="53">
        <v>50113739</v>
      </c>
      <c r="F611" s="47" t="s">
        <v>162</v>
      </c>
      <c r="G611" s="46">
        <v>25000</v>
      </c>
      <c r="H611" s="47">
        <v>0.69</v>
      </c>
      <c r="I611" s="46">
        <f t="shared" si="83"/>
        <v>17250</v>
      </c>
      <c r="J611" s="46" t="s">
        <v>374</v>
      </c>
      <c r="K611" s="46"/>
      <c r="L611" s="46"/>
      <c r="M611" s="47">
        <v>25501664</v>
      </c>
      <c r="N611" s="53" t="s">
        <v>411</v>
      </c>
      <c r="O611" s="49">
        <v>46015</v>
      </c>
      <c r="P611" s="47"/>
      <c r="Q611" s="49">
        <v>46022</v>
      </c>
      <c r="R611" s="47" t="s">
        <v>463</v>
      </c>
      <c r="S611" s="51">
        <v>46043</v>
      </c>
      <c r="T611" s="47">
        <v>1</v>
      </c>
      <c r="U611" s="47">
        <v>1</v>
      </c>
      <c r="V611" s="47">
        <v>3</v>
      </c>
      <c r="W611" s="52">
        <f t="shared" si="85"/>
        <v>46048</v>
      </c>
      <c r="X611" s="59"/>
    </row>
    <row r="612" spans="1:24" hidden="1">
      <c r="A612" s="47" t="s">
        <v>346</v>
      </c>
      <c r="B612" s="46" t="s">
        <v>456</v>
      </c>
      <c r="C612" s="47" t="s">
        <v>407</v>
      </c>
      <c r="D612" s="47" t="s">
        <v>407</v>
      </c>
      <c r="E612" s="53">
        <v>50113650</v>
      </c>
      <c r="F612" s="47" t="s">
        <v>18</v>
      </c>
      <c r="G612" s="46">
        <v>25000</v>
      </c>
      <c r="H612" s="47">
        <v>1.54</v>
      </c>
      <c r="I612" s="46">
        <f t="shared" si="83"/>
        <v>38500</v>
      </c>
      <c r="J612" s="46" t="s">
        <v>374</v>
      </c>
      <c r="K612" s="46"/>
      <c r="L612" s="46"/>
      <c r="M612" s="47">
        <v>25501664</v>
      </c>
      <c r="N612" s="53" t="s">
        <v>411</v>
      </c>
      <c r="O612" s="49">
        <v>46015</v>
      </c>
      <c r="P612" s="47"/>
      <c r="Q612" s="49">
        <v>46022</v>
      </c>
      <c r="R612" s="47" t="s">
        <v>463</v>
      </c>
      <c r="S612" s="51">
        <v>46043</v>
      </c>
      <c r="T612" s="47">
        <v>1</v>
      </c>
      <c r="U612" s="47">
        <v>1</v>
      </c>
      <c r="V612" s="47">
        <v>3</v>
      </c>
      <c r="W612" s="52">
        <f t="shared" si="85"/>
        <v>46048</v>
      </c>
      <c r="X612" s="59"/>
    </row>
    <row r="613" spans="1:24" hidden="1">
      <c r="A613" s="47" t="s">
        <v>351</v>
      </c>
      <c r="B613" s="46" t="s">
        <v>457</v>
      </c>
      <c r="C613" s="47" t="s">
        <v>408</v>
      </c>
      <c r="D613" s="47" t="s">
        <v>409</v>
      </c>
      <c r="E613" s="53">
        <v>50099316</v>
      </c>
      <c r="F613" s="47" t="s">
        <v>403</v>
      </c>
      <c r="G613" s="46">
        <v>50000</v>
      </c>
      <c r="H613" s="47">
        <v>1.82</v>
      </c>
      <c r="I613" s="46">
        <f t="shared" si="83"/>
        <v>91000</v>
      </c>
      <c r="J613" s="46" t="s">
        <v>374</v>
      </c>
      <c r="K613" s="46"/>
      <c r="L613" s="46"/>
      <c r="M613" s="47">
        <v>25501665</v>
      </c>
      <c r="N613" s="53" t="s">
        <v>412</v>
      </c>
      <c r="O613" s="49">
        <v>46015</v>
      </c>
      <c r="P613" s="47"/>
      <c r="Q613" s="49">
        <v>46046</v>
      </c>
      <c r="R613" s="47" t="s">
        <v>462</v>
      </c>
      <c r="S613" s="51">
        <v>46042</v>
      </c>
      <c r="T613" s="47">
        <v>1</v>
      </c>
      <c r="U613" s="47">
        <v>1</v>
      </c>
      <c r="V613" s="47">
        <v>3</v>
      </c>
      <c r="W613" s="51">
        <f t="shared" si="85"/>
        <v>46047</v>
      </c>
      <c r="X613" s="60"/>
    </row>
    <row r="614" spans="1:24" hidden="1">
      <c r="A614" s="47" t="s">
        <v>351</v>
      </c>
      <c r="B614" s="46" t="s">
        <v>457</v>
      </c>
      <c r="C614" s="47" t="s">
        <v>408</v>
      </c>
      <c r="D614" s="47" t="s">
        <v>409</v>
      </c>
      <c r="E614" s="53">
        <v>50100128</v>
      </c>
      <c r="F614" s="47" t="s">
        <v>300</v>
      </c>
      <c r="G614" s="46">
        <v>50000</v>
      </c>
      <c r="H614" s="47">
        <v>0.57999999999999996</v>
      </c>
      <c r="I614" s="46">
        <f t="shared" si="83"/>
        <v>28999.999999999996</v>
      </c>
      <c r="J614" s="46" t="s">
        <v>374</v>
      </c>
      <c r="K614" s="46"/>
      <c r="L614" s="46"/>
      <c r="M614" s="47">
        <v>25501665</v>
      </c>
      <c r="N614" s="53" t="s">
        <v>412</v>
      </c>
      <c r="O614" s="49">
        <v>46015</v>
      </c>
      <c r="P614" s="47"/>
      <c r="Q614" s="49">
        <v>46046</v>
      </c>
      <c r="R614" s="47" t="s">
        <v>462</v>
      </c>
      <c r="S614" s="51">
        <v>46042</v>
      </c>
      <c r="T614" s="47">
        <v>1</v>
      </c>
      <c r="U614" s="47">
        <v>1</v>
      </c>
      <c r="V614" s="47">
        <v>3</v>
      </c>
      <c r="W614" s="51">
        <f t="shared" si="85"/>
        <v>46047</v>
      </c>
      <c r="X614" s="60"/>
    </row>
    <row r="615" spans="1:24" hidden="1">
      <c r="A615" s="47" t="s">
        <v>351</v>
      </c>
      <c r="B615" s="46" t="s">
        <v>457</v>
      </c>
      <c r="C615" s="47" t="s">
        <v>408</v>
      </c>
      <c r="D615" s="47" t="s">
        <v>409</v>
      </c>
      <c r="E615" s="53">
        <v>50082077</v>
      </c>
      <c r="F615" s="47" t="s">
        <v>59</v>
      </c>
      <c r="G615" s="46">
        <v>50000</v>
      </c>
      <c r="H615" s="47">
        <v>0.14000000000000001</v>
      </c>
      <c r="I615" s="46">
        <f t="shared" si="83"/>
        <v>7000.0000000000009</v>
      </c>
      <c r="J615" s="46" t="s">
        <v>374</v>
      </c>
      <c r="K615" s="46"/>
      <c r="L615" s="46"/>
      <c r="M615" s="47">
        <v>25501665</v>
      </c>
      <c r="N615" s="53" t="s">
        <v>412</v>
      </c>
      <c r="O615" s="49">
        <v>46015</v>
      </c>
      <c r="P615" s="47"/>
      <c r="Q615" s="49">
        <v>46046</v>
      </c>
      <c r="R615" s="47" t="s">
        <v>462</v>
      </c>
      <c r="S615" s="51">
        <v>46042</v>
      </c>
      <c r="T615" s="47">
        <v>1</v>
      </c>
      <c r="U615" s="47">
        <v>1</v>
      </c>
      <c r="V615" s="47">
        <v>3</v>
      </c>
      <c r="W615" s="51">
        <f t="shared" si="85"/>
        <v>46047</v>
      </c>
      <c r="X615" s="60"/>
    </row>
    <row r="616" spans="1:24" hidden="1">
      <c r="A616" s="46" t="s">
        <v>349</v>
      </c>
      <c r="B616" s="46" t="s">
        <v>459</v>
      </c>
      <c r="C616" s="47" t="s">
        <v>28</v>
      </c>
      <c r="D616" s="47" t="s">
        <v>28</v>
      </c>
      <c r="E616" s="47">
        <v>50114671</v>
      </c>
      <c r="F616" s="47" t="s">
        <v>466</v>
      </c>
      <c r="G616" s="46">
        <v>576000</v>
      </c>
      <c r="H616" s="47">
        <v>2.6145</v>
      </c>
      <c r="I616" s="46">
        <f t="shared" si="83"/>
        <v>1505952</v>
      </c>
      <c r="J616" s="46" t="s">
        <v>449</v>
      </c>
      <c r="K616" s="46"/>
      <c r="L616" s="46"/>
      <c r="M616" s="47">
        <v>24880091</v>
      </c>
      <c r="N616" s="48">
        <v>5425000000129</v>
      </c>
      <c r="O616" s="49">
        <v>45712</v>
      </c>
      <c r="P616" s="50">
        <v>1.2</v>
      </c>
      <c r="Q616" s="49">
        <v>46022</v>
      </c>
      <c r="R616" s="47"/>
      <c r="S616" s="51">
        <v>46029</v>
      </c>
      <c r="T616" s="47">
        <v>1</v>
      </c>
      <c r="U616" s="47">
        <v>1</v>
      </c>
      <c r="V616" s="47">
        <v>3</v>
      </c>
      <c r="W616" s="51">
        <f t="shared" si="85"/>
        <v>46034</v>
      </c>
      <c r="X616" s="60"/>
    </row>
    <row r="617" spans="1:24" hidden="1">
      <c r="A617" s="46" t="s">
        <v>349</v>
      </c>
      <c r="B617" s="46" t="s">
        <v>459</v>
      </c>
      <c r="C617" s="47" t="s">
        <v>28</v>
      </c>
      <c r="D617" s="47" t="s">
        <v>28</v>
      </c>
      <c r="E617" s="47">
        <v>50081670</v>
      </c>
      <c r="F617" s="47" t="s">
        <v>30</v>
      </c>
      <c r="G617" s="46">
        <v>576000</v>
      </c>
      <c r="H617" s="47">
        <v>1.5583</v>
      </c>
      <c r="I617" s="46">
        <f t="shared" si="83"/>
        <v>897580.8</v>
      </c>
      <c r="J617" s="46" t="s">
        <v>449</v>
      </c>
      <c r="K617" s="46"/>
      <c r="L617" s="46"/>
      <c r="M617" s="47">
        <v>24880091</v>
      </c>
      <c r="N617" s="48">
        <v>5425000000129</v>
      </c>
      <c r="O617" s="49">
        <v>45712</v>
      </c>
      <c r="P617" s="50">
        <v>2.2000000000000002</v>
      </c>
      <c r="Q617" s="49">
        <v>46022</v>
      </c>
      <c r="R617" s="47"/>
      <c r="S617" s="51">
        <v>46029</v>
      </c>
      <c r="T617" s="47">
        <v>1</v>
      </c>
      <c r="U617" s="47">
        <v>1</v>
      </c>
      <c r="V617" s="47">
        <v>3</v>
      </c>
      <c r="W617" s="51">
        <f t="shared" si="85"/>
        <v>46034</v>
      </c>
      <c r="X617" s="60"/>
    </row>
    <row r="618" spans="1:24" hidden="1">
      <c r="A618" s="46" t="s">
        <v>349</v>
      </c>
      <c r="B618" s="46" t="s">
        <v>459</v>
      </c>
      <c r="C618" s="47" t="s">
        <v>28</v>
      </c>
      <c r="D618" s="47" t="s">
        <v>28</v>
      </c>
      <c r="E618" s="47">
        <v>50081938</v>
      </c>
      <c r="F618" s="47" t="s">
        <v>31</v>
      </c>
      <c r="G618" s="46">
        <v>576000</v>
      </c>
      <c r="H618" s="47">
        <v>0.75319999999999998</v>
      </c>
      <c r="I618" s="46">
        <f t="shared" si="83"/>
        <v>433843.20000000001</v>
      </c>
      <c r="J618" s="46" t="s">
        <v>449</v>
      </c>
      <c r="K618" s="46"/>
      <c r="L618" s="46"/>
      <c r="M618" s="47">
        <v>24880091</v>
      </c>
      <c r="N618" s="48">
        <v>5425000000129</v>
      </c>
      <c r="O618" s="49">
        <v>45712</v>
      </c>
      <c r="P618" s="50">
        <v>3.2</v>
      </c>
      <c r="Q618" s="49">
        <v>46022</v>
      </c>
      <c r="R618" s="47"/>
      <c r="S618" s="51">
        <v>46029</v>
      </c>
      <c r="T618" s="47">
        <v>1</v>
      </c>
      <c r="U618" s="47">
        <v>1</v>
      </c>
      <c r="V618" s="47">
        <v>3</v>
      </c>
      <c r="W618" s="51">
        <f t="shared" si="85"/>
        <v>46034</v>
      </c>
      <c r="X618" s="60"/>
    </row>
    <row r="619" spans="1:24" hidden="1">
      <c r="A619" s="46" t="s">
        <v>351</v>
      </c>
      <c r="B619" s="46" t="s">
        <v>455</v>
      </c>
      <c r="C619" s="47" t="s">
        <v>74</v>
      </c>
      <c r="D619" s="47" t="s">
        <v>74</v>
      </c>
      <c r="E619" s="47">
        <v>50082096</v>
      </c>
      <c r="F619" s="47" t="s">
        <v>76</v>
      </c>
      <c r="G619" s="46">
        <v>200000</v>
      </c>
      <c r="H619" s="47">
        <v>0.25</v>
      </c>
      <c r="I619" s="46">
        <v>50000</v>
      </c>
      <c r="J619" s="46" t="s">
        <v>374</v>
      </c>
      <c r="K619" s="46"/>
      <c r="L619" s="46"/>
      <c r="M619" s="47">
        <v>25501643</v>
      </c>
      <c r="N619" s="48">
        <v>4521003629</v>
      </c>
      <c r="O619" s="49">
        <v>46014</v>
      </c>
      <c r="P619" s="50">
        <v>1</v>
      </c>
      <c r="Q619" s="49">
        <v>46053</v>
      </c>
      <c r="R619" s="47" t="s">
        <v>463</v>
      </c>
      <c r="S619" s="51">
        <v>46042</v>
      </c>
      <c r="T619" s="47">
        <v>1</v>
      </c>
      <c r="U619" s="47">
        <v>1</v>
      </c>
      <c r="V619" s="47">
        <v>3</v>
      </c>
      <c r="W619" s="51">
        <f t="shared" si="85"/>
        <v>46047</v>
      </c>
      <c r="X619" s="60"/>
    </row>
    <row r="620" spans="1:24" hidden="1">
      <c r="A620" s="46" t="s">
        <v>351</v>
      </c>
      <c r="B620" s="46" t="s">
        <v>455</v>
      </c>
      <c r="C620" s="47" t="s">
        <v>74</v>
      </c>
      <c r="D620" s="47" t="s">
        <v>74</v>
      </c>
      <c r="E620" s="47">
        <v>50081903</v>
      </c>
      <c r="F620" s="47" t="s">
        <v>50</v>
      </c>
      <c r="G620" s="46">
        <v>200000</v>
      </c>
      <c r="H620" s="47">
        <v>0.72</v>
      </c>
      <c r="I620" s="46">
        <v>144000</v>
      </c>
      <c r="J620" s="46" t="s">
        <v>374</v>
      </c>
      <c r="K620" s="46"/>
      <c r="L620" s="46"/>
      <c r="M620" s="47">
        <v>25501409</v>
      </c>
      <c r="N620" s="48">
        <v>4521003374</v>
      </c>
      <c r="O620" s="49">
        <v>45986</v>
      </c>
      <c r="P620" s="50">
        <v>1.2</v>
      </c>
      <c r="Q620" s="49">
        <v>46001</v>
      </c>
      <c r="R620" s="47" t="s">
        <v>463</v>
      </c>
      <c r="S620" s="51">
        <v>46042</v>
      </c>
      <c r="T620" s="47">
        <v>1</v>
      </c>
      <c r="U620" s="47">
        <v>1</v>
      </c>
      <c r="V620" s="47">
        <v>3</v>
      </c>
      <c r="W620" s="51">
        <f t="shared" si="85"/>
        <v>46047</v>
      </c>
      <c r="X620" s="60"/>
    </row>
    <row r="621" spans="1:24" hidden="1">
      <c r="A621" s="46" t="s">
        <v>351</v>
      </c>
      <c r="B621" s="46" t="s">
        <v>455</v>
      </c>
      <c r="C621" s="47" t="s">
        <v>74</v>
      </c>
      <c r="D621" s="47" t="s">
        <v>74</v>
      </c>
      <c r="E621" s="47">
        <v>50113256</v>
      </c>
      <c r="F621" s="47" t="s">
        <v>75</v>
      </c>
      <c r="G621" s="46">
        <v>200000</v>
      </c>
      <c r="H621" s="47">
        <v>2.21</v>
      </c>
      <c r="I621" s="46">
        <v>442000</v>
      </c>
      <c r="J621" s="46" t="s">
        <v>375</v>
      </c>
      <c r="K621" s="46"/>
      <c r="L621" s="46"/>
      <c r="M621" s="47">
        <v>25500198</v>
      </c>
      <c r="N621" s="48">
        <v>4521003371</v>
      </c>
      <c r="O621" s="49">
        <v>45986</v>
      </c>
      <c r="P621" s="50">
        <v>1.5</v>
      </c>
      <c r="Q621" s="49">
        <v>46053</v>
      </c>
      <c r="R621" s="47" t="s">
        <v>462</v>
      </c>
      <c r="S621" s="51">
        <v>46042</v>
      </c>
      <c r="T621" s="47">
        <v>1</v>
      </c>
      <c r="U621" s="47">
        <v>1</v>
      </c>
      <c r="V621" s="47">
        <v>3</v>
      </c>
      <c r="W621" s="51">
        <f t="shared" si="85"/>
        <v>46047</v>
      </c>
      <c r="X621" s="60"/>
    </row>
    <row r="622" spans="1:24" hidden="1">
      <c r="A622" s="46" t="s">
        <v>347</v>
      </c>
      <c r="B622" s="46" t="s">
        <v>457</v>
      </c>
      <c r="C622" s="47" t="s">
        <v>241</v>
      </c>
      <c r="D622" s="47" t="s">
        <v>241</v>
      </c>
      <c r="E622" s="47">
        <v>50110013</v>
      </c>
      <c r="F622" s="47" t="s">
        <v>178</v>
      </c>
      <c r="G622" s="46">
        <v>82500</v>
      </c>
      <c r="H622" s="47">
        <v>2.2000000000000002</v>
      </c>
      <c r="I622" s="46">
        <f t="shared" ref="I622:I647" si="86">G622*H622</f>
        <v>181500.00000000003</v>
      </c>
      <c r="J622" s="46" t="s">
        <v>374</v>
      </c>
      <c r="K622" s="46"/>
      <c r="L622" s="46" t="s">
        <v>482</v>
      </c>
      <c r="M622" s="47">
        <v>25501593</v>
      </c>
      <c r="N622" s="48">
        <v>4100014720</v>
      </c>
      <c r="O622" s="49">
        <v>46009</v>
      </c>
      <c r="P622" s="50">
        <v>2</v>
      </c>
      <c r="Q622" s="49">
        <v>46107</v>
      </c>
      <c r="R622" s="47"/>
      <c r="S622" s="52">
        <v>46038</v>
      </c>
      <c r="T622" s="47">
        <v>1</v>
      </c>
      <c r="U622" s="47">
        <v>1</v>
      </c>
      <c r="V622" s="47"/>
      <c r="W622" s="52">
        <f t="shared" ref="W622:W623" si="87">S622+T622+U622</f>
        <v>46040</v>
      </c>
      <c r="X622" s="59"/>
    </row>
    <row r="623" spans="1:24" hidden="1">
      <c r="A623" s="46" t="s">
        <v>347</v>
      </c>
      <c r="B623" s="46" t="s">
        <v>457</v>
      </c>
      <c r="C623" s="47" t="s">
        <v>243</v>
      </c>
      <c r="D623" s="47" t="s">
        <v>243</v>
      </c>
      <c r="E623" s="47">
        <v>50110013</v>
      </c>
      <c r="F623" s="47" t="s">
        <v>178</v>
      </c>
      <c r="G623" s="46">
        <v>600000</v>
      </c>
      <c r="H623" s="47">
        <v>2.2000000000000002</v>
      </c>
      <c r="I623" s="46">
        <f t="shared" si="86"/>
        <v>1320000</v>
      </c>
      <c r="J623" s="46" t="s">
        <v>374</v>
      </c>
      <c r="K623" s="46"/>
      <c r="L623" s="46" t="s">
        <v>482</v>
      </c>
      <c r="M623" s="47">
        <v>25501596</v>
      </c>
      <c r="N623" s="48">
        <v>4100014737</v>
      </c>
      <c r="O623" s="49">
        <v>46009</v>
      </c>
      <c r="P623" s="50">
        <v>1</v>
      </c>
      <c r="Q623" s="49">
        <v>46017</v>
      </c>
      <c r="R623" s="47"/>
      <c r="S623" s="47"/>
      <c r="T623" s="47">
        <v>1</v>
      </c>
      <c r="U623" s="47">
        <v>1</v>
      </c>
      <c r="V623" s="47"/>
      <c r="W623" s="52">
        <f t="shared" si="87"/>
        <v>2</v>
      </c>
      <c r="X623" s="59"/>
    </row>
    <row r="624" spans="1:24" hidden="1">
      <c r="A624" s="46" t="s">
        <v>350</v>
      </c>
      <c r="B624" s="46" t="s">
        <v>460</v>
      </c>
      <c r="C624" s="47" t="s">
        <v>472</v>
      </c>
      <c r="D624" s="47" t="str">
        <f>C624</f>
        <v>BIODEAL</v>
      </c>
      <c r="E624" s="47">
        <v>50105834</v>
      </c>
      <c r="F624" s="47" t="s">
        <v>252</v>
      </c>
      <c r="G624" s="46">
        <v>7300</v>
      </c>
      <c r="H624" s="50">
        <v>62</v>
      </c>
      <c r="I624" s="46">
        <f t="shared" si="86"/>
        <v>452600</v>
      </c>
      <c r="J624" s="46" t="s">
        <v>374</v>
      </c>
      <c r="K624" s="46"/>
      <c r="L624" s="46"/>
      <c r="M624" s="47"/>
      <c r="N624" s="47"/>
      <c r="O624" s="47"/>
      <c r="P624" s="47"/>
      <c r="Q624" s="49"/>
      <c r="R624" s="47"/>
      <c r="S624" s="47"/>
      <c r="T624" s="47"/>
      <c r="U624" s="47"/>
      <c r="V624" s="47"/>
      <c r="W624" s="47"/>
    </row>
    <row r="625" spans="1:24" hidden="1">
      <c r="A625" s="46" t="s">
        <v>351</v>
      </c>
      <c r="B625" s="46" t="s">
        <v>457</v>
      </c>
      <c r="C625" s="47" t="s">
        <v>123</v>
      </c>
      <c r="D625" s="47" t="s">
        <v>234</v>
      </c>
      <c r="E625" s="47">
        <v>50081970</v>
      </c>
      <c r="F625" s="47" t="s">
        <v>107</v>
      </c>
      <c r="G625" s="46">
        <v>250000</v>
      </c>
      <c r="H625" s="47">
        <v>1.43</v>
      </c>
      <c r="I625" s="46">
        <f t="shared" si="86"/>
        <v>357500</v>
      </c>
      <c r="J625" s="46" t="s">
        <v>374</v>
      </c>
      <c r="K625" s="46"/>
      <c r="L625" s="46"/>
      <c r="M625" s="47">
        <v>25501708</v>
      </c>
      <c r="N625" s="48">
        <v>4100312969</v>
      </c>
      <c r="O625" s="49">
        <v>46008</v>
      </c>
      <c r="P625" s="50">
        <v>4</v>
      </c>
      <c r="Q625" s="49">
        <v>46023</v>
      </c>
      <c r="R625" s="47" t="s">
        <v>462</v>
      </c>
      <c r="S625" s="51">
        <v>46043</v>
      </c>
      <c r="T625" s="47">
        <v>1</v>
      </c>
      <c r="U625" s="47">
        <v>1</v>
      </c>
      <c r="V625" s="47">
        <v>3</v>
      </c>
      <c r="W625" s="51">
        <f t="shared" ref="W625:W637" si="88">S625+T625+U625+V625</f>
        <v>46048</v>
      </c>
      <c r="X625" s="60"/>
    </row>
    <row r="626" spans="1:24" hidden="1">
      <c r="A626" s="46" t="s">
        <v>351</v>
      </c>
      <c r="B626" s="46" t="s">
        <v>457</v>
      </c>
      <c r="C626" s="47" t="s">
        <v>123</v>
      </c>
      <c r="D626" s="47" t="s">
        <v>234</v>
      </c>
      <c r="E626" s="47">
        <v>50081808</v>
      </c>
      <c r="F626" s="47" t="s">
        <v>23</v>
      </c>
      <c r="G626" s="46">
        <v>250000</v>
      </c>
      <c r="H626" s="47">
        <v>0.77</v>
      </c>
      <c r="I626" s="46">
        <f t="shared" si="86"/>
        <v>192500</v>
      </c>
      <c r="J626" s="46" t="s">
        <v>374</v>
      </c>
      <c r="K626" s="46"/>
      <c r="L626" s="46"/>
      <c r="M626" s="47">
        <v>25501708</v>
      </c>
      <c r="N626" s="48">
        <v>4100312969</v>
      </c>
      <c r="O626" s="49">
        <v>46008</v>
      </c>
      <c r="P626" s="50">
        <v>5</v>
      </c>
      <c r="Q626" s="49">
        <v>46023</v>
      </c>
      <c r="R626" s="47" t="s">
        <v>462</v>
      </c>
      <c r="S626" s="51">
        <v>46043</v>
      </c>
      <c r="T626" s="47">
        <v>1</v>
      </c>
      <c r="U626" s="47">
        <v>1</v>
      </c>
      <c r="V626" s="47">
        <v>3</v>
      </c>
      <c r="W626" s="51">
        <f t="shared" si="88"/>
        <v>46048</v>
      </c>
      <c r="X626" s="60"/>
    </row>
    <row r="627" spans="1:24" hidden="1">
      <c r="A627" s="46" t="s">
        <v>351</v>
      </c>
      <c r="B627" s="46" t="s">
        <v>457</v>
      </c>
      <c r="C627" s="47" t="s">
        <v>123</v>
      </c>
      <c r="D627" s="47" t="s">
        <v>234</v>
      </c>
      <c r="E627" s="47">
        <v>50111939</v>
      </c>
      <c r="F627" s="47" t="s">
        <v>39</v>
      </c>
      <c r="G627" s="46">
        <v>250000</v>
      </c>
      <c r="H627" s="47">
        <v>0.25</v>
      </c>
      <c r="I627" s="46">
        <f t="shared" si="86"/>
        <v>62500</v>
      </c>
      <c r="J627" s="46" t="s">
        <v>374</v>
      </c>
      <c r="K627" s="46"/>
      <c r="L627" s="46"/>
      <c r="M627" s="47">
        <v>25501708</v>
      </c>
      <c r="N627" s="48">
        <v>4100312969</v>
      </c>
      <c r="O627" s="49">
        <v>46008</v>
      </c>
      <c r="P627" s="50">
        <v>6</v>
      </c>
      <c r="Q627" s="49">
        <v>46023</v>
      </c>
      <c r="R627" s="47" t="s">
        <v>462</v>
      </c>
      <c r="S627" s="51">
        <v>46043</v>
      </c>
      <c r="T627" s="47">
        <v>1</v>
      </c>
      <c r="U627" s="47">
        <v>1</v>
      </c>
      <c r="V627" s="47">
        <v>3</v>
      </c>
      <c r="W627" s="51">
        <f t="shared" si="88"/>
        <v>46048</v>
      </c>
      <c r="X627" s="60"/>
    </row>
    <row r="628" spans="1:24" hidden="1">
      <c r="A628" s="47" t="s">
        <v>351</v>
      </c>
      <c r="B628" s="46" t="s">
        <v>457</v>
      </c>
      <c r="C628" s="47" t="s">
        <v>259</v>
      </c>
      <c r="D628" s="47" t="s">
        <v>259</v>
      </c>
      <c r="E628" s="47">
        <v>50114680</v>
      </c>
      <c r="F628" s="47" t="s">
        <v>385</v>
      </c>
      <c r="G628" s="46">
        <v>80000</v>
      </c>
      <c r="H628" s="47">
        <v>1.82</v>
      </c>
      <c r="I628" s="46">
        <f t="shared" si="86"/>
        <v>145600</v>
      </c>
      <c r="J628" s="47" t="s">
        <v>374</v>
      </c>
      <c r="K628" s="47"/>
      <c r="L628" s="47" t="s">
        <v>482</v>
      </c>
      <c r="M628" s="47"/>
      <c r="N628" s="47"/>
      <c r="O628" s="47"/>
      <c r="P628" s="47"/>
      <c r="Q628" s="49"/>
      <c r="R628" s="47"/>
      <c r="S628" s="52">
        <v>46050</v>
      </c>
      <c r="T628" s="47">
        <v>1</v>
      </c>
      <c r="U628" s="47">
        <v>1</v>
      </c>
      <c r="V628" s="47">
        <v>3</v>
      </c>
      <c r="W628" s="51">
        <f t="shared" si="88"/>
        <v>46055</v>
      </c>
      <c r="X628" s="60"/>
    </row>
    <row r="629" spans="1:24" hidden="1">
      <c r="A629" s="47" t="s">
        <v>351</v>
      </c>
      <c r="B629" s="46" t="s">
        <v>457</v>
      </c>
      <c r="C629" s="47" t="s">
        <v>259</v>
      </c>
      <c r="D629" s="47" t="s">
        <v>259</v>
      </c>
      <c r="E629" s="47">
        <v>50081803</v>
      </c>
      <c r="F629" s="47" t="s">
        <v>387</v>
      </c>
      <c r="G629" s="46">
        <v>80000</v>
      </c>
      <c r="H629" s="47">
        <v>0.6</v>
      </c>
      <c r="I629" s="46">
        <f t="shared" si="86"/>
        <v>48000</v>
      </c>
      <c r="J629" s="47" t="s">
        <v>374</v>
      </c>
      <c r="K629" s="47"/>
      <c r="L629" s="47" t="s">
        <v>482</v>
      </c>
      <c r="M629" s="47"/>
      <c r="N629" s="47"/>
      <c r="O629" s="47"/>
      <c r="P629" s="47"/>
      <c r="Q629" s="49"/>
      <c r="R629" s="47"/>
      <c r="S629" s="52">
        <v>46050</v>
      </c>
      <c r="T629" s="47">
        <v>1</v>
      </c>
      <c r="U629" s="47">
        <v>1</v>
      </c>
      <c r="V629" s="47">
        <v>3</v>
      </c>
      <c r="W629" s="51">
        <f t="shared" si="88"/>
        <v>46055</v>
      </c>
      <c r="X629" s="60"/>
    </row>
    <row r="630" spans="1:24" hidden="1">
      <c r="A630" s="47" t="s">
        <v>351</v>
      </c>
      <c r="B630" s="46" t="s">
        <v>457</v>
      </c>
      <c r="C630" s="47" t="s">
        <v>259</v>
      </c>
      <c r="D630" s="47" t="s">
        <v>259</v>
      </c>
      <c r="E630" s="47">
        <v>50082039</v>
      </c>
      <c r="F630" s="47" t="s">
        <v>386</v>
      </c>
      <c r="G630" s="46">
        <v>80000</v>
      </c>
      <c r="H630" s="47">
        <v>0.36</v>
      </c>
      <c r="I630" s="46">
        <f t="shared" si="86"/>
        <v>28800</v>
      </c>
      <c r="J630" s="47" t="s">
        <v>374</v>
      </c>
      <c r="K630" s="47"/>
      <c r="L630" s="47" t="s">
        <v>482</v>
      </c>
      <c r="M630" s="47"/>
      <c r="N630" s="47"/>
      <c r="O630" s="47"/>
      <c r="P630" s="47"/>
      <c r="Q630" s="49"/>
      <c r="R630" s="47"/>
      <c r="S630" s="52">
        <v>46050</v>
      </c>
      <c r="T630" s="47">
        <v>1</v>
      </c>
      <c r="U630" s="47">
        <v>1</v>
      </c>
      <c r="V630" s="47">
        <v>3</v>
      </c>
      <c r="W630" s="51">
        <f t="shared" si="88"/>
        <v>46055</v>
      </c>
      <c r="X630" s="60"/>
    </row>
    <row r="631" spans="1:24" hidden="1">
      <c r="A631" s="47" t="s">
        <v>351</v>
      </c>
      <c r="B631" s="46" t="s">
        <v>457</v>
      </c>
      <c r="C631" s="47" t="s">
        <v>259</v>
      </c>
      <c r="D631" s="47" t="s">
        <v>259</v>
      </c>
      <c r="E631" s="47">
        <v>50083266</v>
      </c>
      <c r="F631" s="47" t="s">
        <v>73</v>
      </c>
      <c r="G631" s="46">
        <v>100000</v>
      </c>
      <c r="H631" s="47">
        <v>1.8</v>
      </c>
      <c r="I631" s="46">
        <f t="shared" si="86"/>
        <v>180000</v>
      </c>
      <c r="J631" s="47" t="s">
        <v>374</v>
      </c>
      <c r="K631" s="47"/>
      <c r="L631" s="47"/>
      <c r="M631" s="47"/>
      <c r="N631" s="47"/>
      <c r="O631" s="47"/>
      <c r="P631" s="47"/>
      <c r="Q631" s="49"/>
      <c r="R631" s="47"/>
      <c r="S631" s="52">
        <v>46050</v>
      </c>
      <c r="T631" s="47">
        <v>1</v>
      </c>
      <c r="U631" s="47">
        <v>1</v>
      </c>
      <c r="V631" s="47">
        <v>3</v>
      </c>
      <c r="W631" s="51">
        <f t="shared" si="88"/>
        <v>46055</v>
      </c>
      <c r="X631" s="60"/>
    </row>
    <row r="632" spans="1:24" hidden="1">
      <c r="A632" s="47" t="s">
        <v>351</v>
      </c>
      <c r="B632" s="46" t="s">
        <v>457</v>
      </c>
      <c r="C632" s="47" t="s">
        <v>259</v>
      </c>
      <c r="D632" s="47" t="s">
        <v>259</v>
      </c>
      <c r="E632" s="47">
        <v>50081903</v>
      </c>
      <c r="F632" s="47" t="s">
        <v>50</v>
      </c>
      <c r="G632" s="46">
        <v>50000</v>
      </c>
      <c r="H632" s="47">
        <v>0.51</v>
      </c>
      <c r="I632" s="46">
        <f t="shared" si="86"/>
        <v>25500</v>
      </c>
      <c r="J632" s="47" t="s">
        <v>374</v>
      </c>
      <c r="K632" s="47"/>
      <c r="L632" s="47"/>
      <c r="M632" s="47"/>
      <c r="N632" s="47"/>
      <c r="O632" s="47"/>
      <c r="P632" s="47"/>
      <c r="Q632" s="49"/>
      <c r="R632" s="47"/>
      <c r="S632" s="52">
        <v>46050</v>
      </c>
      <c r="T632" s="47">
        <v>1</v>
      </c>
      <c r="U632" s="47">
        <v>1</v>
      </c>
      <c r="V632" s="47">
        <v>3</v>
      </c>
      <c r="W632" s="51">
        <f t="shared" si="88"/>
        <v>46055</v>
      </c>
      <c r="X632" s="60"/>
    </row>
    <row r="633" spans="1:24" hidden="1">
      <c r="A633" s="47" t="s">
        <v>351</v>
      </c>
      <c r="B633" s="46" t="s">
        <v>457</v>
      </c>
      <c r="C633" s="47" t="s">
        <v>259</v>
      </c>
      <c r="D633" s="47" t="s">
        <v>259</v>
      </c>
      <c r="E633" s="47">
        <v>50101944</v>
      </c>
      <c r="F633" s="47" t="s">
        <v>478</v>
      </c>
      <c r="G633" s="46">
        <v>50000</v>
      </c>
      <c r="H633" s="47">
        <v>0.56999999999999995</v>
      </c>
      <c r="I633" s="46">
        <f t="shared" si="86"/>
        <v>28499.999999999996</v>
      </c>
      <c r="J633" s="47" t="s">
        <v>374</v>
      </c>
      <c r="K633" s="47"/>
      <c r="L633" s="47"/>
      <c r="M633" s="47"/>
      <c r="N633" s="47"/>
      <c r="O633" s="47"/>
      <c r="P633" s="47"/>
      <c r="Q633" s="49"/>
      <c r="R633" s="47"/>
      <c r="S633" s="52">
        <v>46050</v>
      </c>
      <c r="T633" s="47">
        <v>1</v>
      </c>
      <c r="U633" s="47">
        <v>1</v>
      </c>
      <c r="V633" s="47">
        <v>3</v>
      </c>
      <c r="W633" s="51">
        <f t="shared" si="88"/>
        <v>46055</v>
      </c>
      <c r="X633" s="60"/>
    </row>
    <row r="634" spans="1:24" hidden="1">
      <c r="A634" s="47" t="s">
        <v>351</v>
      </c>
      <c r="B634" s="46" t="s">
        <v>457</v>
      </c>
      <c r="C634" s="47" t="s">
        <v>259</v>
      </c>
      <c r="D634" s="47" t="s">
        <v>259</v>
      </c>
      <c r="E634" s="47">
        <v>50099121</v>
      </c>
      <c r="F634" s="47" t="s">
        <v>51</v>
      </c>
      <c r="G634" s="46">
        <v>100000</v>
      </c>
      <c r="H634" s="47">
        <v>0.31</v>
      </c>
      <c r="I634" s="46">
        <f t="shared" si="86"/>
        <v>31000</v>
      </c>
      <c r="J634" s="47" t="s">
        <v>374</v>
      </c>
      <c r="K634" s="47"/>
      <c r="L634" s="47"/>
      <c r="M634" s="47"/>
      <c r="N634" s="47"/>
      <c r="O634" s="47"/>
      <c r="P634" s="47"/>
      <c r="Q634" s="49"/>
      <c r="R634" s="47"/>
      <c r="S634" s="52">
        <v>46050</v>
      </c>
      <c r="T634" s="47">
        <v>1</v>
      </c>
      <c r="U634" s="47">
        <v>1</v>
      </c>
      <c r="V634" s="47">
        <v>3</v>
      </c>
      <c r="W634" s="51">
        <f t="shared" si="88"/>
        <v>46055</v>
      </c>
      <c r="X634" s="60"/>
    </row>
    <row r="635" spans="1:24" hidden="1">
      <c r="A635" s="47" t="s">
        <v>351</v>
      </c>
      <c r="B635" s="46" t="s">
        <v>457</v>
      </c>
      <c r="C635" s="47" t="s">
        <v>123</v>
      </c>
      <c r="D635" s="47" t="s">
        <v>234</v>
      </c>
      <c r="E635" s="47">
        <v>50081970</v>
      </c>
      <c r="F635" s="47" t="s">
        <v>107</v>
      </c>
      <c r="G635" s="46">
        <v>250000</v>
      </c>
      <c r="H635" s="47">
        <v>1.43</v>
      </c>
      <c r="I635" s="46">
        <f t="shared" si="86"/>
        <v>357500</v>
      </c>
      <c r="J635" s="47" t="s">
        <v>374</v>
      </c>
      <c r="K635" s="47"/>
      <c r="L635" s="47"/>
      <c r="M635" s="47">
        <v>25501708</v>
      </c>
      <c r="N635" s="47">
        <v>4100312969</v>
      </c>
      <c r="O635" s="47">
        <v>46008</v>
      </c>
      <c r="P635" s="47">
        <v>4</v>
      </c>
      <c r="Q635" s="49">
        <v>46023</v>
      </c>
      <c r="R635" s="47" t="s">
        <v>462</v>
      </c>
      <c r="S635" s="52">
        <v>46047</v>
      </c>
      <c r="T635" s="47">
        <v>1</v>
      </c>
      <c r="U635" s="47">
        <v>1</v>
      </c>
      <c r="V635" s="47">
        <v>3</v>
      </c>
      <c r="W635" s="51">
        <f t="shared" si="88"/>
        <v>46052</v>
      </c>
      <c r="X635" s="60"/>
    </row>
    <row r="636" spans="1:24" hidden="1">
      <c r="A636" s="47" t="s">
        <v>351</v>
      </c>
      <c r="B636" s="46" t="s">
        <v>457</v>
      </c>
      <c r="C636" s="47" t="s">
        <v>123</v>
      </c>
      <c r="D636" s="47" t="s">
        <v>234</v>
      </c>
      <c r="E636" s="47">
        <v>50081808</v>
      </c>
      <c r="F636" s="47" t="s">
        <v>23</v>
      </c>
      <c r="G636" s="46">
        <v>250000</v>
      </c>
      <c r="H636" s="47">
        <v>0.77</v>
      </c>
      <c r="I636" s="46">
        <f t="shared" si="86"/>
        <v>192500</v>
      </c>
      <c r="J636" s="47" t="s">
        <v>374</v>
      </c>
      <c r="K636" s="47"/>
      <c r="L636" s="47"/>
      <c r="M636" s="47">
        <v>25501708</v>
      </c>
      <c r="N636" s="47">
        <v>4100312969</v>
      </c>
      <c r="O636" s="47">
        <v>46008</v>
      </c>
      <c r="P636" s="47">
        <v>5</v>
      </c>
      <c r="Q636" s="49">
        <v>46023</v>
      </c>
      <c r="R636" s="47" t="s">
        <v>462</v>
      </c>
      <c r="S636" s="52">
        <v>46047</v>
      </c>
      <c r="T636" s="47">
        <v>1</v>
      </c>
      <c r="U636" s="47">
        <v>1</v>
      </c>
      <c r="V636" s="47">
        <v>3</v>
      </c>
      <c r="W636" s="51">
        <f t="shared" si="88"/>
        <v>46052</v>
      </c>
      <c r="X636" s="60"/>
    </row>
    <row r="637" spans="1:24" hidden="1">
      <c r="A637" s="47" t="s">
        <v>351</v>
      </c>
      <c r="B637" s="46" t="s">
        <v>457</v>
      </c>
      <c r="C637" s="47" t="s">
        <v>123</v>
      </c>
      <c r="D637" s="47" t="s">
        <v>234</v>
      </c>
      <c r="E637" s="47">
        <v>50111939</v>
      </c>
      <c r="F637" s="47" t="s">
        <v>39</v>
      </c>
      <c r="G637" s="46">
        <v>250000</v>
      </c>
      <c r="H637" s="47">
        <v>0.25</v>
      </c>
      <c r="I637" s="46">
        <f t="shared" si="86"/>
        <v>62500</v>
      </c>
      <c r="J637" s="47" t="s">
        <v>374</v>
      </c>
      <c r="K637" s="47"/>
      <c r="L637" s="47"/>
      <c r="M637" s="47">
        <v>25501708</v>
      </c>
      <c r="N637" s="47">
        <v>4100312969</v>
      </c>
      <c r="O637" s="47">
        <v>46008</v>
      </c>
      <c r="P637" s="47">
        <v>6</v>
      </c>
      <c r="Q637" s="49">
        <v>46023</v>
      </c>
      <c r="R637" s="47" t="s">
        <v>462</v>
      </c>
      <c r="S637" s="52">
        <v>46047</v>
      </c>
      <c r="T637" s="47">
        <v>1</v>
      </c>
      <c r="U637" s="47">
        <v>1</v>
      </c>
      <c r="V637" s="47">
        <v>3</v>
      </c>
      <c r="W637" s="51">
        <f t="shared" si="88"/>
        <v>46052</v>
      </c>
      <c r="X637" s="60"/>
    </row>
    <row r="638" spans="1:24" hidden="1">
      <c r="A638" s="47" t="s">
        <v>349</v>
      </c>
      <c r="B638" s="46" t="s">
        <v>460</v>
      </c>
      <c r="C638" s="47" t="s">
        <v>14</v>
      </c>
      <c r="D638" s="47" t="s">
        <v>14</v>
      </c>
      <c r="E638" s="47">
        <v>50081674</v>
      </c>
      <c r="F638" s="47" t="s">
        <v>481</v>
      </c>
      <c r="G638" s="46">
        <v>100000</v>
      </c>
      <c r="H638" s="47">
        <v>1.19</v>
      </c>
      <c r="I638" s="46">
        <f t="shared" si="86"/>
        <v>119000</v>
      </c>
      <c r="J638" s="47" t="s">
        <v>374</v>
      </c>
      <c r="K638" s="47"/>
      <c r="L638" s="47"/>
      <c r="M638" s="47"/>
      <c r="N638" s="47"/>
      <c r="O638" s="47"/>
      <c r="P638" s="47"/>
      <c r="Q638" s="49"/>
      <c r="R638" s="47"/>
      <c r="S638" s="52">
        <v>46040</v>
      </c>
      <c r="T638" s="47"/>
      <c r="U638" s="47"/>
      <c r="V638" s="47"/>
      <c r="W638" s="51"/>
      <c r="X638" s="60"/>
    </row>
    <row r="639" spans="1:24" hidden="1">
      <c r="A639" s="47" t="s">
        <v>349</v>
      </c>
      <c r="B639" s="46" t="s">
        <v>460</v>
      </c>
      <c r="C639" s="47" t="s">
        <v>14</v>
      </c>
      <c r="D639" s="47" t="s">
        <v>14</v>
      </c>
      <c r="E639" s="47">
        <v>50111595</v>
      </c>
      <c r="F639" s="47" t="s">
        <v>479</v>
      </c>
      <c r="G639" s="46">
        <v>400000</v>
      </c>
      <c r="H639" s="47">
        <v>1.42</v>
      </c>
      <c r="I639" s="46">
        <f t="shared" si="86"/>
        <v>568000</v>
      </c>
      <c r="J639" s="47" t="s">
        <v>374</v>
      </c>
      <c r="K639" s="47"/>
      <c r="L639" s="47"/>
      <c r="M639" s="47"/>
      <c r="N639" s="47"/>
      <c r="O639" s="47"/>
      <c r="P639" s="47"/>
      <c r="Q639" s="49"/>
      <c r="R639" s="47"/>
      <c r="S639" s="52">
        <v>46040</v>
      </c>
      <c r="T639" s="47"/>
      <c r="U639" s="47"/>
      <c r="V639" s="47"/>
      <c r="W639" s="51"/>
      <c r="X639" s="60"/>
    </row>
    <row r="640" spans="1:24" hidden="1">
      <c r="A640" s="47" t="s">
        <v>349</v>
      </c>
      <c r="B640" s="46" t="s">
        <v>460</v>
      </c>
      <c r="C640" s="47" t="s">
        <v>14</v>
      </c>
      <c r="D640" s="47" t="s">
        <v>14</v>
      </c>
      <c r="E640" s="47">
        <v>50114365</v>
      </c>
      <c r="F640" s="47" t="s">
        <v>480</v>
      </c>
      <c r="G640" s="46">
        <v>163050</v>
      </c>
      <c r="H640" s="47">
        <v>2.62</v>
      </c>
      <c r="I640" s="46">
        <f t="shared" si="86"/>
        <v>427191</v>
      </c>
      <c r="J640" s="47" t="s">
        <v>374</v>
      </c>
      <c r="K640" s="47"/>
      <c r="L640" s="47" t="s">
        <v>482</v>
      </c>
      <c r="M640" s="47"/>
      <c r="N640" s="47"/>
      <c r="O640" s="47"/>
      <c r="P640" s="47"/>
      <c r="Q640" s="49"/>
      <c r="R640" s="47"/>
      <c r="S640" s="52">
        <v>46040</v>
      </c>
      <c r="T640" s="47"/>
      <c r="U640" s="47"/>
      <c r="V640" s="47"/>
      <c r="W640" s="51"/>
      <c r="X640" s="60"/>
    </row>
    <row r="641" spans="1:24" hidden="1">
      <c r="A641" s="47" t="s">
        <v>349</v>
      </c>
      <c r="B641" s="46" t="s">
        <v>460</v>
      </c>
      <c r="C641" s="47" t="s">
        <v>14</v>
      </c>
      <c r="D641" s="47" t="s">
        <v>14</v>
      </c>
      <c r="E641" s="47">
        <v>50081679</v>
      </c>
      <c r="F641" s="47" t="s">
        <v>249</v>
      </c>
      <c r="G641" s="46">
        <v>360000</v>
      </c>
      <c r="H641" s="47">
        <v>1.19</v>
      </c>
      <c r="I641" s="46">
        <f t="shared" si="86"/>
        <v>428400</v>
      </c>
      <c r="J641" s="47" t="s">
        <v>374</v>
      </c>
      <c r="K641" s="47"/>
      <c r="L641" s="47" t="s">
        <v>482</v>
      </c>
      <c r="M641" s="47"/>
      <c r="N641" s="47"/>
      <c r="O641" s="47"/>
      <c r="P641" s="47"/>
      <c r="Q641" s="49"/>
      <c r="R641" s="47"/>
      <c r="S641" s="52">
        <v>46040</v>
      </c>
      <c r="T641" s="47"/>
      <c r="U641" s="47"/>
      <c r="V641" s="47"/>
      <c r="W641" s="51"/>
      <c r="X641" s="60"/>
    </row>
    <row r="642" spans="1:24" hidden="1">
      <c r="A642" s="46" t="s">
        <v>347</v>
      </c>
      <c r="B642" s="46" t="s">
        <v>457</v>
      </c>
      <c r="C642" s="47" t="s">
        <v>243</v>
      </c>
      <c r="D642" s="47" t="s">
        <v>243</v>
      </c>
      <c r="E642" s="47">
        <v>50110015</v>
      </c>
      <c r="F642" s="47" t="s">
        <v>244</v>
      </c>
      <c r="G642" s="46">
        <v>22000</v>
      </c>
      <c r="H642" s="47">
        <v>2.2000000000000002</v>
      </c>
      <c r="I642" s="46">
        <f t="shared" si="86"/>
        <v>48400.000000000007</v>
      </c>
      <c r="J642" s="46" t="s">
        <v>374</v>
      </c>
      <c r="K642" s="46"/>
      <c r="L642" s="46"/>
      <c r="M642" s="47">
        <v>25501596</v>
      </c>
      <c r="N642" s="48">
        <v>4100014737</v>
      </c>
      <c r="O642" s="49">
        <v>46009</v>
      </c>
      <c r="P642" s="50">
        <v>4</v>
      </c>
      <c r="Q642" s="49">
        <v>46037</v>
      </c>
      <c r="R642" s="47"/>
      <c r="S642" s="52">
        <v>46040</v>
      </c>
      <c r="T642" s="47">
        <v>1</v>
      </c>
      <c r="U642" s="47">
        <v>1</v>
      </c>
      <c r="V642" s="47"/>
      <c r="W642" s="52">
        <f t="shared" ref="W642:W643" si="89">S642+T642+U642</f>
        <v>46042</v>
      </c>
      <c r="X642" s="59"/>
    </row>
    <row r="643" spans="1:24" hidden="1">
      <c r="A643" s="46" t="s">
        <v>347</v>
      </c>
      <c r="B643" s="46" t="s">
        <v>457</v>
      </c>
      <c r="C643" s="47" t="s">
        <v>242</v>
      </c>
      <c r="D643" s="47" t="s">
        <v>242</v>
      </c>
      <c r="E643" s="47">
        <v>50110013</v>
      </c>
      <c r="F643" s="47" t="s">
        <v>178</v>
      </c>
      <c r="G643" s="46">
        <v>600000</v>
      </c>
      <c r="H643" s="47">
        <v>2.2000000000000002</v>
      </c>
      <c r="I643" s="46">
        <f t="shared" si="86"/>
        <v>1320000</v>
      </c>
      <c r="J643" s="46" t="s">
        <v>374</v>
      </c>
      <c r="K643" s="46"/>
      <c r="L643" s="46" t="s">
        <v>482</v>
      </c>
      <c r="M643" s="47">
        <v>25501627</v>
      </c>
      <c r="N643" s="48">
        <v>4140000451</v>
      </c>
      <c r="O643" s="49">
        <v>46013</v>
      </c>
      <c r="P643" s="50">
        <v>1</v>
      </c>
      <c r="Q643" s="49">
        <v>46048</v>
      </c>
      <c r="R643" s="47"/>
      <c r="S643" s="47"/>
      <c r="T643" s="47">
        <v>1</v>
      </c>
      <c r="U643" s="47">
        <v>1</v>
      </c>
      <c r="V643" s="47"/>
      <c r="W643" s="52">
        <f t="shared" si="89"/>
        <v>2</v>
      </c>
      <c r="X643" s="59"/>
    </row>
    <row r="644" spans="1:24" hidden="1">
      <c r="A644" s="46" t="s">
        <v>350</v>
      </c>
      <c r="B644" s="46" t="s">
        <v>456</v>
      </c>
      <c r="C644" s="47" t="s">
        <v>483</v>
      </c>
      <c r="D644" s="47" t="str">
        <f>C644</f>
        <v xml:space="preserve">Healthgate </v>
      </c>
      <c r="E644" s="47">
        <v>50105834</v>
      </c>
      <c r="F644" s="47" t="s">
        <v>252</v>
      </c>
      <c r="G644" s="46">
        <v>10584</v>
      </c>
      <c r="H644" s="50">
        <v>50</v>
      </c>
      <c r="I644" s="46">
        <f t="shared" si="86"/>
        <v>529200</v>
      </c>
      <c r="J644" s="46" t="s">
        <v>374</v>
      </c>
      <c r="K644" s="46"/>
      <c r="L644" s="46"/>
      <c r="M644" s="47"/>
      <c r="N644" s="47"/>
      <c r="O644" s="47"/>
      <c r="P644" s="47"/>
      <c r="Q644" s="49"/>
      <c r="R644" s="47"/>
      <c r="S644" s="52">
        <v>46037</v>
      </c>
      <c r="T644" s="47"/>
      <c r="U644" s="47"/>
      <c r="V644" s="47"/>
      <c r="W644" s="47"/>
    </row>
    <row r="645" spans="1:24" hidden="1">
      <c r="A645" s="47" t="s">
        <v>347</v>
      </c>
      <c r="B645" s="46" t="s">
        <v>455</v>
      </c>
      <c r="C645" s="47" t="s">
        <v>391</v>
      </c>
      <c r="D645" s="47" t="str">
        <f>C645</f>
        <v>MYLAN LABORATORIES LTD - NASHIK</v>
      </c>
      <c r="E645" s="53">
        <v>50102168</v>
      </c>
      <c r="F645" s="47" t="s">
        <v>132</v>
      </c>
      <c r="G645" s="46">
        <v>400000</v>
      </c>
      <c r="H645" s="47">
        <v>2.98</v>
      </c>
      <c r="I645" s="46">
        <f t="shared" si="86"/>
        <v>1192000</v>
      </c>
      <c r="J645" s="46" t="s">
        <v>401</v>
      </c>
      <c r="K645" s="46">
        <v>700000</v>
      </c>
      <c r="L645" s="46"/>
      <c r="M645" s="47"/>
      <c r="N645" s="47"/>
      <c r="O645" s="47"/>
      <c r="P645" s="47"/>
      <c r="Q645" s="49"/>
      <c r="R645" s="47" t="s">
        <v>495</v>
      </c>
      <c r="S645" s="52">
        <v>46028</v>
      </c>
      <c r="T645" s="47">
        <v>1</v>
      </c>
      <c r="U645" s="47">
        <v>1</v>
      </c>
      <c r="V645" s="47"/>
      <c r="W645" s="52">
        <f t="shared" ref="W645:W647" si="90">S645+T645+U645</f>
        <v>46030</v>
      </c>
      <c r="X645" s="59"/>
    </row>
    <row r="646" spans="1:24" hidden="1">
      <c r="A646" s="46" t="s">
        <v>347</v>
      </c>
      <c r="B646" s="46" t="s">
        <v>457</v>
      </c>
      <c r="C646" s="47" t="s">
        <v>242</v>
      </c>
      <c r="D646" s="47" t="s">
        <v>242</v>
      </c>
      <c r="E646" s="47">
        <v>50110013</v>
      </c>
      <c r="F646" s="47" t="s">
        <v>178</v>
      </c>
      <c r="G646" s="46">
        <v>600000</v>
      </c>
      <c r="H646" s="47">
        <v>2.2000000000000002</v>
      </c>
      <c r="I646" s="46">
        <f t="shared" si="86"/>
        <v>1320000</v>
      </c>
      <c r="J646" s="46" t="s">
        <v>374</v>
      </c>
      <c r="K646" s="46"/>
      <c r="L646" s="46" t="s">
        <v>482</v>
      </c>
      <c r="M646" s="47">
        <v>25501627</v>
      </c>
      <c r="N646" s="48">
        <v>4140000451</v>
      </c>
      <c r="O646" s="49">
        <v>46013</v>
      </c>
      <c r="P646" s="50">
        <v>1</v>
      </c>
      <c r="Q646" s="49">
        <v>46048</v>
      </c>
      <c r="R646" s="47"/>
      <c r="S646" s="52">
        <v>46038</v>
      </c>
      <c r="T646" s="47">
        <v>1</v>
      </c>
      <c r="U646" s="47">
        <v>1</v>
      </c>
      <c r="V646" s="47"/>
      <c r="W646" s="52">
        <f t="shared" si="90"/>
        <v>46040</v>
      </c>
      <c r="X646" s="59"/>
    </row>
    <row r="647" spans="1:24" hidden="1">
      <c r="A647" s="46" t="s">
        <v>347</v>
      </c>
      <c r="B647" s="46" t="s">
        <v>457</v>
      </c>
      <c r="C647" s="47" t="s">
        <v>242</v>
      </c>
      <c r="D647" s="47" t="s">
        <v>242</v>
      </c>
      <c r="E647" s="47">
        <v>50110013</v>
      </c>
      <c r="F647" s="47" t="s">
        <v>178</v>
      </c>
      <c r="G647" s="46">
        <v>600000</v>
      </c>
      <c r="H647" s="47">
        <v>2.2000000000000002</v>
      </c>
      <c r="I647" s="46">
        <f t="shared" si="86"/>
        <v>1320000</v>
      </c>
      <c r="J647" s="46" t="s">
        <v>374</v>
      </c>
      <c r="K647" s="46">
        <v>600000</v>
      </c>
      <c r="L647" s="46"/>
      <c r="M647" s="47">
        <v>25501627</v>
      </c>
      <c r="N647" s="48">
        <v>4140000451</v>
      </c>
      <c r="O647" s="49">
        <v>46013</v>
      </c>
      <c r="P647" s="50">
        <v>1</v>
      </c>
      <c r="Q647" s="49">
        <v>46048</v>
      </c>
      <c r="R647" s="47"/>
      <c r="S647" s="52">
        <v>46038</v>
      </c>
      <c r="T647" s="47">
        <v>1</v>
      </c>
      <c r="U647" s="47">
        <v>1</v>
      </c>
      <c r="V647" s="47"/>
      <c r="W647" s="52">
        <f t="shared" si="90"/>
        <v>46040</v>
      </c>
      <c r="X647" s="59"/>
    </row>
    <row r="648" spans="1:24" hidden="1">
      <c r="A648" s="46" t="s">
        <v>349</v>
      </c>
      <c r="B648" s="46" t="s">
        <v>459</v>
      </c>
      <c r="C648" s="47" t="s">
        <v>28</v>
      </c>
      <c r="D648" s="47" t="s">
        <v>28</v>
      </c>
      <c r="E648" s="47">
        <v>50114671</v>
      </c>
      <c r="F648" s="47" t="s">
        <v>466</v>
      </c>
      <c r="G648" s="46">
        <v>576000</v>
      </c>
      <c r="H648" s="47">
        <v>2.6145</v>
      </c>
      <c r="I648" s="46">
        <f t="shared" ref="I648:I664" si="91">G648*H648</f>
        <v>1505952</v>
      </c>
      <c r="J648" s="46" t="s">
        <v>449</v>
      </c>
      <c r="K648" s="46"/>
      <c r="L648" s="46"/>
      <c r="M648" s="47">
        <v>24880091</v>
      </c>
      <c r="N648" s="48">
        <v>5425000000129</v>
      </c>
      <c r="O648" s="49">
        <v>45712</v>
      </c>
      <c r="P648" s="50">
        <v>1.2</v>
      </c>
      <c r="Q648" s="49">
        <v>46022</v>
      </c>
      <c r="R648" s="47"/>
      <c r="S648" s="51">
        <v>46045</v>
      </c>
      <c r="T648" s="47">
        <v>1</v>
      </c>
      <c r="U648" s="47">
        <v>1</v>
      </c>
      <c r="V648" s="47">
        <v>3</v>
      </c>
      <c r="W648" s="51">
        <f>S648+T648+U648+V648</f>
        <v>46050</v>
      </c>
      <c r="X648" s="60"/>
    </row>
    <row r="649" spans="1:24" hidden="1">
      <c r="A649" s="46" t="s">
        <v>349</v>
      </c>
      <c r="B649" s="46" t="s">
        <v>459</v>
      </c>
      <c r="C649" s="47" t="s">
        <v>28</v>
      </c>
      <c r="D649" s="47" t="s">
        <v>28</v>
      </c>
      <c r="E649" s="47">
        <v>50081670</v>
      </c>
      <c r="F649" s="47" t="s">
        <v>30</v>
      </c>
      <c r="G649" s="46">
        <v>576000</v>
      </c>
      <c r="H649" s="47">
        <v>1.5583</v>
      </c>
      <c r="I649" s="46">
        <f t="shared" si="91"/>
        <v>897580.8</v>
      </c>
      <c r="J649" s="46" t="s">
        <v>449</v>
      </c>
      <c r="K649" s="46"/>
      <c r="L649" s="46"/>
      <c r="M649" s="47">
        <v>24880091</v>
      </c>
      <c r="N649" s="48">
        <v>5425000000129</v>
      </c>
      <c r="O649" s="49">
        <v>45712</v>
      </c>
      <c r="P649" s="50">
        <v>2.2000000000000002</v>
      </c>
      <c r="Q649" s="49">
        <v>46022</v>
      </c>
      <c r="R649" s="47"/>
      <c r="S649" s="51">
        <v>46045</v>
      </c>
      <c r="T649" s="47">
        <v>1</v>
      </c>
      <c r="U649" s="47">
        <v>1</v>
      </c>
      <c r="V649" s="47">
        <v>3</v>
      </c>
      <c r="W649" s="51">
        <f>S649+T649+U649+V649</f>
        <v>46050</v>
      </c>
      <c r="X649" s="60"/>
    </row>
    <row r="650" spans="1:24" hidden="1">
      <c r="A650" s="46" t="s">
        <v>349</v>
      </c>
      <c r="B650" s="46" t="s">
        <v>459</v>
      </c>
      <c r="C650" s="47" t="s">
        <v>28</v>
      </c>
      <c r="D650" s="47" t="s">
        <v>28</v>
      </c>
      <c r="E650" s="47">
        <v>50081938</v>
      </c>
      <c r="F650" s="47" t="s">
        <v>31</v>
      </c>
      <c r="G650" s="46">
        <v>576000</v>
      </c>
      <c r="H650" s="47">
        <v>0.75319999999999998</v>
      </c>
      <c r="I650" s="46">
        <f t="shared" si="91"/>
        <v>433843.20000000001</v>
      </c>
      <c r="J650" s="46" t="s">
        <v>449</v>
      </c>
      <c r="K650" s="46"/>
      <c r="L650" s="46"/>
      <c r="M650" s="47">
        <v>24880091</v>
      </c>
      <c r="N650" s="48">
        <v>5425000000129</v>
      </c>
      <c r="O650" s="49">
        <v>45712</v>
      </c>
      <c r="P650" s="50">
        <v>3.2</v>
      </c>
      <c r="Q650" s="49">
        <v>46022</v>
      </c>
      <c r="R650" s="47"/>
      <c r="S650" s="51">
        <v>46045</v>
      </c>
      <c r="T650" s="47">
        <v>1</v>
      </c>
      <c r="U650" s="47">
        <v>1</v>
      </c>
      <c r="V650" s="47">
        <v>3</v>
      </c>
      <c r="W650" s="51">
        <f>S650+T650+U650+V650</f>
        <v>46050</v>
      </c>
      <c r="X650" s="60"/>
    </row>
    <row r="651" spans="1:24" hidden="1">
      <c r="A651" s="47" t="s">
        <v>351</v>
      </c>
      <c r="B651" s="46" t="s">
        <v>457</v>
      </c>
      <c r="C651" s="47" t="s">
        <v>135</v>
      </c>
      <c r="D651" s="47" t="s">
        <v>136</v>
      </c>
      <c r="E651" s="53">
        <v>50081840</v>
      </c>
      <c r="F651" s="47" t="s">
        <v>137</v>
      </c>
      <c r="G651" s="46">
        <v>100000</v>
      </c>
      <c r="H651" s="47">
        <v>0.9</v>
      </c>
      <c r="I651" s="46">
        <f t="shared" si="91"/>
        <v>90000</v>
      </c>
      <c r="J651" s="46" t="s">
        <v>374</v>
      </c>
      <c r="K651" s="46"/>
      <c r="L651" s="46" t="s">
        <v>482</v>
      </c>
      <c r="M651" s="47"/>
      <c r="N651" s="53"/>
      <c r="O651" s="49"/>
      <c r="P651" s="47"/>
      <c r="Q651" s="49"/>
      <c r="R651" s="47"/>
      <c r="S651" s="51"/>
      <c r="T651" s="47"/>
      <c r="U651" s="47"/>
      <c r="V651" s="47"/>
      <c r="W651" s="51"/>
      <c r="X651" s="60"/>
    </row>
    <row r="652" spans="1:24" hidden="1">
      <c r="A652" s="47" t="s">
        <v>351</v>
      </c>
      <c r="B652" s="46" t="s">
        <v>457</v>
      </c>
      <c r="C652" s="47" t="s">
        <v>135</v>
      </c>
      <c r="D652" s="47" t="s">
        <v>136</v>
      </c>
      <c r="E652" s="53">
        <v>50081840</v>
      </c>
      <c r="F652" s="47" t="s">
        <v>137</v>
      </c>
      <c r="G652" s="46">
        <v>200</v>
      </c>
      <c r="H652" s="47">
        <v>0.9</v>
      </c>
      <c r="I652" s="46">
        <f t="shared" si="91"/>
        <v>180</v>
      </c>
      <c r="J652" s="46" t="s">
        <v>374</v>
      </c>
      <c r="K652" s="46"/>
      <c r="L652" s="46" t="s">
        <v>482</v>
      </c>
      <c r="M652" s="47"/>
      <c r="N652" s="53"/>
      <c r="O652" s="49"/>
      <c r="P652" s="47"/>
      <c r="Q652" s="49"/>
      <c r="R652" s="47"/>
      <c r="S652" s="51"/>
      <c r="T652" s="47"/>
      <c r="U652" s="47"/>
      <c r="V652" s="47"/>
      <c r="W652" s="51"/>
      <c r="X652" s="60"/>
    </row>
    <row r="653" spans="1:24" hidden="1">
      <c r="A653" s="47" t="s">
        <v>351</v>
      </c>
      <c r="B653" s="46" t="s">
        <v>457</v>
      </c>
      <c r="C653" s="47" t="s">
        <v>135</v>
      </c>
      <c r="D653" s="47" t="s">
        <v>136</v>
      </c>
      <c r="E653" s="53">
        <v>50114364</v>
      </c>
      <c r="F653" s="47" t="s">
        <v>143</v>
      </c>
      <c r="G653" s="46">
        <v>59800</v>
      </c>
      <c r="H653" s="47">
        <v>3</v>
      </c>
      <c r="I653" s="46">
        <f t="shared" si="91"/>
        <v>179400</v>
      </c>
      <c r="J653" s="46" t="s">
        <v>374</v>
      </c>
      <c r="K653" s="46"/>
      <c r="L653" s="46" t="s">
        <v>482</v>
      </c>
      <c r="M653" s="47"/>
      <c r="N653" s="53"/>
      <c r="O653" s="49"/>
      <c r="P653" s="47"/>
      <c r="Q653" s="49"/>
      <c r="R653" s="47"/>
      <c r="S653" s="51"/>
      <c r="T653" s="47"/>
      <c r="U653" s="47"/>
      <c r="V653" s="47"/>
      <c r="W653" s="51"/>
      <c r="X653" s="60"/>
    </row>
    <row r="654" spans="1:24" hidden="1">
      <c r="A654" s="47" t="s">
        <v>351</v>
      </c>
      <c r="B654" s="46" t="s">
        <v>457</v>
      </c>
      <c r="C654" s="47" t="s">
        <v>135</v>
      </c>
      <c r="D654" s="47" t="s">
        <v>136</v>
      </c>
      <c r="E654" s="53">
        <v>50114364</v>
      </c>
      <c r="F654" s="47" t="s">
        <v>143</v>
      </c>
      <c r="G654" s="46">
        <v>200</v>
      </c>
      <c r="H654" s="47">
        <v>3</v>
      </c>
      <c r="I654" s="46">
        <f t="shared" si="91"/>
        <v>600</v>
      </c>
      <c r="J654" s="46" t="s">
        <v>374</v>
      </c>
      <c r="K654" s="46"/>
      <c r="L654" s="46" t="s">
        <v>482</v>
      </c>
      <c r="M654" s="47"/>
      <c r="N654" s="53"/>
      <c r="O654" s="49"/>
      <c r="P654" s="47"/>
      <c r="Q654" s="49"/>
      <c r="R654" s="47"/>
      <c r="S654" s="51"/>
      <c r="T654" s="47"/>
      <c r="U654" s="47"/>
      <c r="V654" s="47"/>
      <c r="W654" s="51"/>
      <c r="X654" s="60"/>
    </row>
    <row r="655" spans="1:24" hidden="1">
      <c r="A655" s="47" t="s">
        <v>351</v>
      </c>
      <c r="B655" s="46" t="s">
        <v>457</v>
      </c>
      <c r="C655" s="47" t="s">
        <v>135</v>
      </c>
      <c r="D655" s="47" t="s">
        <v>136</v>
      </c>
      <c r="E655" s="53">
        <v>50114367</v>
      </c>
      <c r="F655" s="47" t="s">
        <v>82</v>
      </c>
      <c r="G655" s="46">
        <v>59800</v>
      </c>
      <c r="H655" s="47">
        <v>3.1</v>
      </c>
      <c r="I655" s="46">
        <f t="shared" si="91"/>
        <v>185380</v>
      </c>
      <c r="J655" s="46" t="s">
        <v>374</v>
      </c>
      <c r="K655" s="46"/>
      <c r="L655" s="46" t="s">
        <v>482</v>
      </c>
      <c r="M655" s="47"/>
      <c r="N655" s="53"/>
      <c r="O655" s="49"/>
      <c r="P655" s="47"/>
      <c r="Q655" s="49"/>
      <c r="R655" s="47"/>
      <c r="S655" s="51"/>
      <c r="T655" s="47"/>
      <c r="U655" s="47"/>
      <c r="V655" s="47"/>
      <c r="W655" s="51"/>
      <c r="X655" s="60"/>
    </row>
    <row r="656" spans="1:24" hidden="1">
      <c r="A656" s="47" t="s">
        <v>351</v>
      </c>
      <c r="B656" s="46" t="s">
        <v>457</v>
      </c>
      <c r="C656" s="47" t="s">
        <v>135</v>
      </c>
      <c r="D656" s="47" t="s">
        <v>136</v>
      </c>
      <c r="E656" s="53">
        <v>50114367</v>
      </c>
      <c r="F656" s="47" t="s">
        <v>82</v>
      </c>
      <c r="G656" s="46">
        <v>200</v>
      </c>
      <c r="H656" s="47">
        <v>3.1</v>
      </c>
      <c r="I656" s="46">
        <f t="shared" si="91"/>
        <v>620</v>
      </c>
      <c r="J656" s="46" t="s">
        <v>374</v>
      </c>
      <c r="K656" s="46"/>
      <c r="L656" s="46" t="s">
        <v>482</v>
      </c>
      <c r="M656" s="47"/>
      <c r="N656" s="53"/>
      <c r="O656" s="49"/>
      <c r="P656" s="47"/>
      <c r="Q656" s="49"/>
      <c r="R656" s="47"/>
      <c r="S656" s="51"/>
      <c r="T656" s="47"/>
      <c r="U656" s="47"/>
      <c r="V656" s="47"/>
      <c r="W656" s="51"/>
      <c r="X656" s="60"/>
    </row>
    <row r="657" spans="1:24" hidden="1">
      <c r="A657" s="47" t="s">
        <v>351</v>
      </c>
      <c r="B657" s="46" t="s">
        <v>457</v>
      </c>
      <c r="C657" s="47" t="s">
        <v>135</v>
      </c>
      <c r="D657" s="47" t="s">
        <v>136</v>
      </c>
      <c r="E657" s="53">
        <v>50081723</v>
      </c>
      <c r="F657" s="47" t="s">
        <v>55</v>
      </c>
      <c r="G657" s="46">
        <v>100000</v>
      </c>
      <c r="H657" s="47">
        <v>0.96</v>
      </c>
      <c r="I657" s="46">
        <f t="shared" si="91"/>
        <v>96000</v>
      </c>
      <c r="J657" s="46" t="s">
        <v>374</v>
      </c>
      <c r="K657" s="46"/>
      <c r="L657" s="46" t="s">
        <v>482</v>
      </c>
      <c r="M657" s="47"/>
      <c r="N657" s="53"/>
      <c r="O657" s="49"/>
      <c r="P657" s="47"/>
      <c r="Q657" s="49"/>
      <c r="R657" s="47"/>
      <c r="S657" s="51"/>
      <c r="T657" s="47"/>
      <c r="U657" s="47"/>
      <c r="V657" s="47"/>
      <c r="W657" s="51"/>
      <c r="X657" s="60"/>
    </row>
    <row r="658" spans="1:24" hidden="1">
      <c r="A658" s="47" t="s">
        <v>351</v>
      </c>
      <c r="B658" s="46" t="s">
        <v>457</v>
      </c>
      <c r="C658" s="47" t="s">
        <v>135</v>
      </c>
      <c r="D658" s="47" t="s">
        <v>136</v>
      </c>
      <c r="E658" s="53">
        <v>50081723</v>
      </c>
      <c r="F658" s="47" t="s">
        <v>55</v>
      </c>
      <c r="G658" s="46">
        <v>200</v>
      </c>
      <c r="H658" s="47">
        <v>0.96</v>
      </c>
      <c r="I658" s="46">
        <f t="shared" si="91"/>
        <v>192</v>
      </c>
      <c r="J658" s="46" t="s">
        <v>374</v>
      </c>
      <c r="K658" s="46"/>
      <c r="L658" s="46" t="s">
        <v>482</v>
      </c>
      <c r="M658" s="47"/>
      <c r="N658" s="53"/>
      <c r="O658" s="49"/>
      <c r="P658" s="47"/>
      <c r="Q658" s="49"/>
      <c r="R658" s="47"/>
      <c r="S658" s="51"/>
      <c r="T658" s="47"/>
      <c r="U658" s="47"/>
      <c r="V658" s="47"/>
      <c r="W658" s="51"/>
      <c r="X658" s="60"/>
    </row>
    <row r="659" spans="1:24" hidden="1">
      <c r="A659" s="47" t="s">
        <v>351</v>
      </c>
      <c r="B659" s="46" t="s">
        <v>457</v>
      </c>
      <c r="C659" s="47" t="s">
        <v>378</v>
      </c>
      <c r="D659" s="47" t="s">
        <v>486</v>
      </c>
      <c r="E659" s="47">
        <v>50099312</v>
      </c>
      <c r="F659" s="47" t="s">
        <v>487</v>
      </c>
      <c r="G659" s="46">
        <v>60000</v>
      </c>
      <c r="H659" s="47">
        <v>1.99</v>
      </c>
      <c r="I659" s="46">
        <f t="shared" si="91"/>
        <v>119400</v>
      </c>
      <c r="J659" s="47" t="s">
        <v>374</v>
      </c>
      <c r="K659" s="47"/>
      <c r="L659" s="47"/>
      <c r="M659" s="47"/>
      <c r="N659" s="47"/>
      <c r="O659" s="47"/>
      <c r="P659" s="47"/>
      <c r="Q659" s="49"/>
      <c r="R659" s="47"/>
      <c r="S659" s="51">
        <v>46046</v>
      </c>
      <c r="T659" s="47">
        <v>1</v>
      </c>
      <c r="U659" s="47">
        <v>1</v>
      </c>
      <c r="V659" s="47">
        <v>3</v>
      </c>
      <c r="W659" s="51">
        <f t="shared" ref="W659:W661" si="92">S659+V659+U659+T659</f>
        <v>46051</v>
      </c>
      <c r="X659" s="60"/>
    </row>
    <row r="660" spans="1:24" hidden="1">
      <c r="A660" s="47" t="s">
        <v>351</v>
      </c>
      <c r="B660" s="46" t="s">
        <v>457</v>
      </c>
      <c r="C660" s="47" t="s">
        <v>378</v>
      </c>
      <c r="D660" s="47" t="s">
        <v>486</v>
      </c>
      <c r="E660" s="47">
        <v>50081930</v>
      </c>
      <c r="F660" s="47" t="s">
        <v>253</v>
      </c>
      <c r="G660" s="46">
        <v>110000</v>
      </c>
      <c r="H660" s="47">
        <v>0.79</v>
      </c>
      <c r="I660" s="46">
        <f t="shared" si="91"/>
        <v>86900</v>
      </c>
      <c r="J660" s="47" t="s">
        <v>374</v>
      </c>
      <c r="K660" s="47"/>
      <c r="L660" s="47"/>
      <c r="M660" s="47"/>
      <c r="N660" s="47"/>
      <c r="O660" s="47"/>
      <c r="P660" s="47"/>
      <c r="Q660" s="49"/>
      <c r="R660" s="47"/>
      <c r="S660" s="51">
        <v>46046</v>
      </c>
      <c r="T660" s="47">
        <v>1</v>
      </c>
      <c r="U660" s="47">
        <v>1</v>
      </c>
      <c r="V660" s="47">
        <v>3</v>
      </c>
      <c r="W660" s="51">
        <f t="shared" si="92"/>
        <v>46051</v>
      </c>
      <c r="X660" s="60"/>
    </row>
    <row r="661" spans="1:24" hidden="1">
      <c r="A661" s="47" t="s">
        <v>351</v>
      </c>
      <c r="B661" s="46" t="s">
        <v>457</v>
      </c>
      <c r="C661" s="47" t="s">
        <v>378</v>
      </c>
      <c r="D661" s="47" t="s">
        <v>486</v>
      </c>
      <c r="E661" s="47">
        <v>50115921</v>
      </c>
      <c r="F661" s="47" t="s">
        <v>389</v>
      </c>
      <c r="G661" s="46">
        <v>110000</v>
      </c>
      <c r="H661" s="47">
        <v>0.39</v>
      </c>
      <c r="I661" s="46">
        <f t="shared" si="91"/>
        <v>42900</v>
      </c>
      <c r="J661" s="47" t="s">
        <v>374</v>
      </c>
      <c r="K661" s="47"/>
      <c r="L661" s="47"/>
      <c r="M661" s="47"/>
      <c r="N661" s="47"/>
      <c r="O661" s="47"/>
      <c r="P661" s="47"/>
      <c r="Q661" s="49"/>
      <c r="R661" s="47"/>
      <c r="S661" s="51">
        <v>46046</v>
      </c>
      <c r="T661" s="47">
        <v>1</v>
      </c>
      <c r="U661" s="47">
        <v>1</v>
      </c>
      <c r="V661" s="47">
        <v>3</v>
      </c>
      <c r="W661" s="51">
        <f t="shared" si="92"/>
        <v>46051</v>
      </c>
      <c r="X661" s="60"/>
    </row>
    <row r="662" spans="1:24" hidden="1">
      <c r="A662" s="47" t="s">
        <v>351</v>
      </c>
      <c r="B662" s="46" t="s">
        <v>457</v>
      </c>
      <c r="C662" s="47" t="s">
        <v>124</v>
      </c>
      <c r="D662" s="47" t="s">
        <v>124</v>
      </c>
      <c r="E662" s="47">
        <v>50099312</v>
      </c>
      <c r="F662" s="47" t="s">
        <v>487</v>
      </c>
      <c r="G662" s="46">
        <v>200000</v>
      </c>
      <c r="H662" s="47">
        <v>1.8</v>
      </c>
      <c r="I662" s="46">
        <f t="shared" si="91"/>
        <v>360000</v>
      </c>
      <c r="J662" s="47" t="s">
        <v>374</v>
      </c>
      <c r="K662" s="47"/>
      <c r="L662" s="47"/>
      <c r="M662" s="47"/>
      <c r="N662" s="47"/>
      <c r="O662" s="47"/>
      <c r="P662" s="47"/>
      <c r="Q662" s="49"/>
      <c r="R662" s="47"/>
      <c r="S662" s="51">
        <v>46034</v>
      </c>
      <c r="T662" s="47">
        <v>1</v>
      </c>
      <c r="U662" s="47">
        <v>1</v>
      </c>
      <c r="V662" s="47">
        <v>3</v>
      </c>
      <c r="W662" s="51">
        <f t="shared" ref="W662" si="93">S662+T662+U662+V662</f>
        <v>46039</v>
      </c>
      <c r="X662" s="60"/>
    </row>
    <row r="663" spans="1:24" hidden="1">
      <c r="A663" s="47" t="s">
        <v>351</v>
      </c>
      <c r="B663" s="46" t="s">
        <v>457</v>
      </c>
      <c r="C663" s="47" t="s">
        <v>124</v>
      </c>
      <c r="D663" s="47" t="s">
        <v>124</v>
      </c>
      <c r="E663" s="47">
        <v>50081930</v>
      </c>
      <c r="F663" s="47" t="s">
        <v>253</v>
      </c>
      <c r="G663" s="46">
        <v>200000</v>
      </c>
      <c r="H663" s="47">
        <v>0.6</v>
      </c>
      <c r="I663" s="46">
        <f t="shared" si="91"/>
        <v>120000</v>
      </c>
      <c r="J663" s="47" t="s">
        <v>374</v>
      </c>
      <c r="K663" s="47"/>
      <c r="L663" s="47"/>
      <c r="M663" s="47"/>
      <c r="N663" s="47"/>
      <c r="O663" s="47"/>
      <c r="P663" s="47"/>
      <c r="Q663" s="49"/>
      <c r="R663" s="47"/>
      <c r="S663" s="51">
        <v>46034</v>
      </c>
      <c r="T663" s="47">
        <v>1</v>
      </c>
      <c r="U663" s="47">
        <v>1</v>
      </c>
      <c r="V663" s="47">
        <v>3</v>
      </c>
      <c r="W663" s="51">
        <f t="shared" ref="W663:W664" si="94">S663+T663+U663+V663</f>
        <v>46039</v>
      </c>
      <c r="X663" s="60"/>
    </row>
    <row r="664" spans="1:24" hidden="1">
      <c r="A664" s="47" t="s">
        <v>351</v>
      </c>
      <c r="B664" s="46" t="s">
        <v>457</v>
      </c>
      <c r="C664" s="47" t="s">
        <v>124</v>
      </c>
      <c r="D664" s="47" t="s">
        <v>124</v>
      </c>
      <c r="E664" s="47">
        <v>50082004</v>
      </c>
      <c r="F664" s="47" t="s">
        <v>488</v>
      </c>
      <c r="G664" s="46">
        <v>200000</v>
      </c>
      <c r="H664" s="47">
        <v>0.34</v>
      </c>
      <c r="I664" s="46">
        <f t="shared" si="91"/>
        <v>68000</v>
      </c>
      <c r="J664" s="47" t="s">
        <v>374</v>
      </c>
      <c r="K664" s="47"/>
      <c r="L664" s="47"/>
      <c r="M664" s="47"/>
      <c r="N664" s="47"/>
      <c r="O664" s="47"/>
      <c r="P664" s="47"/>
      <c r="Q664" s="49"/>
      <c r="R664" s="47"/>
      <c r="S664" s="51">
        <v>46034</v>
      </c>
      <c r="T664" s="47">
        <v>1</v>
      </c>
      <c r="U664" s="47">
        <v>1</v>
      </c>
      <c r="V664" s="47">
        <v>3</v>
      </c>
      <c r="W664" s="51">
        <f t="shared" si="94"/>
        <v>46039</v>
      </c>
      <c r="X664" s="60"/>
    </row>
    <row r="665" spans="1:24" hidden="1">
      <c r="A665" s="47" t="s">
        <v>351</v>
      </c>
      <c r="B665" s="46" t="s">
        <v>456</v>
      </c>
      <c r="C665" s="47" t="s">
        <v>489</v>
      </c>
      <c r="D665" s="47" t="s">
        <v>489</v>
      </c>
      <c r="E665" s="47">
        <v>50110676</v>
      </c>
      <c r="F665" s="47" t="s">
        <v>129</v>
      </c>
      <c r="G665" s="46">
        <v>350000</v>
      </c>
      <c r="H665" s="47">
        <v>1.663</v>
      </c>
      <c r="I665" s="46">
        <f t="shared" ref="I665:I689" si="95">G665*H665</f>
        <v>582050</v>
      </c>
      <c r="J665" s="47" t="s">
        <v>449</v>
      </c>
      <c r="K665" s="47"/>
      <c r="L665" s="47"/>
      <c r="M665" s="47"/>
      <c r="N665" s="47"/>
      <c r="O665" s="47"/>
      <c r="P665" s="47"/>
      <c r="Q665" s="49"/>
      <c r="R665" s="47"/>
      <c r="S665" s="51">
        <v>46051</v>
      </c>
      <c r="T665" s="47">
        <v>1</v>
      </c>
      <c r="U665" s="47">
        <v>1</v>
      </c>
      <c r="V665" s="47">
        <v>3</v>
      </c>
      <c r="W665" s="51">
        <f t="shared" ref="W665:W678" si="96">S665+T665+U665+V665</f>
        <v>46056</v>
      </c>
      <c r="X665" s="60"/>
    </row>
    <row r="666" spans="1:24" hidden="1">
      <c r="A666" s="47" t="s">
        <v>351</v>
      </c>
      <c r="B666" s="46" t="s">
        <v>456</v>
      </c>
      <c r="C666" s="47" t="s">
        <v>489</v>
      </c>
      <c r="D666" s="47" t="s">
        <v>489</v>
      </c>
      <c r="E666" s="47">
        <v>50083266</v>
      </c>
      <c r="F666" s="47" t="s">
        <v>73</v>
      </c>
      <c r="G666" s="46">
        <v>200000</v>
      </c>
      <c r="H666" s="47">
        <v>1.6220000000000001</v>
      </c>
      <c r="I666" s="46">
        <f t="shared" si="95"/>
        <v>324400</v>
      </c>
      <c r="J666" s="47" t="s">
        <v>449</v>
      </c>
      <c r="K666" s="47"/>
      <c r="L666" s="47"/>
      <c r="M666" s="47"/>
      <c r="N666" s="47"/>
      <c r="O666" s="47"/>
      <c r="P666" s="47"/>
      <c r="Q666" s="49"/>
      <c r="R666" s="47"/>
      <c r="S666" s="51">
        <v>46046</v>
      </c>
      <c r="T666" s="47">
        <v>1</v>
      </c>
      <c r="U666" s="47">
        <v>1</v>
      </c>
      <c r="V666" s="47">
        <v>3</v>
      </c>
      <c r="W666" s="51">
        <f t="shared" si="96"/>
        <v>46051</v>
      </c>
      <c r="X666" s="60"/>
    </row>
    <row r="667" spans="1:24" hidden="1">
      <c r="A667" s="47" t="s">
        <v>351</v>
      </c>
      <c r="B667" s="46" t="s">
        <v>456</v>
      </c>
      <c r="C667" s="47" t="s">
        <v>489</v>
      </c>
      <c r="D667" s="47" t="s">
        <v>489</v>
      </c>
      <c r="E667" s="47">
        <v>50083263</v>
      </c>
      <c r="F667" s="47" t="s">
        <v>490</v>
      </c>
      <c r="G667" s="46">
        <v>200000</v>
      </c>
      <c r="H667" s="47">
        <v>1.6220000000000001</v>
      </c>
      <c r="I667" s="46">
        <f t="shared" si="95"/>
        <v>324400</v>
      </c>
      <c r="J667" s="47" t="s">
        <v>449</v>
      </c>
      <c r="K667" s="47"/>
      <c r="L667" s="47"/>
      <c r="M667" s="47"/>
      <c r="N667" s="47"/>
      <c r="O667" s="47"/>
      <c r="P667" s="47"/>
      <c r="Q667" s="49"/>
      <c r="R667" s="47"/>
      <c r="S667" s="51">
        <v>46051</v>
      </c>
      <c r="T667" s="47">
        <v>1</v>
      </c>
      <c r="U667" s="47">
        <v>1</v>
      </c>
      <c r="V667" s="47">
        <v>3</v>
      </c>
      <c r="W667" s="51">
        <f t="shared" si="96"/>
        <v>46056</v>
      </c>
      <c r="X667" s="60"/>
    </row>
    <row r="668" spans="1:24" hidden="1">
      <c r="A668" s="47" t="s">
        <v>351</v>
      </c>
      <c r="B668" s="46" t="s">
        <v>456</v>
      </c>
      <c r="C668" s="47" t="s">
        <v>489</v>
      </c>
      <c r="D668" s="47" t="s">
        <v>489</v>
      </c>
      <c r="E668" s="47">
        <v>50099312</v>
      </c>
      <c r="F668" s="47" t="s">
        <v>487</v>
      </c>
      <c r="G668" s="46">
        <v>200000</v>
      </c>
      <c r="H668" s="47">
        <v>2.02</v>
      </c>
      <c r="I668" s="46">
        <f t="shared" si="95"/>
        <v>404000</v>
      </c>
      <c r="J668" s="47" t="s">
        <v>449</v>
      </c>
      <c r="K668" s="47"/>
      <c r="L668" s="47"/>
      <c r="M668" s="47"/>
      <c r="N668" s="47"/>
      <c r="O668" s="47"/>
      <c r="P668" s="47"/>
      <c r="Q668" s="49"/>
      <c r="R668" s="47"/>
      <c r="S668" s="51">
        <v>46040</v>
      </c>
      <c r="T668" s="47">
        <v>1</v>
      </c>
      <c r="U668" s="47">
        <v>1</v>
      </c>
      <c r="V668" s="47">
        <v>3</v>
      </c>
      <c r="W668" s="51">
        <f t="shared" si="96"/>
        <v>46045</v>
      </c>
      <c r="X668" s="60"/>
    </row>
    <row r="669" spans="1:24" hidden="1">
      <c r="A669" s="47" t="s">
        <v>351</v>
      </c>
      <c r="B669" s="46" t="s">
        <v>456</v>
      </c>
      <c r="C669" s="47" t="s">
        <v>489</v>
      </c>
      <c r="D669" s="47" t="s">
        <v>489</v>
      </c>
      <c r="E669" s="47">
        <v>50081903</v>
      </c>
      <c r="F669" s="47" t="s">
        <v>50</v>
      </c>
      <c r="G669" s="46">
        <v>600000</v>
      </c>
      <c r="H669" s="47">
        <v>0.45900000000000002</v>
      </c>
      <c r="I669" s="46">
        <f t="shared" si="95"/>
        <v>275400</v>
      </c>
      <c r="J669" s="47" t="s">
        <v>449</v>
      </c>
      <c r="K669" s="47"/>
      <c r="L669" s="47"/>
      <c r="M669" s="47"/>
      <c r="N669" s="47"/>
      <c r="O669" s="47"/>
      <c r="P669" s="47"/>
      <c r="Q669" s="49"/>
      <c r="R669" s="47"/>
      <c r="S669" s="51">
        <v>46051</v>
      </c>
      <c r="T669" s="47">
        <v>1</v>
      </c>
      <c r="U669" s="47">
        <v>1</v>
      </c>
      <c r="V669" s="47">
        <v>3</v>
      </c>
      <c r="W669" s="51">
        <f t="shared" si="96"/>
        <v>46056</v>
      </c>
      <c r="X669" s="60"/>
    </row>
    <row r="670" spans="1:24" hidden="1">
      <c r="A670" s="47" t="s">
        <v>351</v>
      </c>
      <c r="B670" s="46" t="s">
        <v>456</v>
      </c>
      <c r="C670" s="47" t="s">
        <v>489</v>
      </c>
      <c r="D670" s="47" t="s">
        <v>489</v>
      </c>
      <c r="E670" s="47">
        <v>50081602</v>
      </c>
      <c r="F670" s="47" t="s">
        <v>491</v>
      </c>
      <c r="G670" s="46">
        <v>100000</v>
      </c>
      <c r="H670" s="47">
        <v>0.48</v>
      </c>
      <c r="I670" s="46">
        <f t="shared" si="95"/>
        <v>48000</v>
      </c>
      <c r="J670" s="47" t="s">
        <v>449</v>
      </c>
      <c r="K670" s="47"/>
      <c r="L670" s="47"/>
      <c r="M670" s="47"/>
      <c r="N670" s="47"/>
      <c r="O670" s="47"/>
      <c r="P670" s="47"/>
      <c r="Q670" s="49"/>
      <c r="R670" s="47"/>
      <c r="S670" s="51">
        <v>46051</v>
      </c>
      <c r="T670" s="47">
        <v>1</v>
      </c>
      <c r="U670" s="47">
        <v>1</v>
      </c>
      <c r="V670" s="47">
        <v>3</v>
      </c>
      <c r="W670" s="51">
        <f t="shared" si="96"/>
        <v>46056</v>
      </c>
      <c r="X670" s="60"/>
    </row>
    <row r="671" spans="1:24" hidden="1">
      <c r="A671" s="47" t="s">
        <v>351</v>
      </c>
      <c r="B671" s="46" t="s">
        <v>456</v>
      </c>
      <c r="C671" s="47" t="s">
        <v>489</v>
      </c>
      <c r="D671" s="47" t="s">
        <v>489</v>
      </c>
      <c r="E671" s="47">
        <v>50081491</v>
      </c>
      <c r="F671" s="47" t="s">
        <v>492</v>
      </c>
      <c r="G671" s="46">
        <v>50000</v>
      </c>
      <c r="H671" s="47">
        <v>0.48</v>
      </c>
      <c r="I671" s="46">
        <f t="shared" si="95"/>
        <v>24000</v>
      </c>
      <c r="J671" s="47" t="s">
        <v>449</v>
      </c>
      <c r="K671" s="47"/>
      <c r="L671" s="47"/>
      <c r="M671" s="47"/>
      <c r="N671" s="47"/>
      <c r="O671" s="47"/>
      <c r="P671" s="47"/>
      <c r="Q671" s="49"/>
      <c r="R671" s="47"/>
      <c r="S671" s="51">
        <v>46051</v>
      </c>
      <c r="T671" s="47">
        <v>1</v>
      </c>
      <c r="U671" s="47">
        <v>1</v>
      </c>
      <c r="V671" s="47">
        <v>3</v>
      </c>
      <c r="W671" s="51">
        <f t="shared" si="96"/>
        <v>46056</v>
      </c>
      <c r="X671" s="60"/>
    </row>
    <row r="672" spans="1:24" hidden="1">
      <c r="A672" s="47" t="s">
        <v>351</v>
      </c>
      <c r="B672" s="46" t="s">
        <v>456</v>
      </c>
      <c r="C672" s="47" t="s">
        <v>489</v>
      </c>
      <c r="D672" s="47" t="s">
        <v>489</v>
      </c>
      <c r="E672" s="47">
        <v>50082007</v>
      </c>
      <c r="F672" s="47" t="s">
        <v>493</v>
      </c>
      <c r="G672" s="46">
        <v>100000</v>
      </c>
      <c r="H672" s="47">
        <v>0.48</v>
      </c>
      <c r="I672" s="46">
        <f t="shared" si="95"/>
        <v>48000</v>
      </c>
      <c r="J672" s="47" t="s">
        <v>449</v>
      </c>
      <c r="K672" s="47"/>
      <c r="L672" s="47"/>
      <c r="M672" s="47"/>
      <c r="N672" s="47"/>
      <c r="O672" s="47"/>
      <c r="P672" s="47"/>
      <c r="Q672" s="49"/>
      <c r="R672" s="47"/>
      <c r="S672" s="51">
        <v>46051</v>
      </c>
      <c r="T672" s="47">
        <v>1</v>
      </c>
      <c r="U672" s="47">
        <v>1</v>
      </c>
      <c r="V672" s="47">
        <v>3</v>
      </c>
      <c r="W672" s="51">
        <f t="shared" si="96"/>
        <v>46056</v>
      </c>
      <c r="X672" s="60"/>
    </row>
    <row r="673" spans="1:24" hidden="1">
      <c r="A673" s="47" t="s">
        <v>351</v>
      </c>
      <c r="B673" s="46" t="s">
        <v>456</v>
      </c>
      <c r="C673" s="47" t="s">
        <v>489</v>
      </c>
      <c r="D673" s="47" t="s">
        <v>489</v>
      </c>
      <c r="E673" s="47">
        <v>50082011</v>
      </c>
      <c r="F673" s="47" t="s">
        <v>154</v>
      </c>
      <c r="G673" s="46">
        <v>50000</v>
      </c>
      <c r="H673" s="47">
        <v>0.5</v>
      </c>
      <c r="I673" s="46">
        <f t="shared" si="95"/>
        <v>25000</v>
      </c>
      <c r="J673" s="47" t="s">
        <v>449</v>
      </c>
      <c r="K673" s="47"/>
      <c r="L673" s="47"/>
      <c r="M673" s="47"/>
      <c r="N673" s="47"/>
      <c r="O673" s="47"/>
      <c r="P673" s="47"/>
      <c r="Q673" s="49"/>
      <c r="R673" s="47"/>
      <c r="S673" s="51">
        <v>46051</v>
      </c>
      <c r="T673" s="47">
        <v>1</v>
      </c>
      <c r="U673" s="47">
        <v>1</v>
      </c>
      <c r="V673" s="47">
        <v>3</v>
      </c>
      <c r="W673" s="51">
        <f t="shared" si="96"/>
        <v>46056</v>
      </c>
      <c r="X673" s="60"/>
    </row>
    <row r="674" spans="1:24" hidden="1">
      <c r="A674" s="47" t="s">
        <v>351</v>
      </c>
      <c r="B674" s="46" t="s">
        <v>456</v>
      </c>
      <c r="C674" s="47" t="s">
        <v>489</v>
      </c>
      <c r="D674" s="47" t="s">
        <v>489</v>
      </c>
      <c r="E674" s="47">
        <v>50081930</v>
      </c>
      <c r="F674" s="47" t="s">
        <v>253</v>
      </c>
      <c r="G674" s="46">
        <v>150000</v>
      </c>
      <c r="H674" s="47">
        <v>0.5</v>
      </c>
      <c r="I674" s="46">
        <f t="shared" si="95"/>
        <v>75000</v>
      </c>
      <c r="J674" s="47" t="s">
        <v>449</v>
      </c>
      <c r="K674" s="47"/>
      <c r="L674" s="47"/>
      <c r="M674" s="47"/>
      <c r="N674" s="47"/>
      <c r="O674" s="47"/>
      <c r="P674" s="47"/>
      <c r="Q674" s="49"/>
      <c r="R674" s="47"/>
      <c r="S674" s="51">
        <v>46051</v>
      </c>
      <c r="T674" s="47">
        <v>1</v>
      </c>
      <c r="U674" s="47">
        <v>1</v>
      </c>
      <c r="V674" s="47">
        <v>3</v>
      </c>
      <c r="W674" s="51">
        <f t="shared" si="96"/>
        <v>46056</v>
      </c>
      <c r="X674" s="60"/>
    </row>
    <row r="675" spans="1:24" hidden="1">
      <c r="A675" s="47" t="s">
        <v>351</v>
      </c>
      <c r="B675" s="46" t="s">
        <v>456</v>
      </c>
      <c r="C675" s="47" t="s">
        <v>489</v>
      </c>
      <c r="D675" s="47" t="s">
        <v>489</v>
      </c>
      <c r="E675" s="47">
        <v>50100128</v>
      </c>
      <c r="F675" s="47" t="s">
        <v>300</v>
      </c>
      <c r="G675" s="46">
        <v>50000</v>
      </c>
      <c r="H675" s="47">
        <v>0.5</v>
      </c>
      <c r="I675" s="46">
        <f t="shared" si="95"/>
        <v>25000</v>
      </c>
      <c r="J675" s="47" t="s">
        <v>449</v>
      </c>
      <c r="K675" s="47"/>
      <c r="L675" s="47"/>
      <c r="M675" s="47"/>
      <c r="N675" s="47"/>
      <c r="O675" s="47"/>
      <c r="P675" s="47"/>
      <c r="Q675" s="49"/>
      <c r="R675" s="47"/>
      <c r="S675" s="51">
        <v>46051</v>
      </c>
      <c r="T675" s="47">
        <v>1</v>
      </c>
      <c r="U675" s="47">
        <v>1</v>
      </c>
      <c r="V675" s="47">
        <v>3</v>
      </c>
      <c r="W675" s="51">
        <f t="shared" si="96"/>
        <v>46056</v>
      </c>
      <c r="X675" s="60"/>
    </row>
    <row r="676" spans="1:24" hidden="1">
      <c r="A676" s="47" t="s">
        <v>351</v>
      </c>
      <c r="B676" s="46" t="s">
        <v>456</v>
      </c>
      <c r="C676" s="47" t="s">
        <v>489</v>
      </c>
      <c r="D676" s="47" t="s">
        <v>489</v>
      </c>
      <c r="E676" s="47">
        <v>50082096</v>
      </c>
      <c r="F676" s="47" t="s">
        <v>76</v>
      </c>
      <c r="G676" s="46">
        <v>700000</v>
      </c>
      <c r="H676" s="47">
        <v>0.10199999999999999</v>
      </c>
      <c r="I676" s="46">
        <f t="shared" si="95"/>
        <v>71400</v>
      </c>
      <c r="J676" s="47" t="s">
        <v>449</v>
      </c>
      <c r="K676" s="47"/>
      <c r="L676" s="47"/>
      <c r="M676" s="47"/>
      <c r="N676" s="47"/>
      <c r="O676" s="47"/>
      <c r="P676" s="47"/>
      <c r="Q676" s="49"/>
      <c r="R676" s="47"/>
      <c r="S676" s="51">
        <v>46051</v>
      </c>
      <c r="T676" s="47">
        <v>1</v>
      </c>
      <c r="U676" s="47">
        <v>1</v>
      </c>
      <c r="V676" s="47">
        <v>3</v>
      </c>
      <c r="W676" s="51">
        <f t="shared" si="96"/>
        <v>46056</v>
      </c>
      <c r="X676" s="60"/>
    </row>
    <row r="677" spans="1:24" hidden="1">
      <c r="A677" s="47" t="s">
        <v>351</v>
      </c>
      <c r="B677" s="46" t="s">
        <v>456</v>
      </c>
      <c r="C677" s="47" t="s">
        <v>489</v>
      </c>
      <c r="D677" s="47" t="s">
        <v>489</v>
      </c>
      <c r="E677" s="47">
        <v>50082133</v>
      </c>
      <c r="F677" s="47" t="s">
        <v>299</v>
      </c>
      <c r="G677" s="46">
        <v>150000</v>
      </c>
      <c r="H677" s="47">
        <v>0.10199999999999999</v>
      </c>
      <c r="I677" s="46">
        <f t="shared" si="95"/>
        <v>15299.999999999998</v>
      </c>
      <c r="J677" s="47" t="s">
        <v>449</v>
      </c>
      <c r="K677" s="47"/>
      <c r="L677" s="47"/>
      <c r="M677" s="47"/>
      <c r="N677" s="47"/>
      <c r="O677" s="47"/>
      <c r="P677" s="47"/>
      <c r="Q677" s="49"/>
      <c r="R677" s="47"/>
      <c r="S677" s="51">
        <v>46051</v>
      </c>
      <c r="T677" s="47">
        <v>1</v>
      </c>
      <c r="U677" s="47">
        <v>1</v>
      </c>
      <c r="V677" s="47">
        <v>3</v>
      </c>
      <c r="W677" s="51">
        <f t="shared" si="96"/>
        <v>46056</v>
      </c>
      <c r="X677" s="60"/>
    </row>
    <row r="678" spans="1:24" hidden="1">
      <c r="A678" s="47" t="s">
        <v>351</v>
      </c>
      <c r="B678" s="46" t="s">
        <v>456</v>
      </c>
      <c r="C678" s="47" t="s">
        <v>489</v>
      </c>
      <c r="D678" s="47" t="s">
        <v>489</v>
      </c>
      <c r="E678" s="47">
        <v>50082004</v>
      </c>
      <c r="F678" s="47" t="s">
        <v>488</v>
      </c>
      <c r="G678" s="46">
        <v>150000</v>
      </c>
      <c r="H678" s="47">
        <v>0.14000000000000001</v>
      </c>
      <c r="I678" s="46">
        <f t="shared" si="95"/>
        <v>21000.000000000004</v>
      </c>
      <c r="J678" s="47" t="s">
        <v>449</v>
      </c>
      <c r="K678" s="47"/>
      <c r="L678" s="47"/>
      <c r="M678" s="47"/>
      <c r="N678" s="47"/>
      <c r="O678" s="47"/>
      <c r="P678" s="47"/>
      <c r="Q678" s="49"/>
      <c r="R678" s="47"/>
      <c r="S678" s="51">
        <v>46051</v>
      </c>
      <c r="T678" s="47">
        <v>1</v>
      </c>
      <c r="U678" s="47">
        <v>1</v>
      </c>
      <c r="V678" s="47">
        <v>3</v>
      </c>
      <c r="W678" s="51">
        <f t="shared" si="96"/>
        <v>46056</v>
      </c>
      <c r="X678" s="60"/>
    </row>
    <row r="679" spans="1:24" hidden="1">
      <c r="A679" s="47" t="s">
        <v>351</v>
      </c>
      <c r="B679" s="46" t="s">
        <v>456</v>
      </c>
      <c r="C679" s="47" t="s">
        <v>37</v>
      </c>
      <c r="D679" s="47" t="s">
        <v>37</v>
      </c>
      <c r="E679" s="47">
        <v>50114361</v>
      </c>
      <c r="F679" s="47" t="s">
        <v>61</v>
      </c>
      <c r="G679" s="46">
        <v>80000</v>
      </c>
      <c r="H679" s="47">
        <v>2.69</v>
      </c>
      <c r="I679" s="46">
        <f t="shared" si="95"/>
        <v>215200</v>
      </c>
      <c r="J679" s="47" t="s">
        <v>374</v>
      </c>
      <c r="K679" s="47"/>
      <c r="L679" s="47" t="s">
        <v>482</v>
      </c>
      <c r="M679" s="47"/>
      <c r="N679" s="47"/>
      <c r="O679" s="47"/>
      <c r="P679" s="47"/>
      <c r="Q679" s="49"/>
      <c r="R679" s="47"/>
      <c r="S679" s="51"/>
      <c r="T679" s="47"/>
      <c r="U679" s="47"/>
      <c r="V679" s="47"/>
      <c r="W679" s="51"/>
      <c r="X679" s="60"/>
    </row>
    <row r="680" spans="1:24" hidden="1">
      <c r="A680" s="47" t="s">
        <v>351</v>
      </c>
      <c r="B680" s="46" t="s">
        <v>456</v>
      </c>
      <c r="C680" s="47" t="s">
        <v>37</v>
      </c>
      <c r="D680" s="47" t="s">
        <v>37</v>
      </c>
      <c r="E680" s="47">
        <v>50114358</v>
      </c>
      <c r="F680" s="47" t="s">
        <v>60</v>
      </c>
      <c r="G680" s="46">
        <v>165000</v>
      </c>
      <c r="H680" s="47">
        <v>2.8</v>
      </c>
      <c r="I680" s="46">
        <f t="shared" si="95"/>
        <v>461999.99999999994</v>
      </c>
      <c r="J680" s="47" t="s">
        <v>374</v>
      </c>
      <c r="K680" s="47"/>
      <c r="L680" s="47"/>
      <c r="M680" s="47"/>
      <c r="N680" s="47"/>
      <c r="O680" s="47"/>
      <c r="P680" s="47"/>
      <c r="Q680" s="49"/>
      <c r="R680" s="47"/>
      <c r="S680" s="51"/>
      <c r="T680" s="47"/>
      <c r="U680" s="47"/>
      <c r="V680" s="47"/>
      <c r="W680" s="51"/>
      <c r="X680" s="60"/>
    </row>
    <row r="681" spans="1:24" hidden="1">
      <c r="A681" s="47" t="s">
        <v>351</v>
      </c>
      <c r="B681" s="46" t="s">
        <v>456</v>
      </c>
      <c r="C681" s="47" t="s">
        <v>37</v>
      </c>
      <c r="D681" s="47" t="s">
        <v>37</v>
      </c>
      <c r="E681" s="47">
        <v>50092554</v>
      </c>
      <c r="F681" s="47" t="s">
        <v>120</v>
      </c>
      <c r="G681" s="46">
        <v>50000</v>
      </c>
      <c r="H681" s="47">
        <v>3.56</v>
      </c>
      <c r="I681" s="46">
        <f t="shared" si="95"/>
        <v>178000</v>
      </c>
      <c r="J681" s="47" t="s">
        <v>374</v>
      </c>
      <c r="K681" s="47"/>
      <c r="L681" s="47" t="s">
        <v>482</v>
      </c>
      <c r="M681" s="47"/>
      <c r="N681" s="47"/>
      <c r="O681" s="47"/>
      <c r="P681" s="47"/>
      <c r="Q681" s="49"/>
      <c r="R681" s="47"/>
      <c r="S681" s="51"/>
      <c r="T681" s="47"/>
      <c r="U681" s="47"/>
      <c r="V681" s="47"/>
      <c r="W681" s="51"/>
      <c r="X681" s="60"/>
    </row>
    <row r="682" spans="1:24" hidden="1">
      <c r="A682" s="47" t="s">
        <v>351</v>
      </c>
      <c r="B682" s="46" t="s">
        <v>456</v>
      </c>
      <c r="C682" s="47" t="s">
        <v>37</v>
      </c>
      <c r="D682" s="47" t="s">
        <v>37</v>
      </c>
      <c r="E682" s="47">
        <v>50113752</v>
      </c>
      <c r="F682" s="47" t="s">
        <v>237</v>
      </c>
      <c r="G682" s="46">
        <v>100000</v>
      </c>
      <c r="H682" s="47">
        <v>2.37</v>
      </c>
      <c r="I682" s="46">
        <f t="shared" si="95"/>
        <v>237000</v>
      </c>
      <c r="J682" s="47" t="s">
        <v>374</v>
      </c>
      <c r="K682" s="47"/>
      <c r="L682" s="47" t="s">
        <v>482</v>
      </c>
      <c r="M682" s="47"/>
      <c r="N682" s="47"/>
      <c r="O682" s="47"/>
      <c r="P682" s="47"/>
      <c r="Q682" s="49"/>
      <c r="R682" s="47"/>
      <c r="S682" s="51"/>
      <c r="T682" s="47"/>
      <c r="U682" s="47"/>
      <c r="V682" s="47"/>
      <c r="W682" s="51"/>
      <c r="X682" s="60"/>
    </row>
    <row r="683" spans="1:24" hidden="1">
      <c r="A683" s="47" t="s">
        <v>351</v>
      </c>
      <c r="B683" s="46" t="s">
        <v>456</v>
      </c>
      <c r="C683" s="47" t="s">
        <v>37</v>
      </c>
      <c r="D683" s="47" t="s">
        <v>37</v>
      </c>
      <c r="E683" s="47">
        <v>50111595</v>
      </c>
      <c r="F683" s="47" t="s">
        <v>479</v>
      </c>
      <c r="G683" s="46">
        <v>80000</v>
      </c>
      <c r="H683" s="47">
        <v>2.48</v>
      </c>
      <c r="I683" s="46">
        <f t="shared" si="95"/>
        <v>198400</v>
      </c>
      <c r="J683" s="47" t="s">
        <v>374</v>
      </c>
      <c r="K683" s="47"/>
      <c r="L683" s="47" t="s">
        <v>482</v>
      </c>
      <c r="M683" s="47"/>
      <c r="N683" s="47"/>
      <c r="O683" s="47"/>
      <c r="P683" s="47"/>
      <c r="Q683" s="49"/>
      <c r="R683" s="47"/>
      <c r="S683" s="51"/>
      <c r="T683" s="47"/>
      <c r="U683" s="47"/>
      <c r="V683" s="47"/>
      <c r="W683" s="51"/>
      <c r="X683" s="60"/>
    </row>
    <row r="684" spans="1:24" hidden="1">
      <c r="A684" s="46" t="s">
        <v>351</v>
      </c>
      <c r="B684" s="46" t="s">
        <v>460</v>
      </c>
      <c r="C684" s="47" t="s">
        <v>168</v>
      </c>
      <c r="D684" s="47" t="s">
        <v>168</v>
      </c>
      <c r="E684" s="47">
        <v>50114367</v>
      </c>
      <c r="F684" s="47" t="s">
        <v>82</v>
      </c>
      <c r="G684" s="46">
        <v>52350</v>
      </c>
      <c r="H684" s="47">
        <v>1.79</v>
      </c>
      <c r="I684" s="46">
        <f t="shared" si="95"/>
        <v>93706.5</v>
      </c>
      <c r="J684" s="46" t="s">
        <v>374</v>
      </c>
      <c r="K684" s="46"/>
      <c r="L684" s="46" t="s">
        <v>482</v>
      </c>
      <c r="M684" s="47"/>
      <c r="N684" s="48"/>
      <c r="O684" s="49"/>
      <c r="P684" s="50"/>
      <c r="Q684" s="49"/>
      <c r="R684" s="47"/>
      <c r="S684" s="51"/>
      <c r="T684" s="47"/>
      <c r="U684" s="47"/>
      <c r="V684" s="47"/>
      <c r="W684" s="51"/>
      <c r="X684" s="60"/>
    </row>
    <row r="685" spans="1:24" hidden="1">
      <c r="A685" s="46" t="s">
        <v>351</v>
      </c>
      <c r="B685" s="46" t="s">
        <v>460</v>
      </c>
      <c r="C685" s="47" t="s">
        <v>168</v>
      </c>
      <c r="D685" s="47" t="s">
        <v>168</v>
      </c>
      <c r="E685" s="47">
        <v>50114367</v>
      </c>
      <c r="F685" s="47" t="s">
        <v>82</v>
      </c>
      <c r="G685" s="46">
        <v>114350</v>
      </c>
      <c r="H685" s="47">
        <v>1.79</v>
      </c>
      <c r="I685" s="46">
        <f t="shared" si="95"/>
        <v>204686.5</v>
      </c>
      <c r="J685" s="46" t="s">
        <v>374</v>
      </c>
      <c r="K685" s="46"/>
      <c r="L685" s="46" t="s">
        <v>482</v>
      </c>
      <c r="M685" s="47"/>
      <c r="N685" s="48"/>
      <c r="O685" s="49"/>
      <c r="P685" s="50"/>
      <c r="Q685" s="49"/>
      <c r="R685" s="47"/>
      <c r="S685" s="51"/>
      <c r="T685" s="47"/>
      <c r="U685" s="47"/>
      <c r="V685" s="47"/>
      <c r="W685" s="51"/>
      <c r="X685" s="60"/>
    </row>
    <row r="686" spans="1:24" hidden="1">
      <c r="A686" s="46" t="s">
        <v>351</v>
      </c>
      <c r="B686" s="46" t="s">
        <v>460</v>
      </c>
      <c r="C686" s="47" t="s">
        <v>168</v>
      </c>
      <c r="D686" s="47" t="s">
        <v>168</v>
      </c>
      <c r="E686" s="47">
        <v>50114367</v>
      </c>
      <c r="F686" s="47" t="s">
        <v>82</v>
      </c>
      <c r="G686" s="46">
        <v>34350</v>
      </c>
      <c r="H686" s="47">
        <v>1.79</v>
      </c>
      <c r="I686" s="46">
        <f t="shared" si="95"/>
        <v>61486.5</v>
      </c>
      <c r="J686" s="46" t="s">
        <v>374</v>
      </c>
      <c r="K686" s="46"/>
      <c r="L686" s="46" t="s">
        <v>482</v>
      </c>
      <c r="M686" s="47"/>
      <c r="N686" s="48"/>
      <c r="O686" s="49"/>
      <c r="P686" s="50"/>
      <c r="Q686" s="49"/>
      <c r="R686" s="47"/>
      <c r="S686" s="51"/>
      <c r="T686" s="47"/>
      <c r="U686" s="47"/>
      <c r="V686" s="47"/>
      <c r="W686" s="51"/>
      <c r="X686" s="60"/>
    </row>
    <row r="687" spans="1:24" hidden="1">
      <c r="A687" s="46" t="s">
        <v>351</v>
      </c>
      <c r="B687" s="46" t="s">
        <v>460</v>
      </c>
      <c r="C687" s="47" t="s">
        <v>168</v>
      </c>
      <c r="D687" s="47" t="s">
        <v>168</v>
      </c>
      <c r="E687" s="47">
        <v>50114341</v>
      </c>
      <c r="F687" s="47" t="s">
        <v>180</v>
      </c>
      <c r="G687" s="46">
        <v>63350</v>
      </c>
      <c r="H687" s="47">
        <v>0.56000000000000005</v>
      </c>
      <c r="I687" s="46">
        <f t="shared" si="95"/>
        <v>35476</v>
      </c>
      <c r="J687" s="46" t="s">
        <v>374</v>
      </c>
      <c r="K687" s="46"/>
      <c r="L687" s="46" t="s">
        <v>482</v>
      </c>
      <c r="M687" s="47"/>
      <c r="N687" s="48"/>
      <c r="O687" s="49"/>
      <c r="P687" s="50"/>
      <c r="Q687" s="49"/>
      <c r="R687" s="47"/>
      <c r="S687" s="51"/>
      <c r="T687" s="47"/>
      <c r="U687" s="47"/>
      <c r="V687" s="47"/>
      <c r="W687" s="51"/>
      <c r="X687" s="60"/>
    </row>
    <row r="688" spans="1:24" hidden="1">
      <c r="A688" s="46" t="s">
        <v>351</v>
      </c>
      <c r="B688" s="46" t="s">
        <v>460</v>
      </c>
      <c r="C688" s="47" t="s">
        <v>168</v>
      </c>
      <c r="D688" s="47" t="s">
        <v>168</v>
      </c>
      <c r="E688" s="47">
        <v>50114341</v>
      </c>
      <c r="F688" s="47" t="s">
        <v>180</v>
      </c>
      <c r="G688" s="46">
        <v>138350</v>
      </c>
      <c r="H688" s="47">
        <v>0.56000000000000005</v>
      </c>
      <c r="I688" s="46">
        <f t="shared" si="95"/>
        <v>77476.000000000015</v>
      </c>
      <c r="J688" s="46" t="s">
        <v>374</v>
      </c>
      <c r="K688" s="46"/>
      <c r="L688" s="46" t="s">
        <v>482</v>
      </c>
      <c r="M688" s="47"/>
      <c r="N688" s="48"/>
      <c r="O688" s="49"/>
      <c r="P688" s="50"/>
      <c r="Q688" s="49"/>
      <c r="R688" s="47"/>
      <c r="S688" s="51"/>
      <c r="T688" s="47"/>
      <c r="U688" s="47"/>
      <c r="V688" s="47"/>
      <c r="W688" s="51"/>
      <c r="X688" s="60"/>
    </row>
    <row r="689" spans="1:24" hidden="1">
      <c r="A689" s="46" t="s">
        <v>351</v>
      </c>
      <c r="B689" s="46" t="s">
        <v>460</v>
      </c>
      <c r="C689" s="47" t="s">
        <v>168</v>
      </c>
      <c r="D689" s="47" t="s">
        <v>168</v>
      </c>
      <c r="E689" s="47">
        <v>50101992</v>
      </c>
      <c r="F689" s="47" t="s">
        <v>496</v>
      </c>
      <c r="G689" s="46">
        <v>50350</v>
      </c>
      <c r="H689" s="47">
        <v>1.59</v>
      </c>
      <c r="I689" s="46">
        <f t="shared" si="95"/>
        <v>80056.5</v>
      </c>
      <c r="J689" s="46" t="s">
        <v>374</v>
      </c>
      <c r="K689" s="46"/>
      <c r="L689" s="46" t="s">
        <v>482</v>
      </c>
      <c r="M689" s="47"/>
      <c r="N689" s="48"/>
      <c r="O689" s="49"/>
      <c r="P689" s="50"/>
      <c r="Q689" s="49"/>
      <c r="R689" s="47"/>
      <c r="S689" s="51"/>
      <c r="T689" s="47"/>
      <c r="U689" s="47"/>
      <c r="V689" s="47"/>
      <c r="W689" s="51"/>
      <c r="X689" s="60"/>
    </row>
    <row r="690" spans="1:24" hidden="1">
      <c r="A690" s="46" t="s">
        <v>351</v>
      </c>
      <c r="B690" s="46" t="s">
        <v>460</v>
      </c>
      <c r="C690" s="47" t="s">
        <v>168</v>
      </c>
      <c r="D690" s="47" t="s">
        <v>168</v>
      </c>
      <c r="E690" s="47">
        <v>50114671</v>
      </c>
      <c r="F690" s="47" t="s">
        <v>29</v>
      </c>
      <c r="G690" s="46">
        <v>100000</v>
      </c>
      <c r="H690" s="47">
        <v>2.0699999999999998</v>
      </c>
      <c r="I690" s="46">
        <f t="shared" ref="I690:I710" si="97">G690*H690</f>
        <v>206999.99999999997</v>
      </c>
      <c r="J690" s="46" t="s">
        <v>374</v>
      </c>
      <c r="K690" s="46"/>
      <c r="L690" s="46"/>
      <c r="M690" s="47"/>
      <c r="N690" s="48"/>
      <c r="O690" s="49"/>
      <c r="P690" s="50"/>
      <c r="Q690" s="49"/>
      <c r="R690" s="47"/>
      <c r="S690" s="51"/>
      <c r="T690" s="47"/>
      <c r="U690" s="47"/>
      <c r="V690" s="47"/>
      <c r="W690" s="51"/>
      <c r="X690" s="60"/>
    </row>
    <row r="691" spans="1:24" hidden="1">
      <c r="A691" s="46" t="s">
        <v>351</v>
      </c>
      <c r="B691" s="46" t="s">
        <v>460</v>
      </c>
      <c r="C691" s="47" t="s">
        <v>168</v>
      </c>
      <c r="D691" s="47" t="s">
        <v>168</v>
      </c>
      <c r="E691" s="47">
        <v>50081670</v>
      </c>
      <c r="F691" s="47" t="s">
        <v>30</v>
      </c>
      <c r="G691" s="46">
        <v>100000</v>
      </c>
      <c r="H691" s="47">
        <v>1.44</v>
      </c>
      <c r="I691" s="46">
        <f t="shared" si="97"/>
        <v>144000</v>
      </c>
      <c r="J691" s="46" t="s">
        <v>374</v>
      </c>
      <c r="K691" s="46"/>
      <c r="L691" s="46"/>
      <c r="M691" s="47"/>
      <c r="N691" s="48"/>
      <c r="O691" s="49"/>
      <c r="P691" s="50"/>
      <c r="Q691" s="49"/>
      <c r="R691" s="47"/>
      <c r="S691" s="51"/>
      <c r="T691" s="47"/>
      <c r="U691" s="47"/>
      <c r="V691" s="47"/>
      <c r="W691" s="51"/>
      <c r="X691" s="60"/>
    </row>
    <row r="692" spans="1:24" hidden="1">
      <c r="A692" s="46" t="s">
        <v>351</v>
      </c>
      <c r="B692" s="46" t="s">
        <v>460</v>
      </c>
      <c r="C692" s="47" t="s">
        <v>168</v>
      </c>
      <c r="D692" s="47" t="s">
        <v>168</v>
      </c>
      <c r="E692" s="47">
        <v>50113649</v>
      </c>
      <c r="F692" s="47" t="s">
        <v>56</v>
      </c>
      <c r="G692" s="46">
        <v>108000</v>
      </c>
      <c r="H692" s="47">
        <v>0.56000000000000005</v>
      </c>
      <c r="I692" s="46">
        <f t="shared" si="97"/>
        <v>60480.000000000007</v>
      </c>
      <c r="J692" s="46" t="s">
        <v>374</v>
      </c>
      <c r="K692" s="46"/>
      <c r="L692" s="46"/>
      <c r="M692" s="47"/>
      <c r="N692" s="48"/>
      <c r="O692" s="49"/>
      <c r="P692" s="50"/>
      <c r="Q692" s="49"/>
      <c r="R692" s="47"/>
      <c r="S692" s="51"/>
      <c r="T692" s="47"/>
      <c r="U692" s="47"/>
      <c r="V692" s="47"/>
      <c r="W692" s="51"/>
      <c r="X692" s="60"/>
    </row>
    <row r="693" spans="1:24" hidden="1">
      <c r="A693" s="47" t="s">
        <v>347</v>
      </c>
      <c r="B693" s="46" t="s">
        <v>457</v>
      </c>
      <c r="C693" s="47" t="s">
        <v>184</v>
      </c>
      <c r="D693" s="47" t="s">
        <v>184</v>
      </c>
      <c r="E693" s="47">
        <v>50110016</v>
      </c>
      <c r="F693" s="47" t="s">
        <v>256</v>
      </c>
      <c r="G693" s="46">
        <v>250000</v>
      </c>
      <c r="H693" s="47">
        <v>2.86</v>
      </c>
      <c r="I693" s="46">
        <f t="shared" si="97"/>
        <v>715000</v>
      </c>
      <c r="J693" s="47" t="s">
        <v>374</v>
      </c>
      <c r="K693" s="47"/>
      <c r="L693" s="47"/>
      <c r="M693" s="47"/>
      <c r="N693" s="47"/>
      <c r="O693" s="47"/>
      <c r="P693" s="47"/>
      <c r="Q693" s="49"/>
      <c r="R693" s="47"/>
      <c r="S693" s="52"/>
      <c r="T693" s="47"/>
      <c r="U693" s="47"/>
      <c r="V693" s="47"/>
      <c r="W693" s="52"/>
      <c r="X693" s="59"/>
    </row>
    <row r="694" spans="1:24" hidden="1">
      <c r="A694" s="47" t="s">
        <v>347</v>
      </c>
      <c r="B694" s="46" t="s">
        <v>457</v>
      </c>
      <c r="C694" s="47" t="s">
        <v>158</v>
      </c>
      <c r="D694" s="47" t="s">
        <v>158</v>
      </c>
      <c r="E694" s="47">
        <v>50110016</v>
      </c>
      <c r="F694" s="47" t="s">
        <v>256</v>
      </c>
      <c r="G694" s="46">
        <v>250000</v>
      </c>
      <c r="H694" s="47">
        <v>2.86</v>
      </c>
      <c r="I694" s="46">
        <f t="shared" si="97"/>
        <v>715000</v>
      </c>
      <c r="J694" s="47" t="s">
        <v>374</v>
      </c>
      <c r="K694" s="47"/>
      <c r="L694" s="47"/>
      <c r="M694" s="47"/>
      <c r="N694" s="47"/>
      <c r="O694" s="47"/>
      <c r="P694" s="47"/>
      <c r="Q694" s="49"/>
      <c r="R694" s="47"/>
      <c r="S694" s="52"/>
      <c r="T694" s="47"/>
      <c r="U694" s="47"/>
      <c r="V694" s="47"/>
      <c r="W694" s="52"/>
      <c r="X694" s="59"/>
    </row>
    <row r="695" spans="1:24" hidden="1">
      <c r="A695" s="46" t="s">
        <v>349</v>
      </c>
      <c r="B695" s="46" t="s">
        <v>457</v>
      </c>
      <c r="C695" s="47" t="s">
        <v>231</v>
      </c>
      <c r="D695" s="47" t="s">
        <v>231</v>
      </c>
      <c r="E695" s="47">
        <v>50114364</v>
      </c>
      <c r="F695" s="47" t="s">
        <v>143</v>
      </c>
      <c r="G695" s="46">
        <v>60000</v>
      </c>
      <c r="H695" s="47">
        <v>2.88</v>
      </c>
      <c r="I695" s="46">
        <f t="shared" si="97"/>
        <v>172800</v>
      </c>
      <c r="J695" s="46" t="s">
        <v>374</v>
      </c>
      <c r="K695" s="46"/>
      <c r="L695" s="46" t="s">
        <v>482</v>
      </c>
      <c r="M695" s="47">
        <v>25501578</v>
      </c>
      <c r="N695" s="48" t="s">
        <v>230</v>
      </c>
      <c r="O695" s="49">
        <v>46008</v>
      </c>
      <c r="P695" s="50">
        <v>1</v>
      </c>
      <c r="Q695" s="49">
        <v>46039</v>
      </c>
      <c r="R695" s="47" t="s">
        <v>462</v>
      </c>
      <c r="S695" s="51">
        <v>46029</v>
      </c>
      <c r="T695" s="47">
        <v>1</v>
      </c>
      <c r="U695" s="47">
        <v>1</v>
      </c>
      <c r="V695" s="47">
        <v>3</v>
      </c>
      <c r="W695" s="51">
        <f t="shared" ref="W695:W697" si="98">S695+T695+U695+V695</f>
        <v>46034</v>
      </c>
      <c r="X695" s="60"/>
    </row>
    <row r="696" spans="1:24" hidden="1">
      <c r="A696" s="46" t="s">
        <v>349</v>
      </c>
      <c r="B696" s="46" t="s">
        <v>457</v>
      </c>
      <c r="C696" s="47" t="s">
        <v>231</v>
      </c>
      <c r="D696" s="47" t="s">
        <v>231</v>
      </c>
      <c r="E696" s="47">
        <v>50081723</v>
      </c>
      <c r="F696" s="47" t="s">
        <v>55</v>
      </c>
      <c r="G696" s="46">
        <v>60000</v>
      </c>
      <c r="H696" s="47">
        <v>1.85</v>
      </c>
      <c r="I696" s="46">
        <f t="shared" si="97"/>
        <v>111000</v>
      </c>
      <c r="J696" s="46" t="s">
        <v>374</v>
      </c>
      <c r="K696" s="46"/>
      <c r="L696" s="46" t="s">
        <v>482</v>
      </c>
      <c r="M696" s="47">
        <v>25501578</v>
      </c>
      <c r="N696" s="48" t="s">
        <v>230</v>
      </c>
      <c r="O696" s="49">
        <v>46008</v>
      </c>
      <c r="P696" s="50">
        <v>2</v>
      </c>
      <c r="Q696" s="49">
        <v>46039</v>
      </c>
      <c r="R696" s="47" t="s">
        <v>463</v>
      </c>
      <c r="S696" s="51">
        <v>46029</v>
      </c>
      <c r="T696" s="47">
        <v>1</v>
      </c>
      <c r="U696" s="47">
        <v>1</v>
      </c>
      <c r="V696" s="47">
        <v>3</v>
      </c>
      <c r="W696" s="51">
        <f t="shared" si="98"/>
        <v>46034</v>
      </c>
      <c r="X696" s="60"/>
    </row>
    <row r="697" spans="1:24" hidden="1">
      <c r="A697" s="46" t="s">
        <v>349</v>
      </c>
      <c r="B697" s="46" t="s">
        <v>457</v>
      </c>
      <c r="C697" s="47" t="s">
        <v>231</v>
      </c>
      <c r="D697" s="47" t="s">
        <v>231</v>
      </c>
      <c r="E697" s="47">
        <v>50113649</v>
      </c>
      <c r="F697" s="47" t="s">
        <v>56</v>
      </c>
      <c r="G697" s="46">
        <v>60000</v>
      </c>
      <c r="H697" s="47">
        <v>1.3</v>
      </c>
      <c r="I697" s="46">
        <f t="shared" si="97"/>
        <v>78000</v>
      </c>
      <c r="J697" s="46" t="s">
        <v>374</v>
      </c>
      <c r="K697" s="46"/>
      <c r="L697" s="46" t="s">
        <v>482</v>
      </c>
      <c r="M697" s="47">
        <v>25501578</v>
      </c>
      <c r="N697" s="48" t="s">
        <v>230</v>
      </c>
      <c r="O697" s="49">
        <v>46008</v>
      </c>
      <c r="P697" s="50">
        <v>3</v>
      </c>
      <c r="Q697" s="49">
        <v>46039</v>
      </c>
      <c r="R697" s="47" t="s">
        <v>463</v>
      </c>
      <c r="S697" s="51">
        <v>46029</v>
      </c>
      <c r="T697" s="47">
        <v>1</v>
      </c>
      <c r="U697" s="47">
        <v>1</v>
      </c>
      <c r="V697" s="47">
        <v>3</v>
      </c>
      <c r="W697" s="51">
        <f t="shared" si="98"/>
        <v>46034</v>
      </c>
      <c r="X697" s="60"/>
    </row>
    <row r="698" spans="1:24" hidden="1">
      <c r="A698" s="46" t="s">
        <v>346</v>
      </c>
      <c r="B698" s="46" t="s">
        <v>456</v>
      </c>
      <c r="C698" s="47" t="s">
        <v>278</v>
      </c>
      <c r="D698" s="47" t="s">
        <v>278</v>
      </c>
      <c r="E698" s="47">
        <v>50114358</v>
      </c>
      <c r="F698" s="47" t="s">
        <v>60</v>
      </c>
      <c r="G698" s="46">
        <v>270000</v>
      </c>
      <c r="H698" s="47">
        <v>2.2000000000000002</v>
      </c>
      <c r="I698" s="46">
        <f t="shared" si="97"/>
        <v>594000</v>
      </c>
      <c r="J698" s="46" t="s">
        <v>374</v>
      </c>
      <c r="K698" s="46"/>
      <c r="L698" s="46" t="s">
        <v>482</v>
      </c>
      <c r="M698" s="47"/>
      <c r="N698" s="48"/>
      <c r="O698" s="49"/>
      <c r="P698" s="50"/>
      <c r="Q698" s="49"/>
      <c r="R698" s="47"/>
      <c r="S698" s="51"/>
      <c r="T698" s="47"/>
      <c r="U698" s="47"/>
      <c r="V698" s="47"/>
      <c r="W698" s="52"/>
      <c r="X698" s="59"/>
    </row>
    <row r="699" spans="1:24" hidden="1">
      <c r="A699" s="46" t="s">
        <v>346</v>
      </c>
      <c r="B699" s="46" t="s">
        <v>456</v>
      </c>
      <c r="C699" s="47" t="s">
        <v>278</v>
      </c>
      <c r="D699" s="47" t="s">
        <v>278</v>
      </c>
      <c r="E699" s="47">
        <v>50091672</v>
      </c>
      <c r="F699" s="47" t="s">
        <v>108</v>
      </c>
      <c r="G699" s="46">
        <v>80000</v>
      </c>
      <c r="H699" s="47">
        <v>3.4</v>
      </c>
      <c r="I699" s="46">
        <f t="shared" si="97"/>
        <v>272000</v>
      </c>
      <c r="J699" s="46" t="s">
        <v>374</v>
      </c>
      <c r="K699" s="46"/>
      <c r="L699" s="46" t="s">
        <v>482</v>
      </c>
      <c r="M699" s="47"/>
      <c r="N699" s="48"/>
      <c r="O699" s="49"/>
      <c r="P699" s="50"/>
      <c r="Q699" s="49"/>
      <c r="R699" s="47"/>
      <c r="S699" s="51"/>
      <c r="T699" s="47"/>
      <c r="U699" s="47"/>
      <c r="V699" s="47"/>
      <c r="W699" s="52"/>
      <c r="X699" s="59"/>
    </row>
    <row r="700" spans="1:24" hidden="1">
      <c r="A700" s="46" t="s">
        <v>346</v>
      </c>
      <c r="B700" s="46" t="s">
        <v>456</v>
      </c>
      <c r="C700" s="47" t="s">
        <v>278</v>
      </c>
      <c r="D700" s="47" t="s">
        <v>278</v>
      </c>
      <c r="E700" s="47">
        <v>50092554</v>
      </c>
      <c r="F700" s="47" t="s">
        <v>120</v>
      </c>
      <c r="G700" s="46">
        <v>35000</v>
      </c>
      <c r="H700" s="47">
        <v>4.2</v>
      </c>
      <c r="I700" s="46">
        <f t="shared" si="97"/>
        <v>147000</v>
      </c>
      <c r="J700" s="46" t="s">
        <v>374</v>
      </c>
      <c r="K700" s="46"/>
      <c r="L700" s="46" t="s">
        <v>482</v>
      </c>
      <c r="M700" s="47"/>
      <c r="N700" s="48"/>
      <c r="O700" s="49"/>
      <c r="P700" s="50"/>
      <c r="Q700" s="49"/>
      <c r="R700" s="47"/>
      <c r="S700" s="51"/>
      <c r="T700" s="47"/>
      <c r="U700" s="47"/>
      <c r="V700" s="47"/>
      <c r="W700" s="52"/>
      <c r="X700" s="59"/>
    </row>
    <row r="701" spans="1:24" hidden="1">
      <c r="A701" s="46" t="s">
        <v>346</v>
      </c>
      <c r="B701" s="46" t="s">
        <v>456</v>
      </c>
      <c r="C701" s="47" t="s">
        <v>278</v>
      </c>
      <c r="D701" s="47" t="s">
        <v>278</v>
      </c>
      <c r="E701" s="47">
        <v>50113858</v>
      </c>
      <c r="F701" s="47" t="s">
        <v>34</v>
      </c>
      <c r="G701" s="46">
        <v>350000</v>
      </c>
      <c r="H701" s="47">
        <v>1.5</v>
      </c>
      <c r="I701" s="46">
        <f t="shared" si="97"/>
        <v>525000</v>
      </c>
      <c r="J701" s="46" t="s">
        <v>374</v>
      </c>
      <c r="K701" s="46"/>
      <c r="L701" s="46" t="s">
        <v>482</v>
      </c>
      <c r="M701" s="47"/>
      <c r="N701" s="48"/>
      <c r="O701" s="49"/>
      <c r="P701" s="50"/>
      <c r="Q701" s="49"/>
      <c r="R701" s="47"/>
      <c r="S701" s="51"/>
      <c r="T701" s="47"/>
      <c r="U701" s="47"/>
      <c r="V701" s="47"/>
      <c r="W701" s="52"/>
      <c r="X701" s="59"/>
    </row>
    <row r="702" spans="1:24" hidden="1">
      <c r="A702" s="46" t="s">
        <v>346</v>
      </c>
      <c r="B702" s="46" t="s">
        <v>456</v>
      </c>
      <c r="C702" s="47" t="s">
        <v>278</v>
      </c>
      <c r="D702" s="47" t="s">
        <v>278</v>
      </c>
      <c r="E702" s="47">
        <v>50114341</v>
      </c>
      <c r="F702" s="47" t="s">
        <v>180</v>
      </c>
      <c r="G702" s="46">
        <v>350000</v>
      </c>
      <c r="H702" s="47">
        <v>1.2</v>
      </c>
      <c r="I702" s="46">
        <f t="shared" si="97"/>
        <v>420000</v>
      </c>
      <c r="J702" s="46" t="s">
        <v>374</v>
      </c>
      <c r="K702" s="46"/>
      <c r="L702" s="46" t="s">
        <v>482</v>
      </c>
      <c r="M702" s="47"/>
      <c r="N702" s="48"/>
      <c r="O702" s="49"/>
      <c r="P702" s="50"/>
      <c r="Q702" s="49"/>
      <c r="R702" s="47"/>
      <c r="S702" s="51"/>
      <c r="T702" s="47"/>
      <c r="U702" s="47"/>
      <c r="V702" s="47"/>
      <c r="W702" s="52"/>
      <c r="X702" s="59"/>
    </row>
    <row r="703" spans="1:24" hidden="1">
      <c r="A703" s="47" t="s">
        <v>346</v>
      </c>
      <c r="B703" s="46" t="s">
        <v>455</v>
      </c>
      <c r="C703" s="47" t="s">
        <v>7</v>
      </c>
      <c r="D703" s="47" t="s">
        <v>497</v>
      </c>
      <c r="E703" s="53">
        <v>50115966</v>
      </c>
      <c r="F703" s="47" t="s">
        <v>498</v>
      </c>
      <c r="G703" s="46">
        <v>6000</v>
      </c>
      <c r="H703" s="47">
        <v>11.43</v>
      </c>
      <c r="I703" s="46">
        <f t="shared" si="97"/>
        <v>68580</v>
      </c>
      <c r="J703" s="46" t="s">
        <v>374</v>
      </c>
      <c r="K703" s="46"/>
      <c r="L703" s="46"/>
      <c r="M703" s="47"/>
      <c r="N703" s="47"/>
      <c r="O703" s="47"/>
      <c r="P703" s="47"/>
      <c r="Q703" s="49"/>
      <c r="R703" s="47"/>
      <c r="S703" s="47"/>
      <c r="T703" s="47"/>
      <c r="U703" s="47"/>
      <c r="V703" s="47"/>
      <c r="W703" s="52"/>
      <c r="X703" s="59"/>
    </row>
    <row r="704" spans="1:24" hidden="1">
      <c r="A704" s="47" t="s">
        <v>346</v>
      </c>
      <c r="B704" s="46" t="s">
        <v>455</v>
      </c>
      <c r="C704" s="47" t="s">
        <v>7</v>
      </c>
      <c r="D704" s="47" t="s">
        <v>497</v>
      </c>
      <c r="E704" s="53">
        <v>50115972</v>
      </c>
      <c r="F704" s="47" t="s">
        <v>500</v>
      </c>
      <c r="G704" s="46">
        <v>5600</v>
      </c>
      <c r="H704" s="47">
        <v>5.85</v>
      </c>
      <c r="I704" s="46">
        <f t="shared" si="97"/>
        <v>32759.999999999996</v>
      </c>
      <c r="J704" s="46" t="s">
        <v>374</v>
      </c>
      <c r="K704" s="46"/>
      <c r="L704" s="46"/>
      <c r="M704" s="47"/>
      <c r="N704" s="47"/>
      <c r="O704" s="47"/>
      <c r="P704" s="47"/>
      <c r="Q704" s="49"/>
      <c r="R704" s="47"/>
      <c r="S704" s="47"/>
      <c r="T704" s="47"/>
      <c r="U704" s="47"/>
      <c r="V704" s="47"/>
      <c r="W704" s="52"/>
      <c r="X704" s="59"/>
    </row>
    <row r="705" spans="1:24" hidden="1">
      <c r="A705" s="47" t="s">
        <v>346</v>
      </c>
      <c r="B705" s="46" t="s">
        <v>455</v>
      </c>
      <c r="C705" s="47" t="s">
        <v>7</v>
      </c>
      <c r="D705" s="47" t="s">
        <v>19</v>
      </c>
      <c r="E705" s="53">
        <v>50115971</v>
      </c>
      <c r="F705" s="47" t="s">
        <v>502</v>
      </c>
      <c r="G705" s="46">
        <v>6000</v>
      </c>
      <c r="H705" s="47">
        <v>2.9</v>
      </c>
      <c r="I705" s="46">
        <f t="shared" si="97"/>
        <v>17400</v>
      </c>
      <c r="J705" s="46" t="s">
        <v>374</v>
      </c>
      <c r="K705" s="46"/>
      <c r="L705" s="46"/>
      <c r="M705" s="47"/>
      <c r="N705" s="47"/>
      <c r="O705" s="47"/>
      <c r="P705" s="47"/>
      <c r="Q705" s="49"/>
      <c r="R705" s="47"/>
      <c r="S705" s="47"/>
      <c r="T705" s="47"/>
      <c r="U705" s="47"/>
      <c r="V705" s="47"/>
      <c r="W705" s="52"/>
      <c r="X705" s="59"/>
    </row>
    <row r="706" spans="1:24" hidden="1">
      <c r="A706" s="47" t="s">
        <v>346</v>
      </c>
      <c r="B706" s="46" t="s">
        <v>457</v>
      </c>
      <c r="C706" s="47" t="s">
        <v>397</v>
      </c>
      <c r="D706" s="47" t="str">
        <f t="shared" ref="D706" si="99">C706</f>
        <v>Lupin Limited</v>
      </c>
      <c r="E706" s="53">
        <v>50091631</v>
      </c>
      <c r="F706" s="47" t="s">
        <v>476</v>
      </c>
      <c r="G706" s="46">
        <v>61450</v>
      </c>
      <c r="H706" s="47">
        <v>3.54</v>
      </c>
      <c r="I706" s="46">
        <f t="shared" si="97"/>
        <v>217533</v>
      </c>
      <c r="J706" s="47" t="s">
        <v>374</v>
      </c>
      <c r="K706" s="47"/>
      <c r="L706" s="47"/>
      <c r="M706" s="47"/>
      <c r="N706" s="47"/>
      <c r="O706" s="47"/>
      <c r="P706" s="47"/>
      <c r="Q706" s="49"/>
      <c r="R706" s="47"/>
      <c r="S706" s="47"/>
      <c r="T706" s="47"/>
      <c r="U706" s="47"/>
      <c r="V706" s="47"/>
      <c r="W706" s="52"/>
      <c r="X706" s="59"/>
    </row>
    <row r="707" spans="1:24" hidden="1">
      <c r="A707" s="46" t="s">
        <v>346</v>
      </c>
      <c r="B707" s="46" t="s">
        <v>457</v>
      </c>
      <c r="C707" s="47" t="s">
        <v>223</v>
      </c>
      <c r="D707" s="47" t="s">
        <v>223</v>
      </c>
      <c r="E707" s="47">
        <v>50111528</v>
      </c>
      <c r="F707" s="47" t="s">
        <v>38</v>
      </c>
      <c r="G707" s="46">
        <v>60500</v>
      </c>
      <c r="H707" s="47">
        <v>1.76</v>
      </c>
      <c r="I707" s="46">
        <f t="shared" si="97"/>
        <v>106480</v>
      </c>
      <c r="J707" s="46" t="s">
        <v>374</v>
      </c>
      <c r="K707" s="46"/>
      <c r="L707" s="46" t="s">
        <v>482</v>
      </c>
      <c r="M707" s="47"/>
      <c r="N707" s="48"/>
      <c r="O707" s="49"/>
      <c r="P707" s="50"/>
      <c r="Q707" s="49"/>
      <c r="R707" s="47"/>
      <c r="S707" s="47"/>
      <c r="T707" s="47"/>
      <c r="U707" s="47"/>
      <c r="V707" s="47"/>
      <c r="W707" s="52"/>
      <c r="X707" s="59"/>
    </row>
    <row r="708" spans="1:24" hidden="1">
      <c r="A708" s="46" t="s">
        <v>346</v>
      </c>
      <c r="B708" s="46" t="s">
        <v>457</v>
      </c>
      <c r="C708" s="47" t="s">
        <v>223</v>
      </c>
      <c r="D708" s="47" t="s">
        <v>223</v>
      </c>
      <c r="E708" s="47">
        <v>50111939</v>
      </c>
      <c r="F708" s="47" t="s">
        <v>39</v>
      </c>
      <c r="G708" s="46">
        <v>120250</v>
      </c>
      <c r="H708" s="47">
        <v>0.13</v>
      </c>
      <c r="I708" s="46">
        <f t="shared" si="97"/>
        <v>15632.5</v>
      </c>
      <c r="J708" s="46" t="s">
        <v>374</v>
      </c>
      <c r="K708" s="46"/>
      <c r="L708" s="46" t="s">
        <v>482</v>
      </c>
      <c r="M708" s="47"/>
      <c r="N708" s="48"/>
      <c r="O708" s="49"/>
      <c r="P708" s="50"/>
      <c r="Q708" s="49"/>
      <c r="R708" s="47"/>
      <c r="S708" s="47"/>
      <c r="T708" s="47"/>
      <c r="U708" s="47"/>
      <c r="V708" s="47"/>
      <c r="W708" s="52"/>
      <c r="X708" s="59"/>
    </row>
    <row r="709" spans="1:24" hidden="1">
      <c r="A709" s="46" t="s">
        <v>346</v>
      </c>
      <c r="B709" s="46" t="s">
        <v>457</v>
      </c>
      <c r="C709" s="47" t="s">
        <v>223</v>
      </c>
      <c r="D709" s="47" t="s">
        <v>223</v>
      </c>
      <c r="E709" s="47">
        <v>50081808</v>
      </c>
      <c r="F709" s="47" t="s">
        <v>23</v>
      </c>
      <c r="G709" s="46">
        <v>60500</v>
      </c>
      <c r="H709" s="47">
        <v>0.43</v>
      </c>
      <c r="I709" s="46">
        <f t="shared" si="97"/>
        <v>26015</v>
      </c>
      <c r="J709" s="46" t="s">
        <v>374</v>
      </c>
      <c r="K709" s="46"/>
      <c r="L709" s="46" t="s">
        <v>482</v>
      </c>
      <c r="M709" s="47"/>
      <c r="N709" s="48"/>
      <c r="O709" s="49"/>
      <c r="P709" s="50"/>
      <c r="Q709" s="49"/>
      <c r="R709" s="47"/>
      <c r="S709" s="47"/>
      <c r="T709" s="47"/>
      <c r="U709" s="47"/>
      <c r="V709" s="47"/>
      <c r="W709" s="52"/>
      <c r="X709" s="59"/>
    </row>
    <row r="710" spans="1:24" hidden="1">
      <c r="A710" s="46" t="s">
        <v>347</v>
      </c>
      <c r="B710" s="46" t="s">
        <v>457</v>
      </c>
      <c r="C710" s="47" t="s">
        <v>102</v>
      </c>
      <c r="D710" s="47" t="s">
        <v>102</v>
      </c>
      <c r="E710" s="47">
        <v>50110012</v>
      </c>
      <c r="F710" s="47" t="s">
        <v>103</v>
      </c>
      <c r="G710" s="46">
        <v>650000</v>
      </c>
      <c r="H710" s="47">
        <v>2.76</v>
      </c>
      <c r="I710" s="46">
        <f t="shared" si="97"/>
        <v>1793999.9999999998</v>
      </c>
      <c r="J710" s="46" t="s">
        <v>374</v>
      </c>
      <c r="K710" s="46"/>
      <c r="L710" s="46" t="s">
        <v>482</v>
      </c>
      <c r="M710" s="47">
        <v>25501225</v>
      </c>
      <c r="N710" s="48">
        <v>4100308171</v>
      </c>
      <c r="O710" s="49">
        <v>45957</v>
      </c>
      <c r="P710" s="50">
        <v>1</v>
      </c>
      <c r="Q710" s="49">
        <v>46011</v>
      </c>
      <c r="R710" s="47"/>
      <c r="S710" s="52">
        <v>46033</v>
      </c>
      <c r="T710" s="47">
        <v>1</v>
      </c>
      <c r="U710" s="47">
        <v>1</v>
      </c>
      <c r="V710" s="47"/>
      <c r="W710" s="52">
        <f t="shared" ref="W710" si="100">S710+T710+U710</f>
        <v>46035</v>
      </c>
      <c r="X710" s="59"/>
    </row>
    <row r="711" spans="1:24" hidden="1">
      <c r="A711" s="46" t="s">
        <v>351</v>
      </c>
      <c r="B711" s="46"/>
      <c r="C711" s="47" t="s">
        <v>2727</v>
      </c>
      <c r="D711" s="47" t="s">
        <v>2727</v>
      </c>
      <c r="E711" s="47">
        <v>50081462</v>
      </c>
      <c r="F711" s="47" t="s">
        <v>205</v>
      </c>
      <c r="G711" s="46">
        <v>10000</v>
      </c>
      <c r="H711" s="47">
        <v>1.7</v>
      </c>
      <c r="I711" s="46">
        <f t="shared" ref="I711:I715" si="101">G711*H711</f>
        <v>17000</v>
      </c>
      <c r="J711" s="46" t="s">
        <v>374</v>
      </c>
      <c r="K711" s="46"/>
      <c r="L711" s="46"/>
      <c r="M711" s="47"/>
      <c r="N711" s="48"/>
      <c r="O711" s="49"/>
      <c r="P711" s="50"/>
      <c r="Q711" s="49"/>
      <c r="R711" s="47"/>
      <c r="S711" s="52"/>
      <c r="T711" s="47"/>
      <c r="U711" s="47"/>
      <c r="V711" s="47"/>
      <c r="W711" s="52"/>
      <c r="X711" s="59"/>
    </row>
    <row r="712" spans="1:24" hidden="1">
      <c r="A712" s="46" t="s">
        <v>351</v>
      </c>
      <c r="B712" s="46"/>
      <c r="C712" s="47" t="s">
        <v>2727</v>
      </c>
      <c r="D712" s="47" t="s">
        <v>2727</v>
      </c>
      <c r="E712" s="47">
        <v>50111832</v>
      </c>
      <c r="F712" s="47" t="s">
        <v>1596</v>
      </c>
      <c r="G712" s="46">
        <v>10000</v>
      </c>
      <c r="H712" s="47">
        <v>1.84</v>
      </c>
      <c r="I712" s="46">
        <f t="shared" si="101"/>
        <v>18400</v>
      </c>
      <c r="J712" s="46" t="s">
        <v>374</v>
      </c>
      <c r="K712" s="46"/>
      <c r="L712" s="46"/>
      <c r="M712" s="47"/>
      <c r="N712" s="48"/>
      <c r="O712" s="49"/>
      <c r="P712" s="50"/>
      <c r="Q712" s="49"/>
      <c r="R712" s="47"/>
      <c r="S712" s="52"/>
      <c r="T712" s="47"/>
      <c r="U712" s="47"/>
      <c r="V712" s="47"/>
      <c r="W712" s="52"/>
      <c r="X712" s="59"/>
    </row>
    <row r="713" spans="1:24" hidden="1">
      <c r="A713" s="46" t="s">
        <v>351</v>
      </c>
      <c r="B713" s="46"/>
      <c r="C713" s="47" t="s">
        <v>2727</v>
      </c>
      <c r="D713" s="47" t="s">
        <v>2727</v>
      </c>
      <c r="E713" s="47">
        <v>50082011</v>
      </c>
      <c r="F713" s="47" t="s">
        <v>154</v>
      </c>
      <c r="G713" s="46">
        <v>20000</v>
      </c>
      <c r="H713" s="47">
        <v>0.46</v>
      </c>
      <c r="I713" s="46">
        <f t="shared" si="101"/>
        <v>9200</v>
      </c>
      <c r="J713" s="46" t="s">
        <v>374</v>
      </c>
      <c r="K713" s="46"/>
      <c r="L713" s="46"/>
      <c r="M713" s="47"/>
      <c r="N713" s="48"/>
      <c r="O713" s="49"/>
      <c r="P713" s="50"/>
      <c r="Q713" s="49"/>
      <c r="R713" s="47"/>
      <c r="S713" s="52"/>
      <c r="T713" s="47"/>
      <c r="U713" s="47"/>
      <c r="V713" s="47"/>
      <c r="W713" s="52"/>
      <c r="X713" s="59"/>
    </row>
    <row r="714" spans="1:24" hidden="1">
      <c r="A714" s="46" t="s">
        <v>351</v>
      </c>
      <c r="B714" s="46"/>
      <c r="C714" s="47" t="s">
        <v>2727</v>
      </c>
      <c r="D714" s="47" t="s">
        <v>2727</v>
      </c>
      <c r="E714" s="47">
        <v>50105010</v>
      </c>
      <c r="F714" s="47" t="s">
        <v>155</v>
      </c>
      <c r="G714" s="46">
        <v>20000</v>
      </c>
      <c r="H714" s="47">
        <v>0.2</v>
      </c>
      <c r="I714" s="46">
        <f t="shared" si="101"/>
        <v>4000</v>
      </c>
      <c r="J714" s="46" t="s">
        <v>374</v>
      </c>
      <c r="K714" s="46"/>
      <c r="L714" s="46"/>
      <c r="M714" s="47"/>
      <c r="N714" s="48"/>
      <c r="O714" s="49"/>
      <c r="P714" s="50"/>
      <c r="Q714" s="49"/>
      <c r="R714" s="47"/>
      <c r="S714" s="52"/>
      <c r="T714" s="47"/>
      <c r="U714" s="47"/>
      <c r="V714" s="47"/>
      <c r="W714" s="52"/>
      <c r="X714" s="59"/>
    </row>
    <row r="715" spans="1:24" hidden="1">
      <c r="A715" s="47" t="s">
        <v>347</v>
      </c>
      <c r="B715" s="46" t="s">
        <v>455</v>
      </c>
      <c r="C715" s="47" t="s">
        <v>391</v>
      </c>
      <c r="D715" s="47" t="str">
        <f>C715</f>
        <v>MYLAN LABORATORIES LTD - NASHIK</v>
      </c>
      <c r="E715" s="53">
        <v>50102170</v>
      </c>
      <c r="F715" s="47" t="s">
        <v>240</v>
      </c>
      <c r="G715" s="46">
        <v>85000</v>
      </c>
      <c r="H715" s="47">
        <v>2.75</v>
      </c>
      <c r="I715" s="46">
        <f t="shared" si="101"/>
        <v>233750</v>
      </c>
      <c r="J715" s="47" t="s">
        <v>374</v>
      </c>
      <c r="K715" s="47"/>
      <c r="L715" s="47"/>
      <c r="M715" s="47"/>
      <c r="N715" s="47"/>
      <c r="O715" s="47"/>
      <c r="P715" s="47"/>
      <c r="Q715" s="49"/>
      <c r="R715" s="47" t="s">
        <v>495</v>
      </c>
      <c r="S715" s="52">
        <v>46028</v>
      </c>
      <c r="T715" s="47">
        <v>1</v>
      </c>
      <c r="U715" s="47">
        <v>1</v>
      </c>
      <c r="V715" s="47"/>
      <c r="W715" s="52">
        <f t="shared" ref="W715" si="102">S715+T715+U715</f>
        <v>46030</v>
      </c>
      <c r="X715" s="59"/>
    </row>
    <row r="716" spans="1:24">
      <c r="A716" s="47" t="s">
        <v>351</v>
      </c>
      <c r="B716" s="46" t="s">
        <v>460</v>
      </c>
      <c r="C716" s="47" t="s">
        <v>185</v>
      </c>
      <c r="D716" s="47" t="s">
        <v>186</v>
      </c>
      <c r="E716" s="53">
        <v>50114370</v>
      </c>
      <c r="F716" s="47" t="s">
        <v>146</v>
      </c>
      <c r="G716" s="46">
        <v>36000</v>
      </c>
      <c r="H716" s="47">
        <v>1.47</v>
      </c>
      <c r="I716" s="46">
        <f t="shared" ref="I716:I729" si="103">G716*H716</f>
        <v>52920</v>
      </c>
      <c r="J716" s="47" t="s">
        <v>374</v>
      </c>
      <c r="K716" s="47"/>
      <c r="L716" s="47"/>
      <c r="M716" s="47"/>
      <c r="N716" s="47"/>
      <c r="O716" s="47"/>
      <c r="P716" s="47"/>
      <c r="Q716" s="49"/>
      <c r="R716" s="47"/>
      <c r="S716" s="52"/>
      <c r="T716" s="47"/>
      <c r="U716" s="47"/>
      <c r="V716" s="47"/>
      <c r="W716" s="52"/>
      <c r="X716" s="59"/>
    </row>
    <row r="717" spans="1:24">
      <c r="A717" s="47" t="s">
        <v>351</v>
      </c>
      <c r="B717" s="46" t="s">
        <v>460</v>
      </c>
      <c r="C717" s="47" t="s">
        <v>185</v>
      </c>
      <c r="D717" s="47" t="s">
        <v>186</v>
      </c>
      <c r="E717" s="53">
        <v>50112207</v>
      </c>
      <c r="F717" s="47" t="s">
        <v>2537</v>
      </c>
      <c r="G717" s="46">
        <v>36000</v>
      </c>
      <c r="H717" s="47">
        <v>0.9</v>
      </c>
      <c r="I717" s="46">
        <f t="shared" si="103"/>
        <v>32400</v>
      </c>
      <c r="J717" s="47" t="s">
        <v>374</v>
      </c>
      <c r="K717" s="47"/>
      <c r="L717" s="47"/>
      <c r="M717" s="47"/>
      <c r="N717" s="47"/>
      <c r="O717" s="47"/>
      <c r="P717" s="47"/>
      <c r="Q717" s="49"/>
      <c r="R717" s="47"/>
      <c r="S717" s="52"/>
      <c r="T717" s="47"/>
      <c r="U717" s="47"/>
      <c r="V717" s="47"/>
      <c r="W717" s="52"/>
      <c r="X717" s="59"/>
    </row>
    <row r="718" spans="1:24">
      <c r="A718" s="47" t="s">
        <v>351</v>
      </c>
      <c r="B718" s="46" t="s">
        <v>460</v>
      </c>
      <c r="C718" s="47" t="s">
        <v>185</v>
      </c>
      <c r="D718" s="47" t="s">
        <v>186</v>
      </c>
      <c r="E718" s="53">
        <v>50081947</v>
      </c>
      <c r="F718" s="47" t="s">
        <v>148</v>
      </c>
      <c r="G718" s="46">
        <v>40000</v>
      </c>
      <c r="H718" s="47">
        <v>0.33</v>
      </c>
      <c r="I718" s="46">
        <f t="shared" si="103"/>
        <v>13200</v>
      </c>
      <c r="J718" s="47" t="s">
        <v>374</v>
      </c>
      <c r="K718" s="47"/>
      <c r="L718" s="47"/>
      <c r="M718" s="47"/>
      <c r="N718" s="47"/>
      <c r="O718" s="47"/>
      <c r="P718" s="47"/>
      <c r="Q718" s="49"/>
      <c r="R718" s="47"/>
      <c r="S718" s="52"/>
      <c r="T718" s="47"/>
      <c r="U718" s="47"/>
      <c r="V718" s="47"/>
      <c r="W718" s="52"/>
      <c r="X718" s="59"/>
    </row>
    <row r="719" spans="1:24">
      <c r="A719" s="47" t="s">
        <v>351</v>
      </c>
      <c r="B719" s="46" t="s">
        <v>460</v>
      </c>
      <c r="C719" s="47" t="s">
        <v>185</v>
      </c>
      <c r="D719" s="47" t="s">
        <v>186</v>
      </c>
      <c r="E719" s="53">
        <v>50114367</v>
      </c>
      <c r="F719" s="47" t="s">
        <v>82</v>
      </c>
      <c r="G719" s="46">
        <v>160000</v>
      </c>
      <c r="H719" s="47">
        <v>1.79</v>
      </c>
      <c r="I719" s="46">
        <f t="shared" si="103"/>
        <v>286400</v>
      </c>
      <c r="J719" s="47" t="s">
        <v>374</v>
      </c>
      <c r="K719" s="47"/>
      <c r="L719" s="47"/>
      <c r="M719" s="47"/>
      <c r="N719" s="47"/>
      <c r="O719" s="47"/>
      <c r="P719" s="47"/>
      <c r="Q719" s="49"/>
      <c r="R719" s="47"/>
      <c r="S719" s="52"/>
      <c r="T719" s="47"/>
      <c r="U719" s="47"/>
      <c r="V719" s="47"/>
      <c r="W719" s="52"/>
      <c r="X719" s="59"/>
    </row>
    <row r="720" spans="1:24">
      <c r="A720" s="47" t="s">
        <v>351</v>
      </c>
      <c r="B720" s="46" t="s">
        <v>460</v>
      </c>
      <c r="C720" s="47" t="s">
        <v>185</v>
      </c>
      <c r="D720" s="47" t="s">
        <v>186</v>
      </c>
      <c r="E720" s="53">
        <v>50114341</v>
      </c>
      <c r="F720" s="47" t="s">
        <v>180</v>
      </c>
      <c r="G720" s="46">
        <v>160000</v>
      </c>
      <c r="H720" s="47">
        <v>0.56000000000000005</v>
      </c>
      <c r="I720" s="46">
        <f t="shared" si="103"/>
        <v>89600.000000000015</v>
      </c>
      <c r="J720" s="47" t="s">
        <v>374</v>
      </c>
      <c r="K720" s="47"/>
      <c r="L720" s="47"/>
      <c r="M720" s="47"/>
      <c r="N720" s="47"/>
      <c r="O720" s="47"/>
      <c r="P720" s="47"/>
      <c r="Q720" s="49"/>
      <c r="R720" s="47"/>
      <c r="S720" s="52"/>
      <c r="T720" s="47"/>
      <c r="U720" s="47"/>
      <c r="V720" s="47"/>
      <c r="W720" s="52"/>
      <c r="X720" s="59"/>
    </row>
    <row r="721" spans="1:24" hidden="1">
      <c r="A721" s="47" t="s">
        <v>347</v>
      </c>
      <c r="B721" s="46" t="s">
        <v>457</v>
      </c>
      <c r="C721" s="47" t="s">
        <v>397</v>
      </c>
      <c r="D721" s="47" t="str">
        <f>C721</f>
        <v>Lupin Limited</v>
      </c>
      <c r="E721" s="53">
        <v>50110017</v>
      </c>
      <c r="F721" s="47" t="s">
        <v>255</v>
      </c>
      <c r="G721" s="46">
        <v>300000</v>
      </c>
      <c r="H721" s="47">
        <v>2.86</v>
      </c>
      <c r="I721" s="46">
        <f t="shared" si="103"/>
        <v>858000</v>
      </c>
      <c r="J721" s="47" t="s">
        <v>374</v>
      </c>
      <c r="K721" s="47"/>
      <c r="L721" s="47"/>
      <c r="M721" s="47"/>
      <c r="N721" s="47"/>
      <c r="O721" s="47"/>
      <c r="P721" s="47"/>
      <c r="Q721" s="49"/>
      <c r="R721" s="47" t="s">
        <v>495</v>
      </c>
      <c r="S721" s="52">
        <v>46028</v>
      </c>
      <c r="T721" s="47">
        <v>1</v>
      </c>
      <c r="U721" s="47">
        <v>1</v>
      </c>
      <c r="V721" s="47"/>
      <c r="W721" s="52">
        <f t="shared" ref="W721:W722" si="104">S721+T721+U721</f>
        <v>46030</v>
      </c>
      <c r="X721" s="59"/>
    </row>
    <row r="722" spans="1:24" hidden="1">
      <c r="A722" s="46" t="s">
        <v>347</v>
      </c>
      <c r="B722" s="46" t="s">
        <v>457</v>
      </c>
      <c r="C722" s="47" t="s">
        <v>242</v>
      </c>
      <c r="D722" s="47" t="s">
        <v>242</v>
      </c>
      <c r="E722" s="47">
        <v>50110013</v>
      </c>
      <c r="F722" s="47" t="s">
        <v>178</v>
      </c>
      <c r="G722" s="46">
        <v>600000</v>
      </c>
      <c r="H722" s="47">
        <v>2.2000000000000002</v>
      </c>
      <c r="I722" s="46">
        <f t="shared" si="103"/>
        <v>1320000</v>
      </c>
      <c r="J722" s="46" t="s">
        <v>374</v>
      </c>
      <c r="K722" s="46">
        <v>600000</v>
      </c>
      <c r="L722" s="46"/>
      <c r="M722" s="47">
        <v>25501627</v>
      </c>
      <c r="N722" s="48">
        <v>4140000451</v>
      </c>
      <c r="O722" s="49">
        <v>46013</v>
      </c>
      <c r="P722" s="50">
        <v>1</v>
      </c>
      <c r="Q722" s="49">
        <v>46048</v>
      </c>
      <c r="R722" s="47"/>
      <c r="S722" s="52">
        <v>46038</v>
      </c>
      <c r="T722" s="47">
        <v>1</v>
      </c>
      <c r="U722" s="47">
        <v>1</v>
      </c>
      <c r="V722" s="47"/>
      <c r="W722" s="52">
        <f t="shared" si="104"/>
        <v>46040</v>
      </c>
      <c r="X722" s="59"/>
    </row>
    <row r="723" spans="1:24" hidden="1">
      <c r="A723" s="47" t="s">
        <v>347</v>
      </c>
      <c r="B723" s="46" t="s">
        <v>457</v>
      </c>
      <c r="C723" s="47" t="s">
        <v>397</v>
      </c>
      <c r="D723" s="47" t="str">
        <f>C723</f>
        <v>Lupin Limited</v>
      </c>
      <c r="E723" s="53">
        <v>50110017</v>
      </c>
      <c r="F723" s="47" t="s">
        <v>255</v>
      </c>
      <c r="G723" s="46">
        <v>300000</v>
      </c>
      <c r="H723" s="47">
        <v>2.86</v>
      </c>
      <c r="I723" s="46">
        <f t="shared" ref="I723" si="105">G723*H723</f>
        <v>858000</v>
      </c>
      <c r="J723" s="47" t="s">
        <v>374</v>
      </c>
      <c r="K723" s="47"/>
      <c r="L723" s="47"/>
      <c r="M723" s="47"/>
      <c r="N723" s="47"/>
      <c r="O723" s="47"/>
      <c r="P723" s="47"/>
      <c r="Q723" s="49"/>
      <c r="R723" s="47" t="s">
        <v>495</v>
      </c>
      <c r="S723" s="52">
        <v>46028</v>
      </c>
      <c r="T723" s="47">
        <v>1</v>
      </c>
      <c r="U723" s="47">
        <v>1</v>
      </c>
      <c r="V723" s="47"/>
      <c r="W723" s="52">
        <f t="shared" ref="W723" si="106">S723+T723+U723</f>
        <v>46030</v>
      </c>
      <c r="X723" s="59"/>
    </row>
    <row r="724" spans="1:24">
      <c r="A724" s="47" t="s">
        <v>351</v>
      </c>
      <c r="B724" s="46" t="s">
        <v>460</v>
      </c>
      <c r="C724" s="47" t="s">
        <v>186</v>
      </c>
      <c r="D724" s="47" t="s">
        <v>186</v>
      </c>
      <c r="E724" s="53">
        <v>50114367</v>
      </c>
      <c r="F724" s="47" t="s">
        <v>82</v>
      </c>
      <c r="G724" s="46">
        <v>39000</v>
      </c>
      <c r="H724" s="47">
        <v>1.79</v>
      </c>
      <c r="I724" s="46">
        <f t="shared" si="103"/>
        <v>69810</v>
      </c>
      <c r="J724" s="47" t="s">
        <v>374</v>
      </c>
      <c r="K724" s="47"/>
      <c r="L724" s="47"/>
      <c r="M724" s="47"/>
      <c r="N724" s="47"/>
      <c r="O724" s="47"/>
      <c r="P724" s="47"/>
      <c r="Q724" s="49"/>
      <c r="R724" s="47"/>
      <c r="S724" s="52"/>
      <c r="T724" s="47"/>
      <c r="U724" s="47"/>
      <c r="V724" s="47"/>
      <c r="W724" s="52"/>
      <c r="X724" s="59"/>
    </row>
    <row r="725" spans="1:24">
      <c r="A725" s="47" t="s">
        <v>351</v>
      </c>
      <c r="B725" s="46" t="s">
        <v>460</v>
      </c>
      <c r="C725" s="47" t="s">
        <v>186</v>
      </c>
      <c r="D725" s="47" t="s">
        <v>186</v>
      </c>
      <c r="E725" s="53">
        <v>50081670</v>
      </c>
      <c r="F725" s="47" t="s">
        <v>30</v>
      </c>
      <c r="G725" s="46">
        <v>190000</v>
      </c>
      <c r="H725" s="47">
        <v>1.44</v>
      </c>
      <c r="I725" s="46">
        <f t="shared" si="103"/>
        <v>273600</v>
      </c>
      <c r="J725" s="47" t="s">
        <v>374</v>
      </c>
      <c r="K725" s="47"/>
      <c r="L725" s="47"/>
      <c r="M725" s="47"/>
      <c r="N725" s="47"/>
      <c r="O725" s="47"/>
      <c r="P725" s="47"/>
      <c r="Q725" s="49"/>
      <c r="R725" s="47"/>
      <c r="S725" s="52"/>
      <c r="T725" s="47"/>
      <c r="U725" s="47"/>
      <c r="V725" s="47"/>
      <c r="W725" s="52"/>
      <c r="X725" s="59"/>
    </row>
    <row r="726" spans="1:24">
      <c r="A726" s="47" t="s">
        <v>351</v>
      </c>
      <c r="B726" s="46" t="s">
        <v>460</v>
      </c>
      <c r="C726" s="47" t="s">
        <v>186</v>
      </c>
      <c r="D726" s="47" t="s">
        <v>186</v>
      </c>
      <c r="E726" s="53">
        <v>50114341</v>
      </c>
      <c r="F726" s="47" t="s">
        <v>180</v>
      </c>
      <c r="G726" s="46">
        <v>54000</v>
      </c>
      <c r="H726" s="47">
        <v>0.56000000000000005</v>
      </c>
      <c r="I726" s="46">
        <f t="shared" si="103"/>
        <v>30240.000000000004</v>
      </c>
      <c r="J726" s="47" t="s">
        <v>374</v>
      </c>
      <c r="K726" s="47"/>
      <c r="L726" s="47"/>
      <c r="M726" s="47"/>
      <c r="N726" s="47"/>
      <c r="O726" s="47"/>
      <c r="P726" s="47"/>
      <c r="Q726" s="49"/>
      <c r="R726" s="47"/>
      <c r="S726" s="52"/>
      <c r="T726" s="47"/>
      <c r="U726" s="47"/>
      <c r="V726" s="47"/>
      <c r="W726" s="52"/>
      <c r="X726" s="59"/>
    </row>
    <row r="727" spans="1:24" hidden="1">
      <c r="A727" s="46" t="s">
        <v>349</v>
      </c>
      <c r="B727" s="46" t="s">
        <v>460</v>
      </c>
      <c r="C727" s="47" t="s">
        <v>2788</v>
      </c>
      <c r="D727" s="47" t="s">
        <v>2788</v>
      </c>
      <c r="E727" s="47">
        <v>50114367</v>
      </c>
      <c r="F727" s="47" t="s">
        <v>82</v>
      </c>
      <c r="G727" s="46">
        <v>250000</v>
      </c>
      <c r="H727" s="47">
        <v>1.46</v>
      </c>
      <c r="I727" s="46">
        <f t="shared" si="103"/>
        <v>365000</v>
      </c>
      <c r="J727" s="46" t="s">
        <v>374</v>
      </c>
      <c r="K727" s="46"/>
      <c r="L727" s="46"/>
      <c r="M727" s="47"/>
      <c r="N727" s="48"/>
      <c r="O727" s="49"/>
      <c r="P727" s="50"/>
      <c r="Q727" s="49"/>
      <c r="R727" s="47"/>
      <c r="S727" s="51"/>
      <c r="T727" s="47"/>
      <c r="U727" s="47"/>
      <c r="V727" s="47"/>
      <c r="W727" s="51"/>
      <c r="X727" s="60"/>
    </row>
    <row r="728" spans="1:24" hidden="1">
      <c r="A728" s="46" t="s">
        <v>349</v>
      </c>
      <c r="B728" s="46" t="s">
        <v>460</v>
      </c>
      <c r="C728" s="47" t="s">
        <v>2788</v>
      </c>
      <c r="D728" s="47" t="s">
        <v>2788</v>
      </c>
      <c r="E728" s="47">
        <v>50081723</v>
      </c>
      <c r="F728" s="47" t="s">
        <v>55</v>
      </c>
      <c r="G728" s="46">
        <v>200000</v>
      </c>
      <c r="H728" s="47">
        <v>1.1299999999999999</v>
      </c>
      <c r="I728" s="46">
        <f t="shared" si="103"/>
        <v>225999.99999999997</v>
      </c>
      <c r="J728" s="46" t="s">
        <v>374</v>
      </c>
      <c r="K728" s="46"/>
      <c r="L728" s="46"/>
      <c r="M728" s="47"/>
      <c r="N728" s="48"/>
      <c r="O728" s="49"/>
      <c r="P728" s="50"/>
      <c r="Q728" s="49"/>
      <c r="R728" s="47"/>
      <c r="S728" s="51"/>
      <c r="T728" s="47"/>
      <c r="U728" s="47"/>
      <c r="V728" s="47"/>
      <c r="W728" s="51"/>
      <c r="X728" s="60"/>
    </row>
    <row r="729" spans="1:24" hidden="1">
      <c r="A729" s="46" t="s">
        <v>349</v>
      </c>
      <c r="B729" s="46" t="s">
        <v>460</v>
      </c>
      <c r="C729" s="47" t="s">
        <v>2788</v>
      </c>
      <c r="D729" s="47" t="s">
        <v>2788</v>
      </c>
      <c r="E729" s="47">
        <v>50081938</v>
      </c>
      <c r="F729" s="47" t="s">
        <v>31</v>
      </c>
      <c r="G729" s="46">
        <v>250000</v>
      </c>
      <c r="H729" s="47">
        <v>0.44</v>
      </c>
      <c r="I729" s="46">
        <f t="shared" si="103"/>
        <v>110000</v>
      </c>
      <c r="J729" s="46" t="s">
        <v>374</v>
      </c>
      <c r="K729" s="46"/>
      <c r="L729" s="46"/>
      <c r="M729" s="47"/>
      <c r="N729" s="48"/>
      <c r="O729" s="49"/>
      <c r="P729" s="50"/>
      <c r="Q729" s="49"/>
      <c r="R729" s="47"/>
      <c r="S729" s="51"/>
      <c r="T729" s="47"/>
      <c r="U729" s="47"/>
      <c r="V729" s="47"/>
      <c r="W729" s="51"/>
      <c r="X729" s="60"/>
    </row>
    <row r="730" spans="1:24" hidden="1">
      <c r="A730" s="46" t="s">
        <v>351</v>
      </c>
      <c r="B730" s="46" t="s">
        <v>457</v>
      </c>
      <c r="C730" s="47" t="s">
        <v>86</v>
      </c>
      <c r="D730" s="47" t="s">
        <v>86</v>
      </c>
      <c r="E730" s="47">
        <v>50114373</v>
      </c>
      <c r="F730" s="47" t="s">
        <v>2621</v>
      </c>
      <c r="G730" s="46">
        <v>75000</v>
      </c>
      <c r="H730" s="47">
        <v>2.2799999999999998</v>
      </c>
      <c r="I730" s="46">
        <f t="shared" ref="I730:I732" si="107">G730*H730</f>
        <v>170999.99999999997</v>
      </c>
      <c r="J730" s="46" t="s">
        <v>374</v>
      </c>
      <c r="K730" s="46"/>
      <c r="L730" s="46"/>
      <c r="M730" s="47"/>
      <c r="N730" s="48"/>
      <c r="O730" s="49"/>
      <c r="P730" s="50"/>
      <c r="Q730" s="49"/>
      <c r="R730" s="47"/>
      <c r="S730" s="51"/>
      <c r="T730" s="47"/>
      <c r="U730" s="47"/>
      <c r="V730" s="47"/>
      <c r="W730" s="51"/>
      <c r="X730" s="60"/>
    </row>
    <row r="731" spans="1:24" hidden="1">
      <c r="A731" s="46" t="s">
        <v>351</v>
      </c>
      <c r="B731" s="46" t="s">
        <v>457</v>
      </c>
      <c r="C731" s="47" t="s">
        <v>86</v>
      </c>
      <c r="D731" s="47" t="s">
        <v>86</v>
      </c>
      <c r="E731" s="47">
        <v>50081986</v>
      </c>
      <c r="F731" s="47" t="s">
        <v>2115</v>
      </c>
      <c r="G731" s="46">
        <v>55000</v>
      </c>
      <c r="H731" s="47">
        <v>2.38</v>
      </c>
      <c r="I731" s="46">
        <f t="shared" si="107"/>
        <v>130900</v>
      </c>
      <c r="J731" s="46" t="s">
        <v>374</v>
      </c>
      <c r="K731" s="46"/>
      <c r="L731" s="46"/>
      <c r="M731" s="47"/>
      <c r="N731" s="48"/>
      <c r="O731" s="49"/>
      <c r="P731" s="50"/>
      <c r="Q731" s="49"/>
      <c r="R731" s="47"/>
      <c r="S731" s="51"/>
      <c r="T731" s="47"/>
      <c r="U731" s="47"/>
      <c r="V731" s="47"/>
      <c r="W731" s="51"/>
      <c r="X731" s="60"/>
    </row>
    <row r="732" spans="1:24" hidden="1">
      <c r="A732" s="46" t="s">
        <v>351</v>
      </c>
      <c r="B732" s="46" t="s">
        <v>457</v>
      </c>
      <c r="C732" s="47" t="s">
        <v>86</v>
      </c>
      <c r="D732" s="47" t="s">
        <v>86</v>
      </c>
      <c r="E732" s="47">
        <v>50081947</v>
      </c>
      <c r="F732" s="47" t="s">
        <v>148</v>
      </c>
      <c r="G732" s="46">
        <v>130000</v>
      </c>
      <c r="H732" s="47">
        <v>0.19</v>
      </c>
      <c r="I732" s="46">
        <f t="shared" si="107"/>
        <v>24700</v>
      </c>
      <c r="J732" s="46" t="s">
        <v>374</v>
      </c>
      <c r="K732" s="46"/>
      <c r="L732" s="46"/>
      <c r="M732" s="47"/>
      <c r="N732" s="48"/>
      <c r="O732" s="49"/>
      <c r="P732" s="50"/>
      <c r="Q732" s="49"/>
      <c r="R732" s="47"/>
      <c r="S732" s="51"/>
      <c r="T732" s="47"/>
      <c r="U732" s="47"/>
      <c r="V732" s="47"/>
      <c r="W732" s="51"/>
      <c r="X732" s="60"/>
    </row>
  </sheetData>
  <autoFilter ref="A1:AC732" xr:uid="{2F5961B9-8C7D-49D3-9FB2-A7DCC0FC37AE}">
    <filterColumn colId="2">
      <filters>
        <filter val="AKUMS DRUGS &amp; PHARMACEUTICALS"/>
      </filters>
    </filterColumn>
    <filterColumn colId="9">
      <customFilters>
        <customFilter operator="notEqual" val=" "/>
      </customFilters>
    </filterColumn>
  </autoFilter>
  <conditionalFormatting sqref="A18:F19 H18:K19 M18:P19 A20:P29 A1:X2 A211:K212 G213:K213 A505:X506 T628:X634 J625:S627 S648:X650 I659:X661 R645:S645 T2:X4 J644:X644 Q3:X46 A515:X526 A629:I634 K629:K630 A508:X513 A501:X503 A468:X499 M629:S630 K631:S634 A208:K209 M208:P209 A214:K215 M211:P215 L208:L215 A467:I467 K467:X467 A536:X567 A3:P17 Q166:X268 Q569:X576 J568 L695:L702 A31:K33 M31:P33 L527 A590:F590 H590:X590 A166:P207 A302:X313 A569:P575 A586:P588 A584:I585 A579:P580 A576:I576 K576:P576 A86:X164 A85:F85 H85:J85 L85:X85 A271:X300 A270:K270 M270:X270 A34:P46 A56:X83 A635:X643 A48:X54 Q584:X588 Q578:X582 A578:F578 H578:P578 A591:X624 A216:P268 K584:P585 A315:X397 A399:X465 A733:X1048576">
    <cfRule type="expression" dxfId="78" priority="91">
      <formula>$L1="SHIPPED"</formula>
    </cfRule>
  </conditionalFormatting>
  <conditionalFormatting sqref="A582:P582 J584">
    <cfRule type="expression" dxfId="77" priority="90">
      <formula>$L582="SHIPPED"</formula>
    </cfRule>
  </conditionalFormatting>
  <conditionalFormatting sqref="A581:P581">
    <cfRule type="expression" dxfId="76" priority="89">
      <formula>$L581="SHIPPED"</formula>
    </cfRule>
  </conditionalFormatting>
  <conditionalFormatting sqref="A210:K210 M210:P210">
    <cfRule type="expression" dxfId="75" priority="88">
      <formula>$L210="SHIPPED"</formula>
    </cfRule>
  </conditionalFormatting>
  <conditionalFormatting sqref="A213:F213">
    <cfRule type="expression" dxfId="74" priority="87">
      <formula>$L213="SHIPPED"</formula>
    </cfRule>
  </conditionalFormatting>
  <conditionalFormatting sqref="L18:L19">
    <cfRule type="expression" dxfId="73" priority="86">
      <formula>$L18="SHIPPED"</formula>
    </cfRule>
  </conditionalFormatting>
  <conditionalFormatting sqref="G18:G19">
    <cfRule type="expression" dxfId="72" priority="85">
      <formula>$L18="SHIPPED"</formula>
    </cfRule>
  </conditionalFormatting>
  <conditionalFormatting sqref="A30:P30 L31:L33">
    <cfRule type="expression" dxfId="71" priority="84">
      <formula>$L30="SHIPPED"</formula>
    </cfRule>
  </conditionalFormatting>
  <conditionalFormatting sqref="A625:I627">
    <cfRule type="expression" dxfId="70" priority="82">
      <formula>$L625="SHIPPED"</formula>
    </cfRule>
  </conditionalFormatting>
  <conditionalFormatting sqref="T625:X627">
    <cfRule type="expression" dxfId="69" priority="81">
      <formula>$L625="SHIPPED"</formula>
    </cfRule>
  </conditionalFormatting>
  <conditionalFormatting sqref="A628:I628 K628:S628 L629:L630">
    <cfRule type="expression" dxfId="68" priority="80">
      <formula>$L628="SHIPPED"</formula>
    </cfRule>
  </conditionalFormatting>
  <conditionalFormatting sqref="A514:X514">
    <cfRule type="expression" dxfId="67" priority="73">
      <formula>$L514="SHIPPED"</formula>
    </cfRule>
  </conditionalFormatting>
  <conditionalFormatting sqref="A504:X504">
    <cfRule type="expression" dxfId="66" priority="72">
      <formula>$L504="SHIPPED"</formula>
    </cfRule>
  </conditionalFormatting>
  <conditionalFormatting sqref="A466:X466 J467">
    <cfRule type="expression" dxfId="65" priority="69">
      <formula>$L466="SHIPPED"</formula>
    </cfRule>
  </conditionalFormatting>
  <conditionalFormatting sqref="A644:I644">
    <cfRule type="expression" dxfId="64" priority="68">
      <formula>$L644="SHIPPED"</formula>
    </cfRule>
  </conditionalFormatting>
  <conditionalFormatting sqref="A645:Q645">
    <cfRule type="expression" dxfId="63" priority="67">
      <formula>$L645="SHIPPED"</formula>
    </cfRule>
  </conditionalFormatting>
  <conditionalFormatting sqref="A646:S646 S647">
    <cfRule type="expression" dxfId="62" priority="66">
      <formula>$L646="SHIPPED"</formula>
    </cfRule>
  </conditionalFormatting>
  <conditionalFormatting sqref="A647:R647">
    <cfRule type="expression" dxfId="61" priority="65">
      <formula>$L647="SHIPPED"</formula>
    </cfRule>
  </conditionalFormatting>
  <conditionalFormatting sqref="A648:R650">
    <cfRule type="expression" dxfId="60" priority="64">
      <formula>$L648="SHIPPED"</formula>
    </cfRule>
  </conditionalFormatting>
  <conditionalFormatting sqref="A651:S658">
    <cfRule type="expression" dxfId="59" priority="63">
      <formula>$L651="SHIPPED"</formula>
    </cfRule>
  </conditionalFormatting>
  <conditionalFormatting sqref="T651:X658">
    <cfRule type="expression" dxfId="58" priority="62">
      <formula>$L651="SHIPPED"</formula>
    </cfRule>
  </conditionalFormatting>
  <conditionalFormatting sqref="A398:X398">
    <cfRule type="expression" dxfId="57" priority="61">
      <formula>$L398="SHIPPED"</formula>
    </cfRule>
  </conditionalFormatting>
  <conditionalFormatting sqref="A659:H661">
    <cfRule type="expression" dxfId="56" priority="60">
      <formula>$L659="SHIPPED"</formula>
    </cfRule>
  </conditionalFormatting>
  <conditionalFormatting sqref="A662:R664">
    <cfRule type="expression" dxfId="55" priority="59">
      <formula>$L662="SHIPPED"</formula>
    </cfRule>
  </conditionalFormatting>
  <conditionalFormatting sqref="S662:S664">
    <cfRule type="expression" dxfId="54" priority="58">
      <formula>$L662="SHIPPED"</formula>
    </cfRule>
  </conditionalFormatting>
  <conditionalFormatting sqref="T662:X678">
    <cfRule type="expression" dxfId="53" priority="57">
      <formula>$L662="SHIPPED"</formula>
    </cfRule>
  </conditionalFormatting>
  <conditionalFormatting sqref="A665:R678">
    <cfRule type="expression" dxfId="52" priority="56">
      <formula>$L665="SHIPPED"</formula>
    </cfRule>
  </conditionalFormatting>
  <conditionalFormatting sqref="S665:S678">
    <cfRule type="expression" dxfId="51" priority="55">
      <formula>$L665="SHIPPED"</formula>
    </cfRule>
  </conditionalFormatting>
  <conditionalFormatting sqref="T645:X647">
    <cfRule type="expression" dxfId="50" priority="52">
      <formula>$L645="SHIPPED"</formula>
    </cfRule>
  </conditionalFormatting>
  <conditionalFormatting sqref="A533:F535 H533:K533 M533:X533 H534:X535">
    <cfRule type="expression" dxfId="49" priority="51">
      <formula>$L533="SHIPPED"</formula>
    </cfRule>
  </conditionalFormatting>
  <conditionalFormatting sqref="A527:K527 A531:K531 A532:F532 H532:K532 G532:G535 M531:X532 M527:X527">
    <cfRule type="expression" dxfId="48" priority="50">
      <formula>$L527="SHIPPED"</formula>
    </cfRule>
  </conditionalFormatting>
  <conditionalFormatting sqref="J628:J634">
    <cfRule type="expression" dxfId="47" priority="49">
      <formula>$L628="SHIPPED"</formula>
    </cfRule>
  </conditionalFormatting>
  <conditionalFormatting sqref="S679:S683">
    <cfRule type="expression" dxfId="46" priority="45">
      <formula>$L679="SHIPPED"</formula>
    </cfRule>
  </conditionalFormatting>
  <conditionalFormatting sqref="T679:X683">
    <cfRule type="expression" dxfId="45" priority="47">
      <formula>$L679="SHIPPED"</formula>
    </cfRule>
  </conditionalFormatting>
  <conditionalFormatting sqref="A679:R683">
    <cfRule type="expression" dxfId="44" priority="46">
      <formula>$L679="SHIPPED"</formula>
    </cfRule>
  </conditionalFormatting>
  <conditionalFormatting sqref="A530:F530 H530:K530 M530:X530">
    <cfRule type="expression" dxfId="43" priority="44">
      <formula>$L530="SHIPPED"</formula>
    </cfRule>
  </conditionalFormatting>
  <conditionalFormatting sqref="A528:X528 A529:F529 H529:K529 G529:G530 M529:X529 L529:L533">
    <cfRule type="expression" dxfId="42" priority="43">
      <formula>$L528="SHIPPED"</formula>
    </cfRule>
  </conditionalFormatting>
  <conditionalFormatting sqref="A684:X689">
    <cfRule type="expression" dxfId="41" priority="42">
      <formula>$L684="SHIPPED"</formula>
    </cfRule>
  </conditionalFormatting>
  <conditionalFormatting sqref="A269:X269 L270">
    <cfRule type="expression" dxfId="40" priority="41">
      <formula>$L269="SHIPPED"</formula>
    </cfRule>
  </conditionalFormatting>
  <conditionalFormatting sqref="A301:X301">
    <cfRule type="expression" dxfId="39" priority="40">
      <formula>$L301="SHIPPED"</formula>
    </cfRule>
  </conditionalFormatting>
  <conditionalFormatting sqref="A507:X507">
    <cfRule type="expression" dxfId="38" priority="39">
      <formula>$L507="SHIPPED"</formula>
    </cfRule>
  </conditionalFormatting>
  <conditionalFormatting sqref="A500:X500">
    <cfRule type="expression" dxfId="37" priority="38">
      <formula>$L500="SHIPPED"</formula>
    </cfRule>
  </conditionalFormatting>
  <conditionalFormatting sqref="A690:X692 I727:J729">
    <cfRule type="expression" dxfId="36" priority="37">
      <formula>$L690="SHIPPED"</formula>
    </cfRule>
  </conditionalFormatting>
  <conditionalFormatting sqref="A693:X694">
    <cfRule type="expression" dxfId="35" priority="36">
      <formula>$L693="SHIPPED"</formula>
    </cfRule>
  </conditionalFormatting>
  <conditionalFormatting sqref="A695:K697 M695:X697">
    <cfRule type="expression" dxfId="34" priority="35">
      <formula>$L695="SHIPPED"</formula>
    </cfRule>
  </conditionalFormatting>
  <conditionalFormatting sqref="A698:K701 M698:X701">
    <cfRule type="expression" dxfId="33" priority="34">
      <formula>$L698="SHIPPED"</formula>
    </cfRule>
  </conditionalFormatting>
  <conditionalFormatting sqref="A702:K702 M702:X702">
    <cfRule type="expression" dxfId="32" priority="33">
      <formula>$L702="SHIPPED"</formula>
    </cfRule>
  </conditionalFormatting>
  <conditionalFormatting sqref="A703:X705">
    <cfRule type="expression" dxfId="31" priority="32">
      <formula>$L703="SHIPPED"</formula>
    </cfRule>
  </conditionalFormatting>
  <conditionalFormatting sqref="A706:X706">
    <cfRule type="expression" dxfId="30" priority="31">
      <formula>$L706="SHIPPED"</formula>
    </cfRule>
  </conditionalFormatting>
  <conditionalFormatting sqref="A165:X165">
    <cfRule type="expression" dxfId="29" priority="30">
      <formula>$L165="SHIPPED"</formula>
    </cfRule>
  </conditionalFormatting>
  <conditionalFormatting sqref="A568:I568 K568:X568">
    <cfRule type="expression" dxfId="28" priority="29">
      <formula>$L568="SHIPPED"</formula>
    </cfRule>
  </conditionalFormatting>
  <conditionalFormatting sqref="A707:X709">
    <cfRule type="expression" dxfId="27" priority="28">
      <formula>$L707="SHIPPED"</formula>
    </cfRule>
  </conditionalFormatting>
  <conditionalFormatting sqref="A589:X589 G590">
    <cfRule type="expression" dxfId="26" priority="27">
      <formula>$L589="SHIPPED"</formula>
    </cfRule>
  </conditionalFormatting>
  <conditionalFormatting sqref="A314:X314">
    <cfRule type="expression" dxfId="25" priority="26">
      <formula>$L314="SHIPPED"</formula>
    </cfRule>
  </conditionalFormatting>
  <conditionalFormatting sqref="J585">
    <cfRule type="expression" dxfId="24" priority="25">
      <formula>$L585="SHIPPED"</formula>
    </cfRule>
  </conditionalFormatting>
  <conditionalFormatting sqref="J576">
    <cfRule type="expression" dxfId="23" priority="24">
      <formula>$L576="SHIPPED"</formula>
    </cfRule>
  </conditionalFormatting>
  <conditionalFormatting sqref="A84:X84 G85 K85">
    <cfRule type="expression" dxfId="22" priority="23">
      <formula>$L84="SHIPPED"</formula>
    </cfRule>
  </conditionalFormatting>
  <conditionalFormatting sqref="A710:X710">
    <cfRule type="expression" dxfId="21" priority="22">
      <formula>$L710="SHIPPED"</formula>
    </cfRule>
  </conditionalFormatting>
  <conditionalFormatting sqref="A711:X714">
    <cfRule type="expression" dxfId="20" priority="21">
      <formula>$L711="SHIPPED"</formula>
    </cfRule>
  </conditionalFormatting>
  <conditionalFormatting sqref="A55:X55">
    <cfRule type="expression" dxfId="19" priority="20">
      <formula>$L55="SHIPPED"</formula>
    </cfRule>
  </conditionalFormatting>
  <conditionalFormatting sqref="A47:X47">
    <cfRule type="expression" dxfId="18" priority="19">
      <formula>$L47="SHIPPED"</formula>
    </cfRule>
  </conditionalFormatting>
  <conditionalFormatting sqref="A583:I583 K583:X583">
    <cfRule type="expression" dxfId="17" priority="18">
      <formula>$L583="SHIPPED"</formula>
    </cfRule>
  </conditionalFormatting>
  <conditionalFormatting sqref="J583">
    <cfRule type="expression" dxfId="16" priority="17">
      <formula>$L583="SHIPPED"</formula>
    </cfRule>
  </conditionalFormatting>
  <conditionalFormatting sqref="A577:X577 G578">
    <cfRule type="expression" dxfId="15" priority="16">
      <formula>$L577="SHIPPED"</formula>
    </cfRule>
  </conditionalFormatting>
  <conditionalFormatting sqref="A715:X715">
    <cfRule type="expression" dxfId="14" priority="15">
      <formula>$L715="SHIPPED"</formula>
    </cfRule>
  </conditionalFormatting>
  <conditionalFormatting sqref="A716:X720">
    <cfRule type="expression" dxfId="13" priority="14">
      <formula>$L716="SHIPPED"</formula>
    </cfRule>
  </conditionalFormatting>
  <conditionalFormatting sqref="A721:K721 M721:X721">
    <cfRule type="expression" dxfId="12" priority="13">
      <formula>$L721="SHIPPED"</formula>
    </cfRule>
  </conditionalFormatting>
  <conditionalFormatting sqref="L721">
    <cfRule type="expression" dxfId="11" priority="12">
      <formula>$L721="SHIPPED"</formula>
    </cfRule>
  </conditionalFormatting>
  <conditionalFormatting sqref="S722">
    <cfRule type="expression" dxfId="10" priority="11">
      <formula>$L722="SHIPPED"</formula>
    </cfRule>
  </conditionalFormatting>
  <conditionalFormatting sqref="A722:R722">
    <cfRule type="expression" dxfId="9" priority="10">
      <formula>$L722="SHIPPED"</formula>
    </cfRule>
  </conditionalFormatting>
  <conditionalFormatting sqref="T722:X722">
    <cfRule type="expression" dxfId="8" priority="9">
      <formula>$L722="SHIPPED"</formula>
    </cfRule>
  </conditionalFormatting>
  <conditionalFormatting sqref="A723:K723 M723:X723">
    <cfRule type="expression" dxfId="7" priority="8">
      <formula>$L723="SHIPPED"</formula>
    </cfRule>
  </conditionalFormatting>
  <conditionalFormatting sqref="L723">
    <cfRule type="expression" dxfId="6" priority="7">
      <formula>$L723="SHIPPED"</formula>
    </cfRule>
  </conditionalFormatting>
  <conditionalFormatting sqref="A724:K726 M724:X726">
    <cfRule type="expression" dxfId="5" priority="6">
      <formula>$L724="SHIPPED"</formula>
    </cfRule>
  </conditionalFormatting>
  <conditionalFormatting sqref="L724:L726">
    <cfRule type="expression" dxfId="4" priority="5">
      <formula>$L724="SHIPPED"</formula>
    </cfRule>
  </conditionalFormatting>
  <conditionalFormatting sqref="A727:H728 K727:X728">
    <cfRule type="expression" dxfId="3" priority="4">
      <formula>$L727="SHIPPED"</formula>
    </cfRule>
  </conditionalFormatting>
  <conditionalFormatting sqref="A729:H729 K729:X729">
    <cfRule type="expression" dxfId="2" priority="3">
      <formula>$L729="SHIPPED"</formula>
    </cfRule>
  </conditionalFormatting>
  <conditionalFormatting sqref="I730:J732">
    <cfRule type="expression" dxfId="1" priority="2">
      <formula>$L730="SHIPPED"</formula>
    </cfRule>
  </conditionalFormatting>
  <conditionalFormatting sqref="A730:H732 K730:X732">
    <cfRule type="expression" dxfId="0" priority="1">
      <formula>$L730="SHIPPED"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169CA-6E27-49CC-9539-42A5BBCE8660}">
  <dimension ref="B1:H7"/>
  <sheetViews>
    <sheetView showGridLines="0" workbookViewId="0">
      <selection activeCell="B1" sqref="B1:H7"/>
    </sheetView>
  </sheetViews>
  <sheetFormatPr defaultRowHeight="14.25"/>
  <cols>
    <col min="1" max="1" width="9" style="124"/>
    <col min="2" max="2" width="22.625" style="124" bestFit="1" customWidth="1"/>
    <col min="3" max="3" width="11.75" style="124" bestFit="1" customWidth="1"/>
    <col min="4" max="4" width="32.125" style="124" bestFit="1" customWidth="1"/>
    <col min="5" max="5" width="10.875" style="124" bestFit="1" customWidth="1"/>
    <col min="6" max="6" width="6.5" style="124" bestFit="1" customWidth="1"/>
    <col min="7" max="7" width="14.75" style="124" bestFit="1" customWidth="1"/>
    <col min="8" max="8" width="74.625" style="124" bestFit="1" customWidth="1"/>
    <col min="9" max="16384" width="9" style="124"/>
  </cols>
  <sheetData>
    <row r="1" spans="2:8" ht="21" thickBot="1">
      <c r="B1" s="134" t="s">
        <v>2793</v>
      </c>
      <c r="C1" s="135"/>
      <c r="D1" s="135"/>
      <c r="E1" s="135"/>
      <c r="F1" s="135"/>
      <c r="G1" s="135"/>
      <c r="H1" s="136"/>
    </row>
    <row r="2" spans="2:8" s="140" customFormat="1" ht="15">
      <c r="B2" s="137" t="s">
        <v>2789</v>
      </c>
      <c r="C2" s="138" t="s">
        <v>2790</v>
      </c>
      <c r="D2" s="138" t="s">
        <v>426</v>
      </c>
      <c r="E2" s="138" t="s">
        <v>427</v>
      </c>
      <c r="F2" s="138" t="s">
        <v>446</v>
      </c>
      <c r="G2" s="138" t="s">
        <v>447</v>
      </c>
      <c r="H2" s="139" t="s">
        <v>2791</v>
      </c>
    </row>
    <row r="3" spans="2:8" ht="43.5">
      <c r="B3" s="130" t="s">
        <v>223</v>
      </c>
      <c r="C3" s="125">
        <v>50093242</v>
      </c>
      <c r="D3" s="125" t="s">
        <v>224</v>
      </c>
      <c r="E3" s="126">
        <f>400000+144000</f>
        <v>544000</v>
      </c>
      <c r="F3" s="125">
        <v>3.52</v>
      </c>
      <c r="G3" s="126">
        <f>E3*F3</f>
        <v>1914880</v>
      </c>
      <c r="H3" s="141" t="s">
        <v>2792</v>
      </c>
    </row>
    <row r="4" spans="2:8">
      <c r="B4" s="130" t="s">
        <v>223</v>
      </c>
      <c r="C4" s="125">
        <v>50096946</v>
      </c>
      <c r="D4" s="125" t="s">
        <v>225</v>
      </c>
      <c r="E4" s="126">
        <f>84000+96000</f>
        <v>180000</v>
      </c>
      <c r="F4" s="125">
        <v>4.1399999999999997</v>
      </c>
      <c r="G4" s="126">
        <f t="shared" ref="G4:G6" si="0">E4*F4</f>
        <v>745200</v>
      </c>
      <c r="H4" s="142"/>
    </row>
    <row r="5" spans="2:8">
      <c r="B5" s="130" t="s">
        <v>223</v>
      </c>
      <c r="C5" s="125">
        <v>50106297</v>
      </c>
      <c r="D5" s="125" t="s">
        <v>226</v>
      </c>
      <c r="E5" s="126">
        <f>396000+288000</f>
        <v>684000</v>
      </c>
      <c r="F5" s="125">
        <v>1.86</v>
      </c>
      <c r="G5" s="126">
        <f t="shared" si="0"/>
        <v>1272240</v>
      </c>
      <c r="H5" s="142" t="s">
        <v>2794</v>
      </c>
    </row>
    <row r="6" spans="2:8" ht="15" thickBot="1">
      <c r="B6" s="131" t="s">
        <v>223</v>
      </c>
      <c r="C6" s="132">
        <v>50081841</v>
      </c>
      <c r="D6" s="132" t="s">
        <v>11</v>
      </c>
      <c r="E6" s="133">
        <f>396000+288000</f>
        <v>684000</v>
      </c>
      <c r="F6" s="132">
        <v>1.39</v>
      </c>
      <c r="G6" s="133">
        <f t="shared" si="0"/>
        <v>950759.99999999988</v>
      </c>
      <c r="H6" s="143"/>
    </row>
    <row r="7" spans="2:8" ht="21" thickBot="1">
      <c r="D7" s="127" t="s">
        <v>2795</v>
      </c>
      <c r="E7" s="128"/>
      <c r="F7" s="128"/>
      <c r="G7" s="129">
        <f>SUM(G3:G6)</f>
        <v>4883080</v>
      </c>
    </row>
  </sheetData>
  <mergeCells count="2">
    <mergeCell ref="B1:H1"/>
    <mergeCell ref="D7:F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1B71-96EF-4E9C-BF7B-2B2E91E26285}">
  <dimension ref="A1:BF59"/>
  <sheetViews>
    <sheetView zoomScale="76" workbookViewId="0">
      <selection activeCell="F28" sqref="F28"/>
    </sheetView>
  </sheetViews>
  <sheetFormatPr defaultRowHeight="14.25"/>
  <cols>
    <col min="1" max="1" width="29.125" bestFit="1" customWidth="1"/>
    <col min="2" max="2" width="12" bestFit="1" customWidth="1"/>
    <col min="3" max="3" width="12.125" bestFit="1" customWidth="1"/>
    <col min="4" max="5" width="12" bestFit="1" customWidth="1"/>
    <col min="6" max="6" width="12.125" bestFit="1" customWidth="1"/>
    <col min="7" max="11" width="12" bestFit="1" customWidth="1"/>
    <col min="12" max="12" width="12.125" bestFit="1" customWidth="1"/>
    <col min="13" max="13" width="12" bestFit="1" customWidth="1"/>
    <col min="14" max="14" width="13.625" bestFit="1" customWidth="1"/>
    <col min="15" max="15" width="11.625" bestFit="1" customWidth="1"/>
    <col min="16" max="16" width="12" bestFit="1" customWidth="1"/>
    <col min="17" max="17" width="12.125" bestFit="1" customWidth="1"/>
    <col min="18" max="20" width="12" bestFit="1" customWidth="1"/>
    <col min="21" max="21" width="12.125" bestFit="1" customWidth="1"/>
    <col min="22" max="22" width="12" bestFit="1" customWidth="1"/>
    <col min="23" max="23" width="12.125" bestFit="1" customWidth="1"/>
    <col min="24" max="24" width="12.25" bestFit="1" customWidth="1"/>
    <col min="25" max="25" width="12.125" bestFit="1" customWidth="1"/>
    <col min="26" max="26" width="12.5" bestFit="1" customWidth="1"/>
    <col min="27" max="27" width="12.125" bestFit="1" customWidth="1"/>
    <col min="28" max="28" width="14" bestFit="1" customWidth="1"/>
    <col min="30" max="30" width="0" hidden="1" customWidth="1"/>
    <col min="31" max="31" width="29.125" bestFit="1" customWidth="1"/>
    <col min="32" max="32" width="11.125" hidden="1" customWidth="1"/>
    <col min="33" max="33" width="12.125" hidden="1" customWidth="1"/>
    <col min="34" max="34" width="12" hidden="1" customWidth="1"/>
    <col min="35" max="35" width="11.625" hidden="1" customWidth="1"/>
    <col min="36" max="36" width="12.125" hidden="1" customWidth="1"/>
    <col min="37" max="37" width="12" hidden="1" customWidth="1"/>
    <col min="38" max="38" width="11.625" hidden="1" customWidth="1"/>
    <col min="39" max="39" width="11.875" hidden="1" customWidth="1"/>
    <col min="40" max="40" width="12" hidden="1" customWidth="1"/>
    <col min="41" max="41" width="11.75" hidden="1" customWidth="1"/>
    <col min="42" max="42" width="12.125" hidden="1" customWidth="1"/>
    <col min="43" max="43" width="11.75" hidden="1" customWidth="1"/>
    <col min="44" max="44" width="13.625" hidden="1" customWidth="1"/>
    <col min="45" max="45" width="0" hidden="1" customWidth="1"/>
    <col min="46" max="46" width="11" hidden="1" customWidth="1"/>
    <col min="47" max="47" width="12.125" hidden="1" customWidth="1"/>
    <col min="48" max="48" width="12" hidden="1" customWidth="1"/>
    <col min="49" max="49" width="11" hidden="1" customWidth="1"/>
    <col min="50" max="50" width="11.25" hidden="1" customWidth="1"/>
    <col min="51" max="51" width="12.125" hidden="1" customWidth="1"/>
    <col min="52" max="52" width="12" bestFit="1" customWidth="1"/>
    <col min="53" max="53" width="12.125" bestFit="1" customWidth="1"/>
    <col min="54" max="54" width="12.25" bestFit="1" customWidth="1"/>
    <col min="55" max="55" width="12.125" bestFit="1" customWidth="1"/>
    <col min="56" max="56" width="12.5" bestFit="1" customWidth="1"/>
    <col min="57" max="57" width="12.125" bestFit="1" customWidth="1"/>
    <col min="58" max="58" width="14" bestFit="1" customWidth="1"/>
  </cols>
  <sheetData>
    <row r="1" spans="1:58" ht="15" thickBot="1">
      <c r="B1" s="68">
        <v>45839</v>
      </c>
      <c r="C1" s="68">
        <v>45870</v>
      </c>
      <c r="D1" s="68">
        <v>45901</v>
      </c>
      <c r="E1" s="68">
        <v>45931</v>
      </c>
      <c r="F1" s="68">
        <v>45962</v>
      </c>
      <c r="G1" s="68">
        <v>45992</v>
      </c>
      <c r="H1" s="68">
        <v>46023</v>
      </c>
      <c r="I1" s="68">
        <v>46054</v>
      </c>
      <c r="J1" s="68">
        <v>46082</v>
      </c>
      <c r="K1" s="68">
        <v>46113</v>
      </c>
      <c r="L1" s="68">
        <v>46143</v>
      </c>
      <c r="M1" s="68">
        <v>46174</v>
      </c>
      <c r="N1" s="69"/>
      <c r="P1" s="70">
        <v>45839</v>
      </c>
      <c r="Q1" s="70">
        <v>45870</v>
      </c>
      <c r="R1" s="70">
        <v>45901</v>
      </c>
      <c r="S1" s="70">
        <v>45931</v>
      </c>
      <c r="T1" s="70">
        <v>45962</v>
      </c>
      <c r="U1" s="70">
        <v>45992</v>
      </c>
      <c r="V1" s="71">
        <v>46023</v>
      </c>
      <c r="W1" s="71">
        <v>46054</v>
      </c>
      <c r="X1" s="71">
        <v>46082</v>
      </c>
      <c r="Y1" s="71">
        <v>46113</v>
      </c>
      <c r="Z1" s="71">
        <v>46143</v>
      </c>
      <c r="AA1" s="71">
        <v>46174</v>
      </c>
      <c r="AB1" s="69"/>
      <c r="AF1" s="68">
        <v>45839</v>
      </c>
      <c r="AG1" s="68">
        <v>45870</v>
      </c>
      <c r="AH1" s="68">
        <v>45901</v>
      </c>
      <c r="AI1" s="68">
        <v>45931</v>
      </c>
      <c r="AJ1" s="68">
        <v>45962</v>
      </c>
      <c r="AK1" s="68">
        <v>45992</v>
      </c>
      <c r="AL1" s="68">
        <v>46023</v>
      </c>
      <c r="AM1" s="68">
        <v>46054</v>
      </c>
      <c r="AN1" s="68">
        <v>46082</v>
      </c>
      <c r="AO1" s="68">
        <v>46113</v>
      </c>
      <c r="AP1" s="68">
        <v>46143</v>
      </c>
      <c r="AQ1" s="68">
        <v>46174</v>
      </c>
      <c r="AR1" s="69"/>
      <c r="AT1" s="70">
        <v>45839</v>
      </c>
      <c r="AU1" s="70">
        <v>45870</v>
      </c>
      <c r="AV1" s="70">
        <v>45901</v>
      </c>
      <c r="AW1" s="70">
        <v>45931</v>
      </c>
      <c r="AX1" s="70">
        <v>45962</v>
      </c>
      <c r="AY1" s="70">
        <v>45992</v>
      </c>
      <c r="AZ1" s="71">
        <v>46023</v>
      </c>
      <c r="BA1" s="71">
        <v>46054</v>
      </c>
      <c r="BB1" s="71">
        <v>46082</v>
      </c>
      <c r="BC1" s="71">
        <v>46113</v>
      </c>
      <c r="BD1" s="71">
        <v>46143</v>
      </c>
      <c r="BE1" s="71">
        <v>46174</v>
      </c>
      <c r="BF1" s="69"/>
    </row>
    <row r="2" spans="1:58" ht="15" thickBot="1">
      <c r="A2" s="72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P2" s="73"/>
      <c r="Q2" s="73"/>
      <c r="R2" s="73"/>
      <c r="S2" s="73"/>
      <c r="T2" s="73"/>
      <c r="U2" s="73"/>
      <c r="V2" s="74"/>
      <c r="W2" s="74"/>
      <c r="X2" s="74"/>
      <c r="Y2" s="74"/>
      <c r="Z2" s="74"/>
      <c r="AA2" s="74"/>
      <c r="AB2" s="69"/>
      <c r="AE2" s="72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7"/>
      <c r="AT2" s="73"/>
      <c r="AU2" s="73"/>
      <c r="AV2" s="73"/>
      <c r="AW2" s="73"/>
      <c r="AX2" s="73"/>
      <c r="AY2" s="73"/>
      <c r="AZ2" s="74"/>
      <c r="BA2" s="74"/>
      <c r="BB2" s="74"/>
      <c r="BC2" s="74"/>
      <c r="BD2" s="74"/>
      <c r="BE2" s="74"/>
      <c r="BF2" s="69"/>
    </row>
    <row r="3" spans="1:58" ht="15.75" thickBot="1">
      <c r="A3" s="75"/>
      <c r="B3" s="76" t="s">
        <v>2728</v>
      </c>
      <c r="C3" s="76" t="s">
        <v>2729</v>
      </c>
      <c r="D3" s="76" t="s">
        <v>2730</v>
      </c>
      <c r="E3" s="76" t="s">
        <v>2731</v>
      </c>
      <c r="F3" s="76" t="s">
        <v>2732</v>
      </c>
      <c r="G3" s="76" t="s">
        <v>2733</v>
      </c>
      <c r="H3" s="76" t="s">
        <v>2734</v>
      </c>
      <c r="I3" s="76" t="s">
        <v>2735</v>
      </c>
      <c r="J3" s="76" t="s">
        <v>2736</v>
      </c>
      <c r="K3" s="76" t="s">
        <v>2737</v>
      </c>
      <c r="L3" s="76" t="s">
        <v>2738</v>
      </c>
      <c r="M3" s="76" t="s">
        <v>2739</v>
      </c>
      <c r="N3" s="76" t="s">
        <v>2740</v>
      </c>
      <c r="P3" s="77" t="s">
        <v>2741</v>
      </c>
      <c r="Q3" s="77" t="s">
        <v>2742</v>
      </c>
      <c r="R3" s="77" t="s">
        <v>2743</v>
      </c>
      <c r="S3" s="77" t="s">
        <v>2744</v>
      </c>
      <c r="T3" s="77" t="s">
        <v>2745</v>
      </c>
      <c r="U3" s="77" t="s">
        <v>2746</v>
      </c>
      <c r="V3" s="78" t="s">
        <v>2747</v>
      </c>
      <c r="W3" s="78" t="s">
        <v>2748</v>
      </c>
      <c r="X3" s="78" t="s">
        <v>2749</v>
      </c>
      <c r="Y3" s="78" t="s">
        <v>2750</v>
      </c>
      <c r="Z3" s="78" t="s">
        <v>2751</v>
      </c>
      <c r="AA3" s="78" t="s">
        <v>2752</v>
      </c>
      <c r="AB3" s="76" t="s">
        <v>2753</v>
      </c>
      <c r="AE3" s="75"/>
      <c r="AF3" s="76" t="s">
        <v>2728</v>
      </c>
      <c r="AG3" s="76" t="s">
        <v>2729</v>
      </c>
      <c r="AH3" s="76" t="s">
        <v>2730</v>
      </c>
      <c r="AI3" s="76" t="s">
        <v>2731</v>
      </c>
      <c r="AJ3" s="76" t="s">
        <v>2732</v>
      </c>
      <c r="AK3" s="76" t="s">
        <v>2733</v>
      </c>
      <c r="AL3" s="76" t="s">
        <v>2734</v>
      </c>
      <c r="AM3" s="76" t="s">
        <v>2735</v>
      </c>
      <c r="AN3" s="76" t="s">
        <v>2736</v>
      </c>
      <c r="AO3" s="76" t="s">
        <v>2737</v>
      </c>
      <c r="AP3" s="76" t="s">
        <v>2738</v>
      </c>
      <c r="AQ3" s="76" t="s">
        <v>2739</v>
      </c>
      <c r="AR3" s="76" t="s">
        <v>2740</v>
      </c>
      <c r="AT3" s="77" t="s">
        <v>2741</v>
      </c>
      <c r="AU3" s="77" t="s">
        <v>2742</v>
      </c>
      <c r="AV3" s="77" t="s">
        <v>2743</v>
      </c>
      <c r="AW3" s="77" t="s">
        <v>2744</v>
      </c>
      <c r="AX3" s="77" t="s">
        <v>2745</v>
      </c>
      <c r="AY3" s="77" t="s">
        <v>2746</v>
      </c>
      <c r="AZ3" s="78" t="s">
        <v>2747</v>
      </c>
      <c r="BA3" s="78" t="s">
        <v>2748</v>
      </c>
      <c r="BB3" s="78" t="s">
        <v>2749</v>
      </c>
      <c r="BC3" s="78" t="s">
        <v>2750</v>
      </c>
      <c r="BD3" s="78" t="s">
        <v>2751</v>
      </c>
      <c r="BE3" s="78" t="s">
        <v>2752</v>
      </c>
      <c r="BF3" s="76" t="s">
        <v>2753</v>
      </c>
    </row>
    <row r="4" spans="1:58" ht="15.75" thickBot="1">
      <c r="A4" s="79" t="s">
        <v>2754</v>
      </c>
      <c r="B4" s="80">
        <f>342120-13000</f>
        <v>329120</v>
      </c>
      <c r="C4" s="80">
        <f>361917-13000</f>
        <v>348917</v>
      </c>
      <c r="D4" s="80">
        <f>343104-13000</f>
        <v>330104</v>
      </c>
      <c r="E4" s="80">
        <f>355252-26000</f>
        <v>329252</v>
      </c>
      <c r="F4" s="80">
        <f>361792-26000</f>
        <v>335792</v>
      </c>
      <c r="G4" s="80">
        <f>396116-39000</f>
        <v>357116</v>
      </c>
      <c r="H4" s="80">
        <f>366031+13000</f>
        <v>379031</v>
      </c>
      <c r="I4" s="80">
        <v>364292</v>
      </c>
      <c r="J4" s="80">
        <v>382949</v>
      </c>
      <c r="K4" s="80">
        <f>375548+39000</f>
        <v>414548</v>
      </c>
      <c r="L4" s="80">
        <f>376710+39000</f>
        <v>415710</v>
      </c>
      <c r="M4" s="80">
        <f>386606+39000</f>
        <v>425606</v>
      </c>
      <c r="N4" s="81">
        <f>SUM(B4:M4)</f>
        <v>4412437</v>
      </c>
      <c r="P4" s="82">
        <v>339892</v>
      </c>
      <c r="Q4" s="82">
        <v>357435</v>
      </c>
      <c r="R4" s="82">
        <v>315046</v>
      </c>
      <c r="S4" s="82">
        <v>319147</v>
      </c>
      <c r="T4" s="82">
        <v>367995.53870500001</v>
      </c>
      <c r="U4" s="82">
        <v>328649</v>
      </c>
      <c r="V4" s="83">
        <f t="shared" ref="V4:AA4" si="0">U4/U17*V17</f>
        <v>304521.90515640099</v>
      </c>
      <c r="W4" s="83">
        <f t="shared" si="0"/>
        <v>307537.46170873806</v>
      </c>
      <c r="X4" s="83">
        <f t="shared" si="0"/>
        <v>311205.07647095999</v>
      </c>
      <c r="Y4" s="83">
        <f t="shared" si="0"/>
        <v>325262.07459390134</v>
      </c>
      <c r="Z4" s="83">
        <f t="shared" si="0"/>
        <v>330337.6764039523</v>
      </c>
      <c r="AA4" s="83">
        <f t="shared" si="0"/>
        <v>325410.2524860627</v>
      </c>
      <c r="AB4" s="81">
        <f>SUM(P4:AA4)</f>
        <v>3932438.9855250148</v>
      </c>
      <c r="AE4" s="79" t="s">
        <v>2754</v>
      </c>
      <c r="AF4" s="80">
        <v>195364</v>
      </c>
      <c r="AG4" s="80">
        <v>195923</v>
      </c>
      <c r="AH4" s="80">
        <v>177828</v>
      </c>
      <c r="AI4" s="80">
        <f>175878+33644</f>
        <v>209522</v>
      </c>
      <c r="AJ4" s="80">
        <f>190889+33644</f>
        <v>224533</v>
      </c>
      <c r="AK4" s="80">
        <f>190762+33644</f>
        <v>224406</v>
      </c>
      <c r="AL4" s="80">
        <v>287373</v>
      </c>
      <c r="AM4" s="80">
        <f>391879-(33644*3)</f>
        <v>290947</v>
      </c>
      <c r="AN4" s="80">
        <v>283933</v>
      </c>
      <c r="AO4" s="80">
        <v>280021</v>
      </c>
      <c r="AP4" s="80">
        <v>306411</v>
      </c>
      <c r="AQ4" s="80">
        <v>281289</v>
      </c>
      <c r="AR4" s="81">
        <f>SUM(AF4:AQ4)</f>
        <v>2957550</v>
      </c>
      <c r="AT4" s="82">
        <v>89682</v>
      </c>
      <c r="AU4" s="82">
        <v>86164</v>
      </c>
      <c r="AV4" s="82">
        <v>122149</v>
      </c>
      <c r="AW4" s="82">
        <v>114917</v>
      </c>
      <c r="AX4" s="82">
        <v>111351.910922</v>
      </c>
      <c r="AY4" s="82">
        <v>148526</v>
      </c>
      <c r="AZ4" s="83">
        <v>215805.36172601965</v>
      </c>
      <c r="BA4" s="83">
        <v>256149.88945190355</v>
      </c>
      <c r="BB4" s="83">
        <v>277250.6601358261</v>
      </c>
      <c r="BC4" s="83">
        <v>248102.80744167676</v>
      </c>
      <c r="BD4" s="83">
        <v>262559.50378081849</v>
      </c>
      <c r="BE4" s="83">
        <v>236418.44882423567</v>
      </c>
      <c r="BF4" s="81">
        <f>SUM(AT4:BE4)</f>
        <v>2169076.5822824803</v>
      </c>
    </row>
    <row r="5" spans="1:58" ht="15.75" thickBot="1">
      <c r="A5" s="84" t="s">
        <v>2755</v>
      </c>
      <c r="B5" s="85">
        <f>B4/1000</f>
        <v>329.12</v>
      </c>
      <c r="C5" s="85">
        <f>C4/1000</f>
        <v>348.91699999999997</v>
      </c>
      <c r="D5" s="85">
        <f>D4/1000</f>
        <v>330.10399999999998</v>
      </c>
      <c r="E5" s="85"/>
      <c r="F5" s="85"/>
      <c r="G5" s="85"/>
      <c r="H5" s="85"/>
      <c r="I5" s="85"/>
      <c r="J5" s="85"/>
      <c r="K5" s="85"/>
      <c r="L5" s="85"/>
      <c r="M5" s="85"/>
      <c r="N5" s="85"/>
      <c r="P5" s="86"/>
      <c r="Q5" s="86"/>
      <c r="R5" s="86"/>
      <c r="S5" s="86"/>
      <c r="T5" s="86"/>
      <c r="U5" s="86"/>
      <c r="V5" s="87"/>
      <c r="W5" s="87"/>
      <c r="X5" s="87"/>
      <c r="Y5" s="87"/>
      <c r="Z5" s="87"/>
      <c r="AA5" s="87"/>
      <c r="AB5" s="85"/>
      <c r="AE5" s="84" t="s">
        <v>2755</v>
      </c>
      <c r="AF5" s="85">
        <f>AF4/1000</f>
        <v>195.364</v>
      </c>
      <c r="AG5" s="85">
        <f>AG4/1000</f>
        <v>195.923</v>
      </c>
      <c r="AH5" s="85">
        <f>AH4/1000</f>
        <v>177.828</v>
      </c>
      <c r="AI5" s="85"/>
      <c r="AJ5" s="85"/>
      <c r="AK5" s="85"/>
      <c r="AL5" s="85"/>
      <c r="AM5" s="85"/>
      <c r="AN5" s="85"/>
      <c r="AO5" s="85"/>
      <c r="AP5" s="85"/>
      <c r="AQ5" s="85"/>
      <c r="AR5" s="85"/>
      <c r="AT5" s="86"/>
      <c r="AU5" s="86"/>
      <c r="AV5" s="86"/>
      <c r="AW5" s="86"/>
      <c r="AX5" s="86"/>
      <c r="AY5" s="86"/>
      <c r="AZ5" s="87">
        <v>319223.30097087374</v>
      </c>
      <c r="BA5" s="87">
        <v>293592.44679611648</v>
      </c>
      <c r="BB5" s="87">
        <v>301980.58252427186</v>
      </c>
      <c r="BC5" s="87">
        <v>271782.5242718446</v>
      </c>
      <c r="BD5" s="87">
        <v>271782.5242718446</v>
      </c>
      <c r="BE5" s="87">
        <v>271782.5242718446</v>
      </c>
      <c r="BF5" s="85"/>
    </row>
    <row r="6" spans="1:58">
      <c r="A6" s="88" t="s">
        <v>347</v>
      </c>
      <c r="B6" s="89">
        <v>57676948</v>
      </c>
      <c r="C6" s="89">
        <v>61600157</v>
      </c>
      <c r="D6" s="89">
        <v>62519348</v>
      </c>
      <c r="E6" s="89">
        <v>61475586</v>
      </c>
      <c r="F6" s="89">
        <v>60343942</v>
      </c>
      <c r="G6" s="89">
        <v>71806191</v>
      </c>
      <c r="H6" s="89">
        <v>62129642</v>
      </c>
      <c r="I6" s="89">
        <v>60947917</v>
      </c>
      <c r="J6" s="89">
        <v>72324734</v>
      </c>
      <c r="K6" s="89">
        <v>64219817</v>
      </c>
      <c r="L6" s="89">
        <v>60041533</v>
      </c>
      <c r="M6" s="89">
        <v>73495086</v>
      </c>
      <c r="N6" s="89">
        <f>SUM(B6:M6)</f>
        <v>768580901</v>
      </c>
      <c r="O6" s="67"/>
      <c r="P6" s="90">
        <v>52863219</v>
      </c>
      <c r="Q6" s="90">
        <v>64966500.200000003</v>
      </c>
      <c r="R6" s="90">
        <v>41308656.600000001</v>
      </c>
      <c r="S6" s="90">
        <v>46784165.899999999</v>
      </c>
      <c r="T6" s="90">
        <v>65290550</v>
      </c>
      <c r="U6" s="90">
        <v>51443529</v>
      </c>
      <c r="V6" s="91">
        <f>62129642-2000000</f>
        <v>60129642</v>
      </c>
      <c r="W6" s="91">
        <v>60947917</v>
      </c>
      <c r="X6" s="91">
        <f>72324734-5000000-7000000</f>
        <v>60324734</v>
      </c>
      <c r="Y6" s="91">
        <f>64219817-4000000</f>
        <v>60219817</v>
      </c>
      <c r="Z6" s="91">
        <v>60041533</v>
      </c>
      <c r="AA6" s="91">
        <f>73495086-11000000</f>
        <v>62495086</v>
      </c>
      <c r="AB6" s="89">
        <f>SUM(P6:AA6)</f>
        <v>686815349.70000005</v>
      </c>
      <c r="AE6" s="88" t="s">
        <v>347</v>
      </c>
      <c r="AF6" s="89">
        <v>9331200</v>
      </c>
      <c r="AG6" s="89">
        <v>9331200</v>
      </c>
      <c r="AH6" s="89">
        <v>11923200</v>
      </c>
      <c r="AI6" s="89">
        <v>9504000</v>
      </c>
      <c r="AJ6" s="89">
        <v>9625681.1899999995</v>
      </c>
      <c r="AK6" s="89">
        <v>9480961.4700000007</v>
      </c>
      <c r="AL6" s="89">
        <v>12960000</v>
      </c>
      <c r="AM6" s="89">
        <v>10080007.34</v>
      </c>
      <c r="AN6" s="89">
        <v>10368000</v>
      </c>
      <c r="AO6" s="89">
        <v>9331200</v>
      </c>
      <c r="AP6" s="89">
        <v>9331200</v>
      </c>
      <c r="AQ6" s="89">
        <v>9331200</v>
      </c>
      <c r="AR6" s="89">
        <f>SUM(AF6:AQ6)</f>
        <v>120597850</v>
      </c>
      <c r="AT6" s="90">
        <v>11474496</v>
      </c>
      <c r="AU6" s="90">
        <v>6912000</v>
      </c>
      <c r="AV6" s="90">
        <v>5529600</v>
      </c>
      <c r="AW6" s="90">
        <v>7642260</v>
      </c>
      <c r="AX6" s="90">
        <v>7680600</v>
      </c>
      <c r="AY6" s="90">
        <v>6873420</v>
      </c>
      <c r="AZ6" s="91">
        <v>10960000</v>
      </c>
      <c r="BA6" s="91">
        <v>10080007.34</v>
      </c>
      <c r="BB6" s="91">
        <v>10368000</v>
      </c>
      <c r="BC6" s="91">
        <v>9331200</v>
      </c>
      <c r="BD6" s="91">
        <v>9331200</v>
      </c>
      <c r="BE6" s="91">
        <v>9331200</v>
      </c>
      <c r="BF6" s="89">
        <f>SUM(AT6:BE6)</f>
        <v>105513983.34</v>
      </c>
    </row>
    <row r="7" spans="1:58">
      <c r="A7" s="92" t="s">
        <v>349</v>
      </c>
      <c r="B7" s="93">
        <v>68012754.480000004</v>
      </c>
      <c r="C7" s="93">
        <v>72669960</v>
      </c>
      <c r="D7" s="93">
        <v>61841661.119999997</v>
      </c>
      <c r="E7" s="93">
        <v>60950039.039999999</v>
      </c>
      <c r="F7" s="93">
        <v>70209023.75999999</v>
      </c>
      <c r="G7" s="93">
        <v>70499801.519999996</v>
      </c>
      <c r="H7" s="93">
        <v>87588922.319999993</v>
      </c>
      <c r="I7" s="93">
        <v>89821496.879999995</v>
      </c>
      <c r="J7" s="93">
        <v>82152480.959999993</v>
      </c>
      <c r="K7" s="93">
        <v>104557791.59999999</v>
      </c>
      <c r="L7" s="93">
        <v>114051824.64</v>
      </c>
      <c r="M7" s="93">
        <v>102495443.03999999</v>
      </c>
      <c r="N7" s="93">
        <f>SUM(B7:M7)</f>
        <v>984851199.3599999</v>
      </c>
      <c r="O7" s="67"/>
      <c r="P7" s="94">
        <v>60514671.306499973</v>
      </c>
      <c r="Q7" s="94">
        <v>56529738.665999986</v>
      </c>
      <c r="R7" s="94">
        <v>75842386.477500007</v>
      </c>
      <c r="S7" s="94">
        <v>75702355.033000067</v>
      </c>
      <c r="T7" s="94">
        <v>65603466.980000004</v>
      </c>
      <c r="U7" s="94">
        <v>62072568.100000001</v>
      </c>
      <c r="V7" s="91">
        <f>87588922.32-15000000+3000000</f>
        <v>75588922.319999993</v>
      </c>
      <c r="W7" s="91">
        <f>89821496.88-17000000+3000000</f>
        <v>75821496.879999995</v>
      </c>
      <c r="X7" s="91">
        <f>82152480.96-10000000+3000000</f>
        <v>75152480.959999993</v>
      </c>
      <c r="Y7" s="91">
        <f>104557791.6-25000000</f>
        <v>79557791.599999994</v>
      </c>
      <c r="Z7" s="91">
        <f>114051824.64-35000000</f>
        <v>79051824.640000001</v>
      </c>
      <c r="AA7" s="91">
        <f>102495443.04-25000000+2000000</f>
        <v>79495443.040000007</v>
      </c>
      <c r="AB7" s="93">
        <f>SUM(P7:AA7)</f>
        <v>860933146.00300002</v>
      </c>
      <c r="AE7" s="92" t="s">
        <v>349</v>
      </c>
      <c r="AF7" s="93">
        <v>0</v>
      </c>
      <c r="AG7" s="93">
        <v>0</v>
      </c>
      <c r="AH7" s="93">
        <v>0</v>
      </c>
      <c r="AI7" s="93">
        <v>0</v>
      </c>
      <c r="AJ7" s="93">
        <v>0</v>
      </c>
      <c r="AK7" s="93">
        <v>0</v>
      </c>
      <c r="AL7" s="93">
        <v>0</v>
      </c>
      <c r="AM7" s="93">
        <v>0</v>
      </c>
      <c r="AN7" s="93">
        <v>0</v>
      </c>
      <c r="AO7" s="93">
        <v>0</v>
      </c>
      <c r="AP7" s="93">
        <v>0</v>
      </c>
      <c r="AQ7" s="93">
        <v>0</v>
      </c>
      <c r="AR7" s="93">
        <f>SUM(AF7:AQ7)</f>
        <v>0</v>
      </c>
      <c r="AT7" s="94">
        <v>0</v>
      </c>
      <c r="AU7" s="94">
        <v>0</v>
      </c>
      <c r="AV7" s="94">
        <v>0</v>
      </c>
      <c r="AW7" s="94">
        <v>0</v>
      </c>
      <c r="AX7" s="94">
        <v>0</v>
      </c>
      <c r="AY7" s="94">
        <v>0</v>
      </c>
      <c r="AZ7" s="91">
        <v>0</v>
      </c>
      <c r="BA7" s="91">
        <v>0</v>
      </c>
      <c r="BB7" s="91">
        <v>0</v>
      </c>
      <c r="BC7" s="91">
        <v>0</v>
      </c>
      <c r="BD7" s="91">
        <v>0</v>
      </c>
      <c r="BE7" s="91">
        <v>0</v>
      </c>
      <c r="BF7" s="93">
        <f>SUM(AT7:BE7)</f>
        <v>0</v>
      </c>
    </row>
    <row r="8" spans="1:58">
      <c r="A8" s="92" t="s">
        <v>351</v>
      </c>
      <c r="B8" s="93">
        <v>26449404.520000003</v>
      </c>
      <c r="C8" s="93">
        <v>28260540.000000004</v>
      </c>
      <c r="D8" s="93">
        <v>24049534.880000003</v>
      </c>
      <c r="E8" s="93">
        <v>23702792.960000001</v>
      </c>
      <c r="F8" s="93">
        <v>27303509.240000002</v>
      </c>
      <c r="G8" s="93">
        <v>27416589.480000004</v>
      </c>
      <c r="H8" s="93">
        <v>34062358.68</v>
      </c>
      <c r="I8" s="93">
        <v>34930582.120000005</v>
      </c>
      <c r="J8" s="93">
        <v>31948187.040000003</v>
      </c>
      <c r="K8" s="93">
        <v>40661363.400000006</v>
      </c>
      <c r="L8" s="93">
        <v>44353487.360000007</v>
      </c>
      <c r="M8" s="93">
        <v>39859338.960000001</v>
      </c>
      <c r="N8" s="93">
        <f t="shared" ref="N8:N15" si="1">SUM(B8:M8)</f>
        <v>382997688.64000005</v>
      </c>
      <c r="O8" s="67"/>
      <c r="P8" s="94">
        <v>35920808.550000012</v>
      </c>
      <c r="Q8" s="94">
        <v>33584845.5</v>
      </c>
      <c r="R8" s="94">
        <v>33044512.940000001</v>
      </c>
      <c r="S8" s="94">
        <v>29891523.800000008</v>
      </c>
      <c r="T8" s="94">
        <v>32487035.990000032</v>
      </c>
      <c r="U8" s="94">
        <v>33877835.010000013</v>
      </c>
      <c r="V8" s="91">
        <v>34062358.68</v>
      </c>
      <c r="W8" s="91">
        <v>34930582.120000005</v>
      </c>
      <c r="X8" s="91">
        <f>31948187.04+4000000</f>
        <v>35948187.039999999</v>
      </c>
      <c r="Y8" s="91">
        <v>40661363.400000006</v>
      </c>
      <c r="Z8" s="91">
        <v>44353487.360000007</v>
      </c>
      <c r="AA8" s="91">
        <v>39859338.960000001</v>
      </c>
      <c r="AB8" s="93">
        <f t="shared" ref="AB8:AB15" si="2">SUM(P8:AA8)</f>
        <v>428621879.35000008</v>
      </c>
      <c r="AE8" s="92" t="s">
        <v>351</v>
      </c>
      <c r="AF8" s="93">
        <v>5557416.5300000003</v>
      </c>
      <c r="AG8" s="93">
        <v>4924499.04</v>
      </c>
      <c r="AH8" s="93">
        <v>4924499.04</v>
      </c>
      <c r="AI8" s="93">
        <v>7259974.8300000001</v>
      </c>
      <c r="AJ8" s="93">
        <v>5887185.6399999997</v>
      </c>
      <c r="AK8" s="93">
        <v>5950754.4800000004</v>
      </c>
      <c r="AL8" s="93">
        <v>6113596.2199999997</v>
      </c>
      <c r="AM8" s="93">
        <v>5236202.1500000004</v>
      </c>
      <c r="AN8" s="93">
        <v>5684657.5499999998</v>
      </c>
      <c r="AO8" s="93">
        <v>6614434.7999999998</v>
      </c>
      <c r="AP8" s="93">
        <v>6601462.5199999996</v>
      </c>
      <c r="AQ8" s="93">
        <v>6478710.1299999999</v>
      </c>
      <c r="AR8" s="93">
        <f t="shared" ref="AR8:AR15" si="3">SUM(AF8:AQ8)</f>
        <v>71233392.929999992</v>
      </c>
      <c r="AT8" s="94">
        <v>3516269.4</v>
      </c>
      <c r="AU8" s="94">
        <v>4549656</v>
      </c>
      <c r="AV8" s="94">
        <v>3019941.2</v>
      </c>
      <c r="AW8" s="94">
        <v>1854285.6</v>
      </c>
      <c r="AX8" s="94">
        <v>2929637.4</v>
      </c>
      <c r="AY8" s="94">
        <v>5420299.7000000002</v>
      </c>
      <c r="AZ8" s="91">
        <v>6113596.2199999997</v>
      </c>
      <c r="BA8" s="91">
        <v>5236202.1500000004</v>
      </c>
      <c r="BB8" s="91">
        <v>5684657.5499999998</v>
      </c>
      <c r="BC8" s="91">
        <v>6614434.7999999998</v>
      </c>
      <c r="BD8" s="91">
        <v>6601462.5199999996</v>
      </c>
      <c r="BE8" s="91">
        <v>6478710.1299999999</v>
      </c>
      <c r="BF8" s="93">
        <f t="shared" ref="BF8:BF15" si="4">SUM(AT8:BE8)</f>
        <v>58019152.669999994</v>
      </c>
    </row>
    <row r="9" spans="1:58">
      <c r="A9" s="92" t="s">
        <v>2756</v>
      </c>
      <c r="B9" s="93">
        <v>28357946</v>
      </c>
      <c r="C9" s="93">
        <v>34540963</v>
      </c>
      <c r="D9" s="93">
        <v>30139486</v>
      </c>
      <c r="E9" s="93">
        <v>29616718</v>
      </c>
      <c r="F9" s="93">
        <v>28039443</v>
      </c>
      <c r="G9" s="93">
        <v>24978486</v>
      </c>
      <c r="H9" s="93">
        <v>29273883</v>
      </c>
      <c r="I9" s="93">
        <v>22168269</v>
      </c>
      <c r="J9" s="93">
        <v>27500953</v>
      </c>
      <c r="K9" s="93">
        <v>29083366</v>
      </c>
      <c r="L9" s="93">
        <v>29233013</v>
      </c>
      <c r="M9" s="93">
        <v>28691779</v>
      </c>
      <c r="N9" s="93">
        <f t="shared" si="1"/>
        <v>341624305</v>
      </c>
      <c r="O9" s="67"/>
      <c r="P9" s="94">
        <v>36949434.359999999</v>
      </c>
      <c r="Q9" s="94">
        <v>31174963.559999999</v>
      </c>
      <c r="R9" s="94">
        <v>28542802.100000005</v>
      </c>
      <c r="S9" s="94">
        <v>33839254.530000001</v>
      </c>
      <c r="T9" s="94">
        <v>28707310.080000002</v>
      </c>
      <c r="U9" s="94">
        <v>29522648.099999998</v>
      </c>
      <c r="V9" s="91">
        <f>29273883+1000000</f>
        <v>30273883</v>
      </c>
      <c r="W9" s="91">
        <f>22168269+9000000</f>
        <v>31168269</v>
      </c>
      <c r="X9" s="91">
        <f>27500953+4000000</f>
        <v>31500953</v>
      </c>
      <c r="Y9" s="91">
        <f>29083366+3000000</f>
        <v>32083366</v>
      </c>
      <c r="Z9" s="91">
        <f>29233013+3000000</f>
        <v>32233013</v>
      </c>
      <c r="AA9" s="91">
        <f>28691779+4000000</f>
        <v>32691779</v>
      </c>
      <c r="AB9" s="93">
        <f t="shared" si="2"/>
        <v>378687675.73000002</v>
      </c>
      <c r="AE9" s="92" t="s">
        <v>2756</v>
      </c>
      <c r="AF9" s="93">
        <v>0</v>
      </c>
      <c r="AG9" s="93">
        <v>0</v>
      </c>
      <c r="AH9" s="93">
        <v>0</v>
      </c>
      <c r="AI9" s="93">
        <v>0</v>
      </c>
      <c r="AJ9" s="93">
        <v>0</v>
      </c>
      <c r="AK9" s="93">
        <v>0</v>
      </c>
      <c r="AL9" s="93">
        <v>0</v>
      </c>
      <c r="AM9" s="93">
        <v>0</v>
      </c>
      <c r="AN9" s="93">
        <v>0</v>
      </c>
      <c r="AO9" s="93">
        <v>0</v>
      </c>
      <c r="AP9" s="93">
        <v>0</v>
      </c>
      <c r="AQ9" s="93">
        <v>0</v>
      </c>
      <c r="AR9" s="93">
        <f t="shared" si="3"/>
        <v>0</v>
      </c>
      <c r="AT9" s="94">
        <v>0</v>
      </c>
      <c r="AU9" s="94">
        <v>0</v>
      </c>
      <c r="AV9" s="94">
        <v>0</v>
      </c>
      <c r="AW9" s="94">
        <v>0</v>
      </c>
      <c r="AX9" s="94">
        <v>0</v>
      </c>
      <c r="AY9" s="94">
        <v>0</v>
      </c>
      <c r="AZ9" s="91">
        <v>0</v>
      </c>
      <c r="BA9" s="91">
        <v>0</v>
      </c>
      <c r="BB9" s="91">
        <v>0</v>
      </c>
      <c r="BC9" s="91">
        <v>3000000</v>
      </c>
      <c r="BD9" s="91">
        <v>3000000</v>
      </c>
      <c r="BE9" s="91">
        <v>4000000</v>
      </c>
      <c r="BF9" s="93">
        <f t="shared" si="4"/>
        <v>10000000</v>
      </c>
    </row>
    <row r="10" spans="1:58">
      <c r="A10" s="92" t="s">
        <v>2757</v>
      </c>
      <c r="B10" s="93">
        <v>0</v>
      </c>
      <c r="C10" s="93">
        <v>0</v>
      </c>
      <c r="D10" s="93">
        <v>0</v>
      </c>
      <c r="E10" s="93">
        <v>0</v>
      </c>
      <c r="F10" s="93">
        <v>0</v>
      </c>
      <c r="G10" s="93">
        <v>0</v>
      </c>
      <c r="H10" s="93">
        <v>0</v>
      </c>
      <c r="I10" s="93">
        <v>0</v>
      </c>
      <c r="J10" s="93">
        <v>0</v>
      </c>
      <c r="K10" s="93">
        <v>0</v>
      </c>
      <c r="L10" s="93">
        <v>0</v>
      </c>
      <c r="M10" s="93">
        <v>0</v>
      </c>
      <c r="N10" s="93">
        <f t="shared" si="1"/>
        <v>0</v>
      </c>
      <c r="O10" s="67"/>
      <c r="P10" s="94">
        <v>0</v>
      </c>
      <c r="Q10" s="94">
        <v>0</v>
      </c>
      <c r="R10" s="94">
        <v>0</v>
      </c>
      <c r="S10" s="94">
        <v>0</v>
      </c>
      <c r="T10" s="94">
        <v>0</v>
      </c>
      <c r="U10" s="94">
        <v>0</v>
      </c>
      <c r="V10" s="91">
        <v>0</v>
      </c>
      <c r="W10" s="91">
        <v>0</v>
      </c>
      <c r="X10" s="91">
        <v>0</v>
      </c>
      <c r="Y10" s="91">
        <v>0</v>
      </c>
      <c r="Z10" s="91">
        <v>0</v>
      </c>
      <c r="AA10" s="91">
        <v>0</v>
      </c>
      <c r="AB10" s="93">
        <f t="shared" si="2"/>
        <v>0</v>
      </c>
      <c r="AE10" s="92" t="s">
        <v>2757</v>
      </c>
      <c r="AF10" s="93">
        <v>0</v>
      </c>
      <c r="AG10" s="93">
        <v>0</v>
      </c>
      <c r="AH10" s="93">
        <v>0</v>
      </c>
      <c r="AI10" s="93">
        <v>0</v>
      </c>
      <c r="AJ10" s="93">
        <v>0</v>
      </c>
      <c r="AK10" s="93">
        <v>0</v>
      </c>
      <c r="AL10" s="93">
        <v>0</v>
      </c>
      <c r="AM10" s="93">
        <v>0</v>
      </c>
      <c r="AN10" s="93">
        <v>0</v>
      </c>
      <c r="AO10" s="93">
        <v>0</v>
      </c>
      <c r="AP10" s="93">
        <v>0</v>
      </c>
      <c r="AQ10" s="93">
        <v>0</v>
      </c>
      <c r="AR10" s="93">
        <f t="shared" si="3"/>
        <v>0</v>
      </c>
      <c r="AT10" s="94">
        <v>0</v>
      </c>
      <c r="AU10" s="94">
        <v>0</v>
      </c>
      <c r="AV10" s="94">
        <v>0</v>
      </c>
      <c r="AW10" s="94">
        <v>0</v>
      </c>
      <c r="AX10" s="94">
        <v>0</v>
      </c>
      <c r="AY10" s="94">
        <v>0</v>
      </c>
      <c r="AZ10" s="91">
        <v>0</v>
      </c>
      <c r="BA10" s="91">
        <v>0</v>
      </c>
      <c r="BB10" s="91">
        <v>0</v>
      </c>
      <c r="BC10" s="91">
        <v>0</v>
      </c>
      <c r="BD10" s="91">
        <v>0</v>
      </c>
      <c r="BE10" s="91">
        <v>0</v>
      </c>
      <c r="BF10" s="93">
        <f t="shared" si="4"/>
        <v>0</v>
      </c>
    </row>
    <row r="11" spans="1:58">
      <c r="A11" s="92" t="s">
        <v>2758</v>
      </c>
      <c r="B11" s="93">
        <v>0</v>
      </c>
      <c r="C11" s="93">
        <v>0</v>
      </c>
      <c r="D11" s="93">
        <v>0</v>
      </c>
      <c r="E11" s="93">
        <v>0</v>
      </c>
      <c r="F11" s="93">
        <v>0</v>
      </c>
      <c r="G11" s="93">
        <v>0</v>
      </c>
      <c r="H11" s="93">
        <v>0</v>
      </c>
      <c r="I11" s="93">
        <v>0</v>
      </c>
      <c r="J11" s="93">
        <v>0</v>
      </c>
      <c r="K11" s="93">
        <v>0</v>
      </c>
      <c r="L11" s="93">
        <v>0</v>
      </c>
      <c r="M11" s="93">
        <v>0</v>
      </c>
      <c r="N11" s="93">
        <f t="shared" si="1"/>
        <v>0</v>
      </c>
      <c r="O11" s="67"/>
      <c r="P11" s="94">
        <v>0</v>
      </c>
      <c r="Q11" s="94">
        <v>0</v>
      </c>
      <c r="R11" s="94">
        <v>0</v>
      </c>
      <c r="S11" s="94">
        <v>0</v>
      </c>
      <c r="T11" s="94">
        <v>0</v>
      </c>
      <c r="U11" s="94">
        <v>0</v>
      </c>
      <c r="V11" s="91">
        <v>0</v>
      </c>
      <c r="W11" s="91">
        <v>0</v>
      </c>
      <c r="X11" s="91">
        <v>0</v>
      </c>
      <c r="Y11" s="91">
        <v>0</v>
      </c>
      <c r="Z11" s="91">
        <v>0</v>
      </c>
      <c r="AA11" s="91">
        <v>0</v>
      </c>
      <c r="AB11" s="93">
        <f t="shared" si="2"/>
        <v>0</v>
      </c>
      <c r="AE11" s="92" t="s">
        <v>2758</v>
      </c>
      <c r="AF11" s="93">
        <v>0</v>
      </c>
      <c r="AG11" s="93">
        <v>0</v>
      </c>
      <c r="AH11" s="93">
        <v>0</v>
      </c>
      <c r="AI11" s="93">
        <v>0</v>
      </c>
      <c r="AJ11" s="93">
        <v>0</v>
      </c>
      <c r="AK11" s="93">
        <v>0</v>
      </c>
      <c r="AL11" s="93">
        <v>0</v>
      </c>
      <c r="AM11" s="93">
        <v>0</v>
      </c>
      <c r="AN11" s="93">
        <v>0</v>
      </c>
      <c r="AO11" s="93">
        <v>0</v>
      </c>
      <c r="AP11" s="93">
        <v>0</v>
      </c>
      <c r="AQ11" s="93">
        <v>0</v>
      </c>
      <c r="AR11" s="93">
        <f t="shared" si="3"/>
        <v>0</v>
      </c>
      <c r="AT11" s="94">
        <v>805000</v>
      </c>
      <c r="AU11" s="94">
        <v>377000</v>
      </c>
      <c r="AV11" s="94">
        <v>0</v>
      </c>
      <c r="AW11" s="94">
        <v>226620</v>
      </c>
      <c r="AX11" s="94">
        <v>873000</v>
      </c>
      <c r="AY11" s="94">
        <v>754000</v>
      </c>
      <c r="AZ11" s="91">
        <v>0</v>
      </c>
      <c r="BA11" s="91">
        <v>0</v>
      </c>
      <c r="BB11" s="91">
        <v>0</v>
      </c>
      <c r="BC11" s="91">
        <v>0</v>
      </c>
      <c r="BD11" s="91">
        <v>0</v>
      </c>
      <c r="BE11" s="91">
        <v>0</v>
      </c>
      <c r="BF11" s="93">
        <f t="shared" si="4"/>
        <v>3035620</v>
      </c>
    </row>
    <row r="12" spans="1:58">
      <c r="A12" s="92" t="s">
        <v>2759</v>
      </c>
      <c r="B12" s="95">
        <v>0</v>
      </c>
      <c r="C12" s="95">
        <v>0</v>
      </c>
      <c r="D12" s="95">
        <v>0</v>
      </c>
      <c r="E12" s="95">
        <v>0</v>
      </c>
      <c r="F12" s="95">
        <v>0</v>
      </c>
      <c r="G12" s="95">
        <v>0</v>
      </c>
      <c r="H12" s="95">
        <v>0</v>
      </c>
      <c r="I12" s="95">
        <v>0</v>
      </c>
      <c r="J12" s="95">
        <v>0</v>
      </c>
      <c r="K12" s="95">
        <v>0</v>
      </c>
      <c r="L12" s="95">
        <v>0</v>
      </c>
      <c r="M12" s="95">
        <v>0</v>
      </c>
      <c r="N12" s="95">
        <f t="shared" si="1"/>
        <v>0</v>
      </c>
      <c r="O12" s="67"/>
      <c r="P12" s="96">
        <v>0</v>
      </c>
      <c r="Q12" s="96">
        <v>0</v>
      </c>
      <c r="R12" s="96">
        <v>0</v>
      </c>
      <c r="S12" s="96">
        <v>0</v>
      </c>
      <c r="T12" s="96">
        <v>0</v>
      </c>
      <c r="U12" s="96">
        <v>0</v>
      </c>
      <c r="V12" s="91">
        <v>0</v>
      </c>
      <c r="W12" s="91">
        <v>0</v>
      </c>
      <c r="X12" s="91">
        <v>0</v>
      </c>
      <c r="Y12" s="91">
        <v>0</v>
      </c>
      <c r="Z12" s="91">
        <v>0</v>
      </c>
      <c r="AA12" s="91">
        <v>0</v>
      </c>
      <c r="AB12" s="95">
        <f t="shared" si="2"/>
        <v>0</v>
      </c>
      <c r="AE12" s="92" t="s">
        <v>2759</v>
      </c>
      <c r="AF12" s="95">
        <v>0</v>
      </c>
      <c r="AG12" s="95">
        <v>0</v>
      </c>
      <c r="AH12" s="95">
        <v>0</v>
      </c>
      <c r="AI12" s="95">
        <v>0</v>
      </c>
      <c r="AJ12" s="95">
        <v>0</v>
      </c>
      <c r="AK12" s="95">
        <v>0</v>
      </c>
      <c r="AL12" s="95">
        <v>0</v>
      </c>
      <c r="AM12" s="95">
        <v>0</v>
      </c>
      <c r="AN12" s="95">
        <v>0</v>
      </c>
      <c r="AO12" s="95">
        <v>0</v>
      </c>
      <c r="AP12" s="95">
        <v>0</v>
      </c>
      <c r="AQ12" s="95">
        <v>0</v>
      </c>
      <c r="AR12" s="95">
        <f t="shared" si="3"/>
        <v>0</v>
      </c>
      <c r="AT12" s="96">
        <v>0</v>
      </c>
      <c r="AU12" s="96">
        <v>0</v>
      </c>
      <c r="AV12" s="96">
        <v>0</v>
      </c>
      <c r="AW12" s="96">
        <v>0</v>
      </c>
      <c r="AX12" s="96">
        <v>0</v>
      </c>
      <c r="AY12" s="96">
        <v>0</v>
      </c>
      <c r="AZ12" s="91">
        <v>0</v>
      </c>
      <c r="BA12" s="91">
        <v>0</v>
      </c>
      <c r="BB12" s="91">
        <v>0</v>
      </c>
      <c r="BC12" s="91">
        <v>0</v>
      </c>
      <c r="BD12" s="91">
        <v>0</v>
      </c>
      <c r="BE12" s="91">
        <v>0</v>
      </c>
      <c r="BF12" s="95">
        <f t="shared" si="4"/>
        <v>0</v>
      </c>
    </row>
    <row r="13" spans="1:58">
      <c r="A13" s="92" t="s">
        <v>2760</v>
      </c>
      <c r="B13" s="95">
        <v>7867464</v>
      </c>
      <c r="C13" s="95">
        <v>3087704</v>
      </c>
      <c r="D13" s="95">
        <v>3532329</v>
      </c>
      <c r="E13" s="95">
        <v>12442751</v>
      </c>
      <c r="F13" s="95">
        <v>10330793</v>
      </c>
      <c r="G13" s="95">
        <v>24671873</v>
      </c>
      <c r="H13" s="95">
        <v>12923068</v>
      </c>
      <c r="I13" s="95">
        <v>10732751</v>
      </c>
      <c r="J13" s="95">
        <v>24209290</v>
      </c>
      <c r="K13" s="95">
        <v>14242751</v>
      </c>
      <c r="L13" s="95">
        <v>14430793</v>
      </c>
      <c r="M13" s="95">
        <v>17329293</v>
      </c>
      <c r="N13" s="95">
        <f t="shared" si="1"/>
        <v>155800860</v>
      </c>
      <c r="O13" s="67"/>
      <c r="P13" s="96">
        <v>8948216.1600000001</v>
      </c>
      <c r="Q13" s="96">
        <v>15502169.84</v>
      </c>
      <c r="R13" s="96">
        <v>8727527.5</v>
      </c>
      <c r="S13" s="96">
        <v>793839.2</v>
      </c>
      <c r="T13" s="96">
        <v>8603583.5599999987</v>
      </c>
      <c r="U13" s="96">
        <v>19695084</v>
      </c>
      <c r="V13" s="91">
        <f>12923068-(65000*135)</f>
        <v>4148068</v>
      </c>
      <c r="W13" s="91">
        <f>10732751-(65000*135)+1500000</f>
        <v>3457751</v>
      </c>
      <c r="X13" s="91">
        <f>24209290-(115000*135)-3000000</f>
        <v>5684290</v>
      </c>
      <c r="Y13" s="91">
        <f>14242751-(65000*135)</f>
        <v>5467751</v>
      </c>
      <c r="Z13" s="91">
        <f>14430793-(65000*135)</f>
        <v>5655793</v>
      </c>
      <c r="AA13" s="91">
        <f>17329293-(115000*135)+1650000</f>
        <v>3454293</v>
      </c>
      <c r="AB13" s="95">
        <f t="shared" si="2"/>
        <v>90138366.260000005</v>
      </c>
      <c r="AE13" s="92" t="s">
        <v>2760</v>
      </c>
      <c r="AF13" s="95">
        <v>0</v>
      </c>
      <c r="AG13" s="95">
        <v>0</v>
      </c>
      <c r="AH13" s="95">
        <v>0</v>
      </c>
      <c r="AI13" s="95">
        <v>0</v>
      </c>
      <c r="AJ13" s="95">
        <v>0</v>
      </c>
      <c r="AK13" s="95">
        <v>0</v>
      </c>
      <c r="AL13" s="95">
        <v>0</v>
      </c>
      <c r="AM13" s="95">
        <v>0</v>
      </c>
      <c r="AN13" s="95">
        <v>0</v>
      </c>
      <c r="AO13" s="95">
        <v>0</v>
      </c>
      <c r="AP13" s="95">
        <v>0</v>
      </c>
      <c r="AQ13" s="95">
        <v>0</v>
      </c>
      <c r="AR13" s="95">
        <f t="shared" si="3"/>
        <v>0</v>
      </c>
      <c r="AT13" s="96">
        <v>0</v>
      </c>
      <c r="AU13" s="96">
        <v>0</v>
      </c>
      <c r="AV13" s="96">
        <v>0</v>
      </c>
      <c r="AW13" s="96">
        <v>0</v>
      </c>
      <c r="AX13" s="96">
        <v>0</v>
      </c>
      <c r="AY13" s="96">
        <v>0</v>
      </c>
      <c r="AZ13" s="91">
        <v>0</v>
      </c>
      <c r="BA13" s="91">
        <v>0</v>
      </c>
      <c r="BB13" s="91">
        <v>0</v>
      </c>
      <c r="BC13" s="91">
        <v>0</v>
      </c>
      <c r="BD13" s="91">
        <v>0</v>
      </c>
      <c r="BE13" s="91">
        <v>0</v>
      </c>
      <c r="BF13" s="95">
        <f t="shared" si="4"/>
        <v>0</v>
      </c>
    </row>
    <row r="14" spans="1:58">
      <c r="A14" s="92" t="s">
        <v>2761</v>
      </c>
      <c r="B14" s="95">
        <v>0</v>
      </c>
      <c r="C14" s="95">
        <v>0</v>
      </c>
      <c r="D14" s="95">
        <v>0</v>
      </c>
      <c r="E14" s="95">
        <v>0</v>
      </c>
      <c r="F14" s="95">
        <v>0</v>
      </c>
      <c r="G14" s="95">
        <v>0</v>
      </c>
      <c r="H14" s="95">
        <v>0</v>
      </c>
      <c r="I14" s="95">
        <v>0</v>
      </c>
      <c r="J14" s="95">
        <v>0</v>
      </c>
      <c r="K14" s="95">
        <v>0</v>
      </c>
      <c r="L14" s="95">
        <v>0</v>
      </c>
      <c r="M14" s="95">
        <v>0</v>
      </c>
      <c r="N14" s="95">
        <f t="shared" si="1"/>
        <v>0</v>
      </c>
      <c r="P14" s="96">
        <v>0</v>
      </c>
      <c r="Q14" s="96">
        <v>0</v>
      </c>
      <c r="R14" s="96">
        <v>0</v>
      </c>
      <c r="S14" s="96">
        <v>0</v>
      </c>
      <c r="T14" s="96">
        <v>0</v>
      </c>
      <c r="U14" s="96">
        <v>23728568.399999999</v>
      </c>
      <c r="V14" s="91">
        <v>0</v>
      </c>
      <c r="W14" s="91">
        <v>0</v>
      </c>
      <c r="X14" s="91">
        <v>0</v>
      </c>
      <c r="Y14" s="91">
        <v>0</v>
      </c>
      <c r="Z14" s="91">
        <v>0</v>
      </c>
      <c r="AA14" s="91">
        <v>0</v>
      </c>
      <c r="AB14" s="95">
        <f t="shared" si="2"/>
        <v>23728568.399999999</v>
      </c>
      <c r="AE14" s="92" t="s">
        <v>2761</v>
      </c>
      <c r="AF14" s="95">
        <v>35917574.920000002</v>
      </c>
      <c r="AG14" s="95">
        <v>38855706.630000003</v>
      </c>
      <c r="AH14" s="95">
        <v>33544841</v>
      </c>
      <c r="AI14" s="95">
        <f>29341020.19+8000000</f>
        <v>37341020.189999998</v>
      </c>
      <c r="AJ14" s="95">
        <f>35151342.47+8000000</f>
        <v>43151342.469999999</v>
      </c>
      <c r="AK14" s="95">
        <f>34697749.58+8000000</f>
        <v>42697749.579999998</v>
      </c>
      <c r="AL14" s="95">
        <v>55573988.390000015</v>
      </c>
      <c r="AM14" s="95">
        <f>82936074.89-24000000</f>
        <v>58936074.890000001</v>
      </c>
      <c r="AN14" s="95">
        <v>57343448.280000016</v>
      </c>
      <c r="AO14" s="95">
        <v>56673171.590000004</v>
      </c>
      <c r="AP14" s="95">
        <v>65097133.250000015</v>
      </c>
      <c r="AQ14" s="95">
        <v>57892508.390000015</v>
      </c>
      <c r="AR14" s="95">
        <f t="shared" si="3"/>
        <v>583024559.58000004</v>
      </c>
      <c r="AT14" s="96">
        <v>14260057.946</v>
      </c>
      <c r="AU14" s="96">
        <v>19982389.850000001</v>
      </c>
      <c r="AV14" s="96">
        <v>29862030.750000011</v>
      </c>
      <c r="AW14" s="96">
        <v>23434030.618000001</v>
      </c>
      <c r="AX14" s="96">
        <v>18866262.920000002</v>
      </c>
      <c r="AY14" s="96">
        <v>29783621.84</v>
      </c>
      <c r="AZ14" s="91">
        <v>45810958.387562864</v>
      </c>
      <c r="BA14" s="91">
        <v>59575664.887562864</v>
      </c>
      <c r="BB14" s="91">
        <v>65130583.271289513</v>
      </c>
      <c r="BC14" s="91">
        <v>53581236.591840148</v>
      </c>
      <c r="BD14" s="91">
        <v>57747133.24735754</v>
      </c>
      <c r="BE14" s="91">
        <v>49222508.381608009</v>
      </c>
      <c r="BF14" s="95">
        <f t="shared" si="4"/>
        <v>467256478.691221</v>
      </c>
    </row>
    <row r="15" spans="1:58" ht="15" thickBot="1">
      <c r="A15" s="79" t="s">
        <v>2762</v>
      </c>
      <c r="B15" s="97">
        <v>1957001</v>
      </c>
      <c r="C15" s="97">
        <v>2079608</v>
      </c>
      <c r="D15" s="97">
        <v>1891698</v>
      </c>
      <c r="E15" s="97">
        <v>1954115</v>
      </c>
      <c r="F15" s="97">
        <v>2037679</v>
      </c>
      <c r="G15" s="97">
        <v>2277234</v>
      </c>
      <c r="H15" s="97">
        <v>2350092</v>
      </c>
      <c r="I15" s="97">
        <v>2272360</v>
      </c>
      <c r="J15" s="97">
        <v>2475423</v>
      </c>
      <c r="K15" s="97">
        <v>2630645</v>
      </c>
      <c r="L15" s="97">
        <v>2727793</v>
      </c>
      <c r="M15" s="97">
        <v>2725301</v>
      </c>
      <c r="N15" s="97">
        <f t="shared" si="1"/>
        <v>27378949</v>
      </c>
      <c r="P15" s="98">
        <v>870597</v>
      </c>
      <c r="Q15" s="98">
        <v>1403195.63</v>
      </c>
      <c r="R15" s="98">
        <v>1236930</v>
      </c>
      <c r="S15" s="98">
        <v>10202153.82</v>
      </c>
      <c r="T15" s="98">
        <v>2013568.35</v>
      </c>
      <c r="U15" s="98">
        <v>2577805.71</v>
      </c>
      <c r="V15" s="91">
        <v>2350092</v>
      </c>
      <c r="W15" s="91">
        <v>2272360</v>
      </c>
      <c r="X15" s="91">
        <v>2475423</v>
      </c>
      <c r="Y15" s="91">
        <v>2630645</v>
      </c>
      <c r="Z15" s="91">
        <v>2727793</v>
      </c>
      <c r="AA15" s="91">
        <v>2725301</v>
      </c>
      <c r="AB15" s="97">
        <f t="shared" si="2"/>
        <v>33485864.509999998</v>
      </c>
      <c r="AE15" s="79" t="s">
        <v>2762</v>
      </c>
      <c r="AF15" s="97">
        <f>ROUND(SUM(AF6:AF14)*1.75%,0)</f>
        <v>889108</v>
      </c>
      <c r="AG15" s="97">
        <f t="shared" ref="AG15:AQ15" si="5">ROUND(SUM(AG6:AG14)*1.75%,0)</f>
        <v>929450</v>
      </c>
      <c r="AH15" s="97">
        <f t="shared" si="5"/>
        <v>881869</v>
      </c>
      <c r="AI15" s="97">
        <f t="shared" si="5"/>
        <v>946837</v>
      </c>
      <c r="AJ15" s="97">
        <f t="shared" si="5"/>
        <v>1026624</v>
      </c>
      <c r="AK15" s="97">
        <f t="shared" si="5"/>
        <v>1017266</v>
      </c>
      <c r="AL15" s="97">
        <f t="shared" si="5"/>
        <v>1306333</v>
      </c>
      <c r="AM15" s="97">
        <f t="shared" si="5"/>
        <v>1299415</v>
      </c>
      <c r="AN15" s="97">
        <f t="shared" si="5"/>
        <v>1284432</v>
      </c>
      <c r="AO15" s="97">
        <f t="shared" si="5"/>
        <v>1270829</v>
      </c>
      <c r="AP15" s="97">
        <f t="shared" si="5"/>
        <v>1418021</v>
      </c>
      <c r="AQ15" s="97">
        <f t="shared" si="5"/>
        <v>1289792</v>
      </c>
      <c r="AR15" s="97">
        <f t="shared" si="3"/>
        <v>13559976</v>
      </c>
      <c r="AT15" s="98">
        <v>598160</v>
      </c>
      <c r="AU15" s="98">
        <v>652320</v>
      </c>
      <c r="AV15" s="98">
        <v>1219315</v>
      </c>
      <c r="AW15" s="98">
        <v>1169230</v>
      </c>
      <c r="AX15" s="98">
        <v>777800</v>
      </c>
      <c r="AY15" s="98">
        <v>1347430</v>
      </c>
      <c r="AZ15" s="91">
        <v>1306333</v>
      </c>
      <c r="BA15" s="91">
        <v>1299415</v>
      </c>
      <c r="BB15" s="91">
        <v>1284432</v>
      </c>
      <c r="BC15" s="91">
        <v>1270829</v>
      </c>
      <c r="BD15" s="91">
        <v>1418021</v>
      </c>
      <c r="BE15" s="91">
        <v>1289792</v>
      </c>
      <c r="BF15" s="97">
        <f t="shared" si="4"/>
        <v>13633077</v>
      </c>
    </row>
    <row r="16" spans="1:58" ht="15" thickBot="1">
      <c r="A16" s="72"/>
      <c r="B16" s="99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P16" s="100"/>
      <c r="Q16" s="100"/>
      <c r="R16" s="100"/>
      <c r="S16" s="100"/>
      <c r="T16" s="100"/>
      <c r="U16" s="100"/>
      <c r="V16" s="101"/>
      <c r="W16" s="101"/>
      <c r="X16" s="101"/>
      <c r="Y16" s="101"/>
      <c r="Z16" s="101"/>
      <c r="AA16" s="101"/>
      <c r="AB16" s="99"/>
      <c r="AE16" s="72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T16" s="100"/>
      <c r="AU16" s="100"/>
      <c r="AV16" s="100"/>
      <c r="AW16" s="100"/>
      <c r="AX16" s="100"/>
      <c r="AY16" s="100"/>
      <c r="AZ16" s="101"/>
      <c r="BA16" s="101"/>
      <c r="BB16" s="101"/>
      <c r="BC16" s="101"/>
      <c r="BD16" s="101"/>
      <c r="BE16" s="101"/>
      <c r="BF16" s="99"/>
    </row>
    <row r="17" spans="1:58" ht="15.75" thickBot="1">
      <c r="A17" s="84" t="s">
        <v>2763</v>
      </c>
      <c r="B17" s="102">
        <f t="shared" ref="B17:N17" si="6">SUM(B6:B15)</f>
        <v>190321518</v>
      </c>
      <c r="C17" s="102">
        <f t="shared" si="6"/>
        <v>202238932</v>
      </c>
      <c r="D17" s="102">
        <f t="shared" si="6"/>
        <v>183974057</v>
      </c>
      <c r="E17" s="102">
        <f t="shared" si="6"/>
        <v>190142002</v>
      </c>
      <c r="F17" s="102">
        <f t="shared" si="6"/>
        <v>198264390</v>
      </c>
      <c r="G17" s="102">
        <f t="shared" si="6"/>
        <v>221650175</v>
      </c>
      <c r="H17" s="102">
        <f t="shared" si="6"/>
        <v>228327966</v>
      </c>
      <c r="I17" s="102">
        <f t="shared" si="6"/>
        <v>220873376</v>
      </c>
      <c r="J17" s="102">
        <f t="shared" si="6"/>
        <v>240611067.99999997</v>
      </c>
      <c r="K17" s="102">
        <f t="shared" si="6"/>
        <v>255395734</v>
      </c>
      <c r="L17" s="102">
        <f t="shared" si="6"/>
        <v>264838444</v>
      </c>
      <c r="M17" s="102">
        <f t="shared" si="6"/>
        <v>264596241</v>
      </c>
      <c r="N17" s="102">
        <f t="shared" si="6"/>
        <v>2661233903</v>
      </c>
      <c r="P17" s="103">
        <v>196066946.37649998</v>
      </c>
      <c r="Q17" s="103">
        <v>203161413.396</v>
      </c>
      <c r="R17" s="103">
        <v>188702815.62</v>
      </c>
      <c r="S17" s="103">
        <v>197213292.28300005</v>
      </c>
      <c r="T17" s="103">
        <f t="shared" ref="T17:AB17" si="7">SUM(T6:T15)</f>
        <v>202705514.96000004</v>
      </c>
      <c r="U17" s="103">
        <f t="shared" si="7"/>
        <v>222918038.32000002</v>
      </c>
      <c r="V17" s="104">
        <f t="shared" si="7"/>
        <v>206552966</v>
      </c>
      <c r="W17" s="104">
        <f t="shared" si="7"/>
        <v>208598376</v>
      </c>
      <c r="X17" s="104">
        <f t="shared" si="7"/>
        <v>211086067.99999997</v>
      </c>
      <c r="Y17" s="104">
        <f t="shared" si="7"/>
        <v>220620734</v>
      </c>
      <c r="Z17" s="104">
        <f t="shared" si="7"/>
        <v>224063444</v>
      </c>
      <c r="AA17" s="104">
        <f t="shared" si="7"/>
        <v>220721241.00000003</v>
      </c>
      <c r="AB17" s="102">
        <f t="shared" si="7"/>
        <v>2502410849.9530005</v>
      </c>
      <c r="AE17" s="84" t="s">
        <v>2763</v>
      </c>
      <c r="AF17" s="102">
        <f t="shared" ref="AF17:AR17" si="8">SUM(AF6:AF15)</f>
        <v>51695299.450000003</v>
      </c>
      <c r="AG17" s="102">
        <f t="shared" si="8"/>
        <v>54040855.670000002</v>
      </c>
      <c r="AH17" s="102">
        <f t="shared" si="8"/>
        <v>51274409.039999999</v>
      </c>
      <c r="AI17" s="102">
        <f t="shared" si="8"/>
        <v>55051832.019999996</v>
      </c>
      <c r="AJ17" s="102">
        <f t="shared" si="8"/>
        <v>59690833.299999997</v>
      </c>
      <c r="AK17" s="102">
        <f t="shared" si="8"/>
        <v>59146731.530000001</v>
      </c>
      <c r="AL17" s="102">
        <f t="shared" si="8"/>
        <v>75953917.610000014</v>
      </c>
      <c r="AM17" s="102">
        <f t="shared" si="8"/>
        <v>75551699.379999995</v>
      </c>
      <c r="AN17" s="102">
        <f t="shared" si="8"/>
        <v>74680537.830000013</v>
      </c>
      <c r="AO17" s="102">
        <f t="shared" si="8"/>
        <v>73889635.390000001</v>
      </c>
      <c r="AP17" s="102">
        <f t="shared" si="8"/>
        <v>82447816.770000011</v>
      </c>
      <c r="AQ17" s="102">
        <f t="shared" si="8"/>
        <v>74992210.520000011</v>
      </c>
      <c r="AR17" s="102">
        <f t="shared" si="8"/>
        <v>788415778.50999999</v>
      </c>
      <c r="AS17" s="105"/>
      <c r="AT17" s="103">
        <v>30653983.346000001</v>
      </c>
      <c r="AU17" s="103">
        <v>32473365.850000001</v>
      </c>
      <c r="AV17" s="103">
        <v>39630886.95000001</v>
      </c>
      <c r="AW17" s="103">
        <v>34326426.218000002</v>
      </c>
      <c r="AX17" s="103">
        <f t="shared" ref="AX17:BF17" si="9">SUM(AX6:AX15)</f>
        <v>31127300.32</v>
      </c>
      <c r="AY17" s="103">
        <f t="shared" si="9"/>
        <v>44178771.539999999</v>
      </c>
      <c r="AZ17" s="104">
        <v>64190887.607562862</v>
      </c>
      <c r="BA17" s="104">
        <v>76191289.377562866</v>
      </c>
      <c r="BB17" s="104">
        <v>82467672.82128951</v>
      </c>
      <c r="BC17" s="104">
        <v>73797700.391840145</v>
      </c>
      <c r="BD17" s="104">
        <v>78097816.767357543</v>
      </c>
      <c r="BE17" s="104">
        <v>70322210.511608005</v>
      </c>
      <c r="BF17" s="102">
        <f t="shared" si="9"/>
        <v>657458311.70122099</v>
      </c>
    </row>
    <row r="22" spans="1:58" ht="15">
      <c r="U22" s="106"/>
      <c r="V22" s="106"/>
      <c r="W22" s="106"/>
    </row>
    <row r="23" spans="1:58" ht="15">
      <c r="B23" s="107"/>
      <c r="C23" s="108" t="s">
        <v>2764</v>
      </c>
      <c r="D23" s="108"/>
      <c r="E23" s="108"/>
      <c r="I23" s="108" t="s">
        <v>2764</v>
      </c>
      <c r="J23" s="108"/>
      <c r="K23" s="108"/>
      <c r="O23" s="108" t="s">
        <v>2764</v>
      </c>
      <c r="P23" s="108"/>
      <c r="Q23" s="108"/>
      <c r="U23" s="108" t="s">
        <v>2764</v>
      </c>
      <c r="V23" s="108"/>
      <c r="W23" s="108"/>
    </row>
    <row r="24" spans="1:58" ht="15">
      <c r="B24" s="107"/>
      <c r="C24" s="109">
        <v>46048</v>
      </c>
      <c r="D24" s="109"/>
      <c r="E24" s="109"/>
      <c r="I24" s="109">
        <v>46079</v>
      </c>
      <c r="J24" s="109"/>
      <c r="K24" s="109"/>
      <c r="O24" s="109">
        <v>46107</v>
      </c>
      <c r="P24" s="109"/>
      <c r="Q24" s="109"/>
      <c r="U24" s="109" t="s">
        <v>2765</v>
      </c>
      <c r="V24" s="109"/>
      <c r="W24" s="109"/>
    </row>
    <row r="25" spans="1:58" ht="15">
      <c r="B25" s="110" t="s">
        <v>2766</v>
      </c>
      <c r="C25" s="111" t="s">
        <v>2767</v>
      </c>
      <c r="D25" s="112" t="s">
        <v>2768</v>
      </c>
      <c r="E25" s="111" t="s">
        <v>2769</v>
      </c>
      <c r="I25" s="113" t="s">
        <v>2770</v>
      </c>
      <c r="J25" s="114" t="s">
        <v>2771</v>
      </c>
      <c r="K25" s="113" t="s">
        <v>2772</v>
      </c>
      <c r="O25" s="113" t="s">
        <v>2773</v>
      </c>
      <c r="P25" s="114" t="s">
        <v>2774</v>
      </c>
      <c r="Q25" s="113" t="s">
        <v>2775</v>
      </c>
      <c r="U25" s="115" t="s">
        <v>2776</v>
      </c>
      <c r="V25" s="115" t="s">
        <v>2777</v>
      </c>
      <c r="W25" s="115" t="s">
        <v>2778</v>
      </c>
    </row>
    <row r="26" spans="1:58" ht="15">
      <c r="B26" s="116" t="s">
        <v>2779</v>
      </c>
      <c r="C26" s="117">
        <v>1000000</v>
      </c>
      <c r="D26" s="117">
        <v>2500000</v>
      </c>
      <c r="E26" s="117">
        <v>5000</v>
      </c>
      <c r="I26" s="117">
        <v>2000000</v>
      </c>
      <c r="J26" s="117">
        <v>5000000</v>
      </c>
      <c r="K26" s="117">
        <v>10000</v>
      </c>
      <c r="O26" s="117">
        <v>2000000</v>
      </c>
      <c r="P26" s="117">
        <v>5000000</v>
      </c>
      <c r="Q26" s="117">
        <v>10000</v>
      </c>
      <c r="U26" s="118">
        <f>C26+I26+O26</f>
        <v>5000000</v>
      </c>
      <c r="V26" s="118">
        <f t="shared" ref="V26:W33" si="10">D26+J26+P26</f>
        <v>12500000</v>
      </c>
      <c r="W26" s="118">
        <f t="shared" si="10"/>
        <v>25000</v>
      </c>
    </row>
    <row r="27" spans="1:58" ht="15">
      <c r="B27" s="116" t="s">
        <v>2780</v>
      </c>
      <c r="C27" s="117">
        <v>30000000</v>
      </c>
      <c r="D27" s="117">
        <v>10800000</v>
      </c>
      <c r="E27" s="117">
        <v>60000</v>
      </c>
      <c r="I27" s="117">
        <v>30000000</v>
      </c>
      <c r="J27" s="117">
        <v>10800000</v>
      </c>
      <c r="K27" s="117">
        <v>60000</v>
      </c>
      <c r="O27" s="117">
        <v>30000000</v>
      </c>
      <c r="P27" s="117">
        <v>10800000</v>
      </c>
      <c r="Q27" s="117">
        <v>60000</v>
      </c>
      <c r="U27" s="118">
        <f t="shared" ref="U27:U33" si="11">C27+I27+O27</f>
        <v>90000000</v>
      </c>
      <c r="V27" s="118">
        <f t="shared" si="10"/>
        <v>32400000</v>
      </c>
      <c r="W27" s="118">
        <f t="shared" si="10"/>
        <v>180000</v>
      </c>
    </row>
    <row r="28" spans="1:58" ht="15">
      <c r="B28" s="116" t="s">
        <v>2781</v>
      </c>
      <c r="C28" s="117">
        <v>885250</v>
      </c>
      <c r="D28" s="117">
        <v>3550965.1168861724</v>
      </c>
      <c r="E28" s="117">
        <v>6250.25</v>
      </c>
      <c r="I28" s="117">
        <v>743750</v>
      </c>
      <c r="J28" s="117">
        <v>3013791.616886172</v>
      </c>
      <c r="K28" s="117">
        <v>5145.25</v>
      </c>
      <c r="O28" s="117">
        <v>670000</v>
      </c>
      <c r="P28" s="117">
        <v>2733457.8668861715</v>
      </c>
      <c r="Q28" s="117">
        <v>4573</v>
      </c>
      <c r="U28" s="118">
        <f t="shared" si="11"/>
        <v>2299000</v>
      </c>
      <c r="V28" s="118">
        <f t="shared" si="10"/>
        <v>9298214.6006585173</v>
      </c>
      <c r="W28" s="118">
        <f t="shared" si="10"/>
        <v>15968.5</v>
      </c>
    </row>
    <row r="29" spans="1:58" ht="15">
      <c r="B29" s="116" t="s">
        <v>2782</v>
      </c>
      <c r="C29" s="117">
        <v>2526000</v>
      </c>
      <c r="D29" s="117">
        <v>1540860</v>
      </c>
      <c r="E29" s="117">
        <v>5809.7999999999993</v>
      </c>
      <c r="I29" s="117">
        <v>3234000</v>
      </c>
      <c r="J29" s="117">
        <v>1972740</v>
      </c>
      <c r="K29" s="117">
        <v>7438.1999999999989</v>
      </c>
      <c r="O29" s="117">
        <v>4392000</v>
      </c>
      <c r="P29" s="117">
        <v>2707992.1337266471</v>
      </c>
      <c r="Q29" s="117">
        <v>10101.599999999999</v>
      </c>
      <c r="U29" s="118">
        <f t="shared" si="11"/>
        <v>10152000</v>
      </c>
      <c r="V29" s="118">
        <f t="shared" si="10"/>
        <v>6221592.1337266471</v>
      </c>
      <c r="W29" s="118">
        <f t="shared" si="10"/>
        <v>23349.599999999999</v>
      </c>
    </row>
    <row r="30" spans="1:58" ht="15">
      <c r="B30" s="116" t="s">
        <v>415</v>
      </c>
      <c r="C30" s="117">
        <v>2000000</v>
      </c>
      <c r="D30" s="117">
        <v>3339133.2706766906</v>
      </c>
      <c r="E30" s="117">
        <v>24600</v>
      </c>
      <c r="I30" s="117">
        <v>2000000</v>
      </c>
      <c r="J30" s="117">
        <v>3339133.2706766906</v>
      </c>
      <c r="K30" s="117">
        <v>24600</v>
      </c>
      <c r="O30" s="117">
        <v>2000000</v>
      </c>
      <c r="P30" s="117">
        <v>3339133.2706766906</v>
      </c>
      <c r="Q30" s="117">
        <v>24600</v>
      </c>
      <c r="U30" s="118">
        <f t="shared" si="11"/>
        <v>6000000</v>
      </c>
      <c r="V30" s="118">
        <f t="shared" si="10"/>
        <v>10017399.812030071</v>
      </c>
      <c r="W30" s="118">
        <f t="shared" si="10"/>
        <v>73800</v>
      </c>
    </row>
    <row r="31" spans="1:58" ht="15">
      <c r="B31" s="116" t="s">
        <v>2783</v>
      </c>
      <c r="C31" s="117">
        <v>31629000</v>
      </c>
      <c r="D31" s="117">
        <v>33843030</v>
      </c>
      <c r="E31" s="117">
        <v>142330.5</v>
      </c>
      <c r="I31" s="117">
        <v>32533095</v>
      </c>
      <c r="J31" s="117">
        <v>34810411.649999999</v>
      </c>
      <c r="K31" s="117">
        <v>146398.92749999999</v>
      </c>
      <c r="O31" s="117">
        <v>30619500</v>
      </c>
      <c r="P31" s="117">
        <v>32762865</v>
      </c>
      <c r="Q31" s="117">
        <v>137787.75</v>
      </c>
      <c r="U31" s="118">
        <f t="shared" si="11"/>
        <v>94781595</v>
      </c>
      <c r="V31" s="118">
        <f t="shared" si="10"/>
        <v>101416306.65000001</v>
      </c>
      <c r="W31" s="118">
        <f t="shared" si="10"/>
        <v>426517.17749999999</v>
      </c>
    </row>
    <row r="32" spans="1:58" ht="15">
      <c r="B32" s="116" t="s">
        <v>2784</v>
      </c>
      <c r="C32" s="117"/>
      <c r="D32" s="117"/>
      <c r="E32" s="117"/>
      <c r="I32" s="117"/>
      <c r="J32" s="117"/>
      <c r="K32" s="117"/>
      <c r="O32" s="117"/>
      <c r="P32" s="117"/>
      <c r="Q32" s="117"/>
      <c r="U32" s="118">
        <f t="shared" si="11"/>
        <v>0</v>
      </c>
      <c r="V32" s="118">
        <f t="shared" si="10"/>
        <v>0</v>
      </c>
      <c r="W32" s="118">
        <f t="shared" si="10"/>
        <v>0</v>
      </c>
    </row>
    <row r="33" spans="2:23" ht="15">
      <c r="B33" s="119" t="s">
        <v>2785</v>
      </c>
      <c r="C33" s="114">
        <f>SUM(C26:C32)</f>
        <v>68040250</v>
      </c>
      <c r="D33" s="114">
        <f t="shared" ref="D33:Q33" si="12">SUM(D26:D32)</f>
        <v>55573988.387562864</v>
      </c>
      <c r="E33" s="114">
        <f t="shared" si="12"/>
        <v>243990.55</v>
      </c>
      <c r="I33" s="114">
        <f t="shared" si="12"/>
        <v>70510845</v>
      </c>
      <c r="J33" s="114">
        <f t="shared" si="12"/>
        <v>58936076.537562862</v>
      </c>
      <c r="K33" s="114">
        <f t="shared" si="12"/>
        <v>253582.3775</v>
      </c>
      <c r="O33" s="114">
        <f t="shared" si="12"/>
        <v>69681500</v>
      </c>
      <c r="P33" s="114">
        <f t="shared" si="12"/>
        <v>57343448.271289513</v>
      </c>
      <c r="Q33" s="114">
        <f t="shared" si="12"/>
        <v>247062.35</v>
      </c>
      <c r="U33" s="118">
        <f t="shared" si="11"/>
        <v>208232595</v>
      </c>
      <c r="V33" s="118">
        <f t="shared" si="10"/>
        <v>171853513.19641525</v>
      </c>
      <c r="W33" s="118">
        <f t="shared" si="10"/>
        <v>744635.27749999997</v>
      </c>
    </row>
    <row r="34" spans="2:23" ht="15">
      <c r="U34" s="106"/>
      <c r="V34" s="106"/>
      <c r="W34" s="106"/>
    </row>
    <row r="35" spans="2:23" ht="15">
      <c r="B35" s="107"/>
      <c r="C35" s="108" t="s">
        <v>2786</v>
      </c>
      <c r="D35" s="108"/>
      <c r="E35" s="108"/>
      <c r="I35" s="108" t="s">
        <v>2786</v>
      </c>
      <c r="J35" s="108"/>
      <c r="K35" s="108"/>
      <c r="O35" s="108" t="s">
        <v>2786</v>
      </c>
      <c r="P35" s="108"/>
      <c r="Q35" s="108"/>
      <c r="U35" s="108" t="s">
        <v>2786</v>
      </c>
      <c r="V35" s="108"/>
      <c r="W35" s="108"/>
    </row>
    <row r="36" spans="2:23" ht="15">
      <c r="B36" s="107"/>
      <c r="C36" s="109">
        <v>46048</v>
      </c>
      <c r="D36" s="109"/>
      <c r="E36" s="109"/>
      <c r="I36" s="109">
        <v>46079</v>
      </c>
      <c r="J36" s="109"/>
      <c r="K36" s="109"/>
      <c r="O36" s="109">
        <v>46107</v>
      </c>
      <c r="P36" s="109"/>
      <c r="Q36" s="109"/>
      <c r="U36" s="109" t="s">
        <v>2765</v>
      </c>
      <c r="V36" s="109"/>
      <c r="W36" s="109"/>
    </row>
    <row r="37" spans="2:23" ht="15">
      <c r="B37" s="110" t="s">
        <v>2766</v>
      </c>
      <c r="C37" s="111" t="s">
        <v>2767</v>
      </c>
      <c r="D37" s="112" t="s">
        <v>2768</v>
      </c>
      <c r="E37" s="111" t="s">
        <v>2769</v>
      </c>
      <c r="I37" s="113" t="s">
        <v>2770</v>
      </c>
      <c r="J37" s="114" t="s">
        <v>2771</v>
      </c>
      <c r="K37" s="113" t="s">
        <v>2772</v>
      </c>
      <c r="O37" s="113" t="s">
        <v>2773</v>
      </c>
      <c r="P37" s="114" t="s">
        <v>2774</v>
      </c>
      <c r="Q37" s="113" t="s">
        <v>2775</v>
      </c>
      <c r="U37" s="115" t="s">
        <v>2776</v>
      </c>
      <c r="V37" s="115" t="s">
        <v>2777</v>
      </c>
      <c r="W37" s="115" t="s">
        <v>2778</v>
      </c>
    </row>
    <row r="38" spans="2:23" ht="15">
      <c r="B38" s="116" t="s">
        <v>2779</v>
      </c>
      <c r="C38" s="117">
        <v>1000000</v>
      </c>
      <c r="D38" s="117">
        <v>2500000</v>
      </c>
      <c r="E38" s="117">
        <v>5000</v>
      </c>
      <c r="I38" s="117">
        <v>2000000</v>
      </c>
      <c r="J38" s="117">
        <v>5000000</v>
      </c>
      <c r="K38" s="117">
        <v>10000</v>
      </c>
      <c r="O38" s="117">
        <v>2000000</v>
      </c>
      <c r="P38" s="117">
        <v>5000000</v>
      </c>
      <c r="Q38" s="117">
        <v>10000</v>
      </c>
      <c r="U38" s="118">
        <f>C38+I38+O38</f>
        <v>5000000</v>
      </c>
      <c r="V38" s="118">
        <f t="shared" ref="V38:W45" si="13">D38+J38+P38</f>
        <v>12500000</v>
      </c>
      <c r="W38" s="118">
        <f t="shared" si="13"/>
        <v>25000</v>
      </c>
    </row>
    <row r="39" spans="2:23" ht="15">
      <c r="B39" s="116" t="s">
        <v>2780</v>
      </c>
      <c r="C39" s="117">
        <v>30000000</v>
      </c>
      <c r="D39" s="117">
        <v>10800000</v>
      </c>
      <c r="E39" s="117">
        <v>60000</v>
      </c>
      <c r="I39" s="117">
        <v>30000000</v>
      </c>
      <c r="J39" s="117">
        <v>10800000</v>
      </c>
      <c r="K39" s="117">
        <v>60000</v>
      </c>
      <c r="O39" s="117">
        <v>30000000</v>
      </c>
      <c r="P39" s="117">
        <v>10800000</v>
      </c>
      <c r="Q39" s="117">
        <v>60000</v>
      </c>
      <c r="U39" s="118">
        <f t="shared" ref="U39:U45" si="14">C39+I39+O39</f>
        <v>90000000</v>
      </c>
      <c r="V39" s="118">
        <f t="shared" si="13"/>
        <v>32400000</v>
      </c>
      <c r="W39" s="118">
        <f t="shared" si="13"/>
        <v>180000</v>
      </c>
    </row>
    <row r="40" spans="2:23" ht="15">
      <c r="B40" s="116" t="s">
        <v>2781</v>
      </c>
      <c r="C40" s="117">
        <v>885250</v>
      </c>
      <c r="D40" s="117">
        <v>3550965.1168861724</v>
      </c>
      <c r="E40" s="117">
        <v>6250.25</v>
      </c>
      <c r="I40" s="117">
        <v>743750</v>
      </c>
      <c r="J40" s="117">
        <v>3013791.616886172</v>
      </c>
      <c r="K40" s="117">
        <v>5145.25</v>
      </c>
      <c r="O40" s="117">
        <v>670000</v>
      </c>
      <c r="P40" s="117">
        <v>2733457.8668861715</v>
      </c>
      <c r="Q40" s="117">
        <v>4573</v>
      </c>
      <c r="U40" s="118">
        <f t="shared" si="14"/>
        <v>2299000</v>
      </c>
      <c r="V40" s="118">
        <f t="shared" si="13"/>
        <v>9298214.6006585173</v>
      </c>
      <c r="W40" s="118">
        <f t="shared" si="13"/>
        <v>15968.5</v>
      </c>
    </row>
    <row r="41" spans="2:23" ht="15">
      <c r="B41" s="116" t="s">
        <v>2782</v>
      </c>
      <c r="C41" s="117">
        <v>2526000</v>
      </c>
      <c r="D41" s="117">
        <v>1540860</v>
      </c>
      <c r="E41" s="117">
        <v>5809.7999999999993</v>
      </c>
      <c r="I41" s="117">
        <v>3234000</v>
      </c>
      <c r="J41" s="117">
        <v>1972740</v>
      </c>
      <c r="K41" s="117">
        <v>7438.1999999999989</v>
      </c>
      <c r="O41" s="117">
        <v>4392000</v>
      </c>
      <c r="P41" s="117">
        <v>2707992.1337266471</v>
      </c>
      <c r="Q41" s="117">
        <v>10101.599999999999</v>
      </c>
      <c r="U41" s="118">
        <f t="shared" si="14"/>
        <v>10152000</v>
      </c>
      <c r="V41" s="118">
        <f t="shared" si="13"/>
        <v>6221592.1337266471</v>
      </c>
      <c r="W41" s="118">
        <f t="shared" si="13"/>
        <v>23349.599999999999</v>
      </c>
    </row>
    <row r="42" spans="2:23" ht="15">
      <c r="B42" s="116" t="s">
        <v>415</v>
      </c>
      <c r="C42" s="117">
        <v>2000000</v>
      </c>
      <c r="D42" s="117">
        <v>3339133.2706766906</v>
      </c>
      <c r="E42" s="117">
        <v>24600</v>
      </c>
      <c r="I42" s="117">
        <v>2000000</v>
      </c>
      <c r="J42" s="117">
        <v>3339133.2706766906</v>
      </c>
      <c r="K42" s="117">
        <v>24600</v>
      </c>
      <c r="O42" s="117">
        <v>2000000</v>
      </c>
      <c r="P42" s="117">
        <v>3339133.2706766906</v>
      </c>
      <c r="Q42" s="117">
        <v>24600</v>
      </c>
      <c r="U42" s="118">
        <f t="shared" si="14"/>
        <v>6000000</v>
      </c>
      <c r="V42" s="118">
        <f t="shared" si="13"/>
        <v>10017399.812030071</v>
      </c>
      <c r="W42" s="118">
        <f t="shared" si="13"/>
        <v>73800</v>
      </c>
    </row>
    <row r="43" spans="2:23" ht="15">
      <c r="B43" s="116" t="s">
        <v>2783</v>
      </c>
      <c r="C43" s="117">
        <v>31629000</v>
      </c>
      <c r="D43" s="120">
        <f>D31*C43/C31</f>
        <v>33843030</v>
      </c>
      <c r="E43" s="121">
        <f>C43*E31/C31</f>
        <v>142330.5</v>
      </c>
      <c r="I43" s="117">
        <v>54963000</v>
      </c>
      <c r="J43" s="120">
        <f>J31*I43/I31</f>
        <v>58810410</v>
      </c>
      <c r="K43" s="121">
        <f>I43*K31/I31</f>
        <v>247333.49999999997</v>
      </c>
      <c r="O43" s="120">
        <v>41609250</v>
      </c>
      <c r="P43" s="120">
        <f>P31*O43/O31</f>
        <v>44521897.5</v>
      </c>
      <c r="Q43" s="121">
        <f>O43*Q31/O31</f>
        <v>187241.625</v>
      </c>
      <c r="U43" s="118">
        <f t="shared" si="14"/>
        <v>128201250</v>
      </c>
      <c r="V43" s="118">
        <f t="shared" si="13"/>
        <v>137175337.5</v>
      </c>
      <c r="W43" s="118">
        <f t="shared" si="13"/>
        <v>576905.625</v>
      </c>
    </row>
    <row r="44" spans="2:23" ht="15">
      <c r="B44" s="116" t="s">
        <v>2784</v>
      </c>
      <c r="C44" s="117"/>
      <c r="D44" s="117"/>
      <c r="E44" s="117"/>
      <c r="I44" s="117"/>
      <c r="J44" s="117"/>
      <c r="K44" s="117"/>
      <c r="O44" s="117"/>
      <c r="P44" s="117"/>
      <c r="Q44" s="117"/>
      <c r="U44" s="118">
        <f t="shared" si="14"/>
        <v>0</v>
      </c>
      <c r="V44" s="118">
        <f t="shared" si="13"/>
        <v>0</v>
      </c>
      <c r="W44" s="118">
        <f t="shared" si="13"/>
        <v>0</v>
      </c>
    </row>
    <row r="45" spans="2:23" ht="15">
      <c r="B45" s="119" t="s">
        <v>2785</v>
      </c>
      <c r="C45" s="114">
        <f>SUM(C38:C44)</f>
        <v>68040250</v>
      </c>
      <c r="D45" s="114">
        <f t="shared" ref="D45:E45" si="15">SUM(D38:D44)</f>
        <v>55573988.387562864</v>
      </c>
      <c r="E45" s="114">
        <f t="shared" si="15"/>
        <v>243990.55</v>
      </c>
      <c r="I45" s="114">
        <f t="shared" ref="I45:K45" si="16">SUM(I38:I44)</f>
        <v>92940750</v>
      </c>
      <c r="J45" s="114">
        <f t="shared" si="16"/>
        <v>82936074.887562871</v>
      </c>
      <c r="K45" s="114">
        <f t="shared" si="16"/>
        <v>354516.94999999995</v>
      </c>
      <c r="O45" s="114">
        <f t="shared" ref="O45:Q45" si="17">SUM(O38:O44)</f>
        <v>80671250</v>
      </c>
      <c r="P45" s="114">
        <f t="shared" si="17"/>
        <v>69102480.771289513</v>
      </c>
      <c r="Q45" s="114">
        <f t="shared" si="17"/>
        <v>296516.22499999998</v>
      </c>
      <c r="U45" s="118">
        <f t="shared" si="14"/>
        <v>241652250</v>
      </c>
      <c r="V45" s="118">
        <f t="shared" si="13"/>
        <v>207612544.04641527</v>
      </c>
      <c r="W45" s="118">
        <f t="shared" si="13"/>
        <v>895023.72499999998</v>
      </c>
    </row>
    <row r="46" spans="2:23" ht="15">
      <c r="U46" s="106"/>
      <c r="V46" s="106"/>
      <c r="W46" s="106"/>
    </row>
    <row r="47" spans="2:23" ht="15">
      <c r="B47" s="107"/>
      <c r="C47" s="108" t="s">
        <v>2787</v>
      </c>
      <c r="D47" s="108"/>
      <c r="E47" s="108"/>
      <c r="I47" s="108" t="s">
        <v>2787</v>
      </c>
      <c r="J47" s="108"/>
      <c r="K47" s="108"/>
      <c r="O47" s="108" t="s">
        <v>2787</v>
      </c>
      <c r="P47" s="108"/>
      <c r="Q47" s="108"/>
      <c r="U47" s="108" t="s">
        <v>2787</v>
      </c>
      <c r="V47" s="108"/>
      <c r="W47" s="108"/>
    </row>
    <row r="48" spans="2:23" ht="15">
      <c r="B48" s="107"/>
      <c r="C48" s="109">
        <v>46048</v>
      </c>
      <c r="D48" s="109"/>
      <c r="E48" s="109"/>
      <c r="I48" s="109">
        <v>46079</v>
      </c>
      <c r="J48" s="109"/>
      <c r="K48" s="109"/>
      <c r="O48" s="109">
        <v>46107</v>
      </c>
      <c r="P48" s="109"/>
      <c r="Q48" s="109"/>
      <c r="U48" s="109" t="s">
        <v>2765</v>
      </c>
      <c r="V48" s="109"/>
      <c r="W48" s="109"/>
    </row>
    <row r="49" spans="2:23" ht="15">
      <c r="B49" s="110" t="s">
        <v>2766</v>
      </c>
      <c r="C49" s="111" t="s">
        <v>2767</v>
      </c>
      <c r="D49" s="112" t="s">
        <v>2768</v>
      </c>
      <c r="E49" s="111" t="s">
        <v>2769</v>
      </c>
      <c r="I49" s="113" t="s">
        <v>2770</v>
      </c>
      <c r="J49" s="114" t="s">
        <v>2771</v>
      </c>
      <c r="K49" s="113" t="s">
        <v>2772</v>
      </c>
      <c r="O49" s="113" t="s">
        <v>2773</v>
      </c>
      <c r="P49" s="114" t="s">
        <v>2774</v>
      </c>
      <c r="Q49" s="113" t="s">
        <v>2775</v>
      </c>
      <c r="U49" s="115" t="s">
        <v>2776</v>
      </c>
      <c r="V49" s="115" t="s">
        <v>2777</v>
      </c>
      <c r="W49" s="115" t="s">
        <v>2778</v>
      </c>
    </row>
    <row r="50" spans="2:23" ht="15">
      <c r="B50" s="116" t="s">
        <v>2779</v>
      </c>
      <c r="C50" s="117">
        <v>0</v>
      </c>
      <c r="D50" s="117">
        <f t="shared" ref="D50:D54" si="18">D38*C50/C38</f>
        <v>0</v>
      </c>
      <c r="E50" s="122">
        <f t="shared" ref="E50:E54" si="19">C50*E38/C38</f>
        <v>0</v>
      </c>
      <c r="I50" s="117">
        <v>500000</v>
      </c>
      <c r="J50" s="117">
        <f t="shared" ref="J50:J54" si="20">J38*I50/I38</f>
        <v>1250000</v>
      </c>
      <c r="K50" s="122">
        <f t="shared" ref="K50:K54" si="21">I50*K38/I38</f>
        <v>2500</v>
      </c>
      <c r="O50" s="117">
        <v>500000</v>
      </c>
      <c r="P50" s="117">
        <f t="shared" ref="P50:P54" si="22">P38*O50/O38</f>
        <v>1250000</v>
      </c>
      <c r="Q50" s="122">
        <f t="shared" ref="Q50:Q54" si="23">O50*Q38/O38</f>
        <v>2500</v>
      </c>
      <c r="U50" s="118">
        <f>C50+I50+O50</f>
        <v>1000000</v>
      </c>
      <c r="V50" s="118">
        <f t="shared" ref="V50:W57" si="24">D50+J50+P50</f>
        <v>2500000</v>
      </c>
      <c r="W50" s="118">
        <f t="shared" si="24"/>
        <v>5000</v>
      </c>
    </row>
    <row r="51" spans="2:23" ht="15">
      <c r="B51" s="116" t="s">
        <v>2780</v>
      </c>
      <c r="C51" s="117">
        <v>10000000</v>
      </c>
      <c r="D51" s="117">
        <f t="shared" si="18"/>
        <v>3600000</v>
      </c>
      <c r="E51" s="122">
        <f t="shared" si="19"/>
        <v>20000</v>
      </c>
      <c r="I51" s="117">
        <v>20000000</v>
      </c>
      <c r="J51" s="117">
        <f t="shared" si="20"/>
        <v>7200000</v>
      </c>
      <c r="K51" s="122">
        <f t="shared" si="21"/>
        <v>40000</v>
      </c>
      <c r="O51" s="117">
        <v>20000000</v>
      </c>
      <c r="P51" s="117">
        <f t="shared" si="22"/>
        <v>7200000</v>
      </c>
      <c r="Q51" s="122">
        <f t="shared" si="23"/>
        <v>40000</v>
      </c>
      <c r="U51" s="118">
        <f t="shared" ref="U51:U57" si="25">C51+I51+O51</f>
        <v>50000000</v>
      </c>
      <c r="V51" s="118">
        <f t="shared" si="24"/>
        <v>18000000</v>
      </c>
      <c r="W51" s="118">
        <f t="shared" si="24"/>
        <v>100000</v>
      </c>
    </row>
    <row r="52" spans="2:23" ht="15">
      <c r="B52" s="116" t="s">
        <v>2781</v>
      </c>
      <c r="C52" s="117">
        <v>885250</v>
      </c>
      <c r="D52" s="117">
        <f t="shared" si="18"/>
        <v>3550965.1168861729</v>
      </c>
      <c r="E52" s="122">
        <f t="shared" si="19"/>
        <v>6250.25</v>
      </c>
      <c r="I52" s="117">
        <v>743750</v>
      </c>
      <c r="J52" s="117">
        <f t="shared" si="20"/>
        <v>3013791.616886172</v>
      </c>
      <c r="K52" s="122">
        <f t="shared" si="21"/>
        <v>5145.25</v>
      </c>
      <c r="O52" s="117">
        <v>670000</v>
      </c>
      <c r="P52" s="117">
        <f t="shared" si="22"/>
        <v>2733457.8668861715</v>
      </c>
      <c r="Q52" s="122">
        <f t="shared" si="23"/>
        <v>4573</v>
      </c>
      <c r="U52" s="118">
        <f t="shared" si="25"/>
        <v>2299000</v>
      </c>
      <c r="V52" s="118">
        <f t="shared" si="24"/>
        <v>9298214.6006585173</v>
      </c>
      <c r="W52" s="118">
        <f t="shared" si="24"/>
        <v>15968.5</v>
      </c>
    </row>
    <row r="53" spans="2:23" ht="15">
      <c r="B53" s="116" t="s">
        <v>2782</v>
      </c>
      <c r="C53" s="117">
        <v>2526000</v>
      </c>
      <c r="D53" s="117">
        <f t="shared" si="18"/>
        <v>1540860</v>
      </c>
      <c r="E53" s="122">
        <f t="shared" si="19"/>
        <v>5809.7999999999993</v>
      </c>
      <c r="I53" s="117">
        <v>3234000</v>
      </c>
      <c r="J53" s="117">
        <f t="shared" si="20"/>
        <v>1972740</v>
      </c>
      <c r="K53" s="122">
        <f t="shared" si="21"/>
        <v>7438.1999999999989</v>
      </c>
      <c r="O53" s="117">
        <v>4392000</v>
      </c>
      <c r="P53" s="117">
        <f t="shared" si="22"/>
        <v>2707992.1337266471</v>
      </c>
      <c r="Q53" s="122">
        <f t="shared" si="23"/>
        <v>10101.599999999999</v>
      </c>
      <c r="U53" s="118">
        <f t="shared" si="25"/>
        <v>10152000</v>
      </c>
      <c r="V53" s="118">
        <f t="shared" si="24"/>
        <v>6221592.1337266471</v>
      </c>
      <c r="W53" s="118">
        <f t="shared" si="24"/>
        <v>23349.599999999999</v>
      </c>
    </row>
    <row r="54" spans="2:23" ht="15">
      <c r="B54" s="116" t="s">
        <v>415</v>
      </c>
      <c r="C54" s="117">
        <v>2000000</v>
      </c>
      <c r="D54" s="117">
        <f t="shared" si="18"/>
        <v>3339133.2706766906</v>
      </c>
      <c r="E54" s="122">
        <f t="shared" si="19"/>
        <v>24600</v>
      </c>
      <c r="I54" s="117">
        <v>2000000</v>
      </c>
      <c r="J54" s="117">
        <f t="shared" si="20"/>
        <v>3339133.2706766906</v>
      </c>
      <c r="K54" s="122">
        <f t="shared" si="21"/>
        <v>24600</v>
      </c>
      <c r="O54" s="117">
        <v>2000000</v>
      </c>
      <c r="P54" s="117">
        <f t="shared" si="22"/>
        <v>3339133.2706766906</v>
      </c>
      <c r="Q54" s="122">
        <f t="shared" si="23"/>
        <v>24600</v>
      </c>
      <c r="U54" s="118">
        <f t="shared" si="25"/>
        <v>6000000</v>
      </c>
      <c r="V54" s="118">
        <f t="shared" si="24"/>
        <v>10017399.812030071</v>
      </c>
      <c r="W54" s="118">
        <f t="shared" si="24"/>
        <v>73800</v>
      </c>
    </row>
    <row r="55" spans="2:23" ht="15">
      <c r="B55" s="116" t="s">
        <v>2783</v>
      </c>
      <c r="C55" s="117">
        <v>24000000</v>
      </c>
      <c r="D55" s="117">
        <f>D43*C55/C43</f>
        <v>25680000</v>
      </c>
      <c r="E55" s="122">
        <f>C55*E43/C43</f>
        <v>108000</v>
      </c>
      <c r="I55" s="117">
        <v>40000000</v>
      </c>
      <c r="J55" s="117">
        <f>J43*I55/I43</f>
        <v>42800000</v>
      </c>
      <c r="K55" s="122">
        <f>I55*K43/I43</f>
        <v>179999.99999999997</v>
      </c>
      <c r="O55" s="117">
        <v>40000000</v>
      </c>
      <c r="P55" s="117">
        <f>P43*O55/O43</f>
        <v>42800000</v>
      </c>
      <c r="Q55" s="122">
        <f>O55*Q43/O43</f>
        <v>180000</v>
      </c>
      <c r="U55" s="118">
        <f t="shared" si="25"/>
        <v>104000000</v>
      </c>
      <c r="V55" s="118">
        <f t="shared" si="24"/>
        <v>111280000</v>
      </c>
      <c r="W55" s="118">
        <f t="shared" si="24"/>
        <v>468000</v>
      </c>
    </row>
    <row r="56" spans="2:23" ht="15">
      <c r="B56" s="116" t="s">
        <v>2784</v>
      </c>
      <c r="C56" s="117"/>
      <c r="D56" s="117">
        <v>8100000</v>
      </c>
      <c r="E56" s="117"/>
      <c r="I56" s="117"/>
      <c r="J56" s="117"/>
      <c r="K56" s="117"/>
      <c r="O56" s="117"/>
      <c r="P56" s="117">
        <v>5100000</v>
      </c>
      <c r="Q56" s="117"/>
      <c r="U56" s="118">
        <f t="shared" si="25"/>
        <v>0</v>
      </c>
      <c r="V56" s="118">
        <f t="shared" si="24"/>
        <v>13200000</v>
      </c>
      <c r="W56" s="118">
        <f t="shared" si="24"/>
        <v>0</v>
      </c>
    </row>
    <row r="57" spans="2:23" ht="15">
      <c r="B57" s="119" t="s">
        <v>2785</v>
      </c>
      <c r="C57" s="114">
        <f>SUM(C50:C56)</f>
        <v>39411250</v>
      </c>
      <c r="D57" s="114">
        <f t="shared" ref="D57:E57" si="26">SUM(D50:D56)</f>
        <v>45810958.387562864</v>
      </c>
      <c r="E57" s="114">
        <f t="shared" si="26"/>
        <v>164660.04999999999</v>
      </c>
      <c r="I57" s="114">
        <f t="shared" ref="I57:K57" si="27">SUM(I50:I56)</f>
        <v>66477750</v>
      </c>
      <c r="J57" s="114">
        <f t="shared" si="27"/>
        <v>59575664.887562864</v>
      </c>
      <c r="K57" s="114">
        <f t="shared" si="27"/>
        <v>259683.44999999995</v>
      </c>
      <c r="O57" s="114">
        <f t="shared" ref="O57:Q57" si="28">SUM(O50:O56)</f>
        <v>67562000</v>
      </c>
      <c r="P57" s="114">
        <f t="shared" si="28"/>
        <v>65130583.271289513</v>
      </c>
      <c r="Q57" s="114">
        <f t="shared" si="28"/>
        <v>261774.6</v>
      </c>
      <c r="U57" s="118">
        <f t="shared" si="25"/>
        <v>173451000</v>
      </c>
      <c r="V57" s="118">
        <f t="shared" si="24"/>
        <v>170517206.54641524</v>
      </c>
      <c r="W57" s="118">
        <f t="shared" si="24"/>
        <v>686118.1</v>
      </c>
    </row>
    <row r="58" spans="2:23" ht="15">
      <c r="U58" s="106"/>
      <c r="V58" s="106"/>
      <c r="W58" s="106"/>
    </row>
    <row r="59" spans="2:23" ht="15">
      <c r="U59" s="106"/>
      <c r="V59" s="123">
        <f>V33-V57</f>
        <v>1336306.650000006</v>
      </c>
      <c r="W59" s="106"/>
    </row>
  </sheetData>
  <mergeCells count="24">
    <mergeCell ref="C47:E47"/>
    <mergeCell ref="I47:K47"/>
    <mergeCell ref="O47:Q47"/>
    <mergeCell ref="U47:W47"/>
    <mergeCell ref="C48:E48"/>
    <mergeCell ref="I48:K48"/>
    <mergeCell ref="O48:Q48"/>
    <mergeCell ref="U48:W48"/>
    <mergeCell ref="C35:E35"/>
    <mergeCell ref="I35:K35"/>
    <mergeCell ref="O35:Q35"/>
    <mergeCell ref="U35:W35"/>
    <mergeCell ref="C36:E36"/>
    <mergeCell ref="I36:K36"/>
    <mergeCell ref="O36:Q36"/>
    <mergeCell ref="U36:W36"/>
    <mergeCell ref="C23:E23"/>
    <mergeCell ref="I23:K23"/>
    <mergeCell ref="O23:Q23"/>
    <mergeCell ref="U23:W23"/>
    <mergeCell ref="C24:E24"/>
    <mergeCell ref="I24:K24"/>
    <mergeCell ref="O24:Q24"/>
    <mergeCell ref="U24:W2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0A24-0F3C-435E-9C34-859342AD8D02}">
  <dimension ref="B1:E14"/>
  <sheetViews>
    <sheetView showGridLines="0" workbookViewId="0">
      <selection activeCell="I4" sqref="I4"/>
    </sheetView>
  </sheetViews>
  <sheetFormatPr defaultRowHeight="15"/>
  <cols>
    <col min="1" max="1" width="9" style="6"/>
    <col min="2" max="2" width="10.125" style="6" bestFit="1" customWidth="1"/>
    <col min="3" max="3" width="44.5" style="6" customWidth="1"/>
    <col min="4" max="4" width="8.875" style="6" bestFit="1" customWidth="1"/>
    <col min="5" max="5" width="24.625" style="6" bestFit="1" customWidth="1"/>
    <col min="6" max="16384" width="9" style="6"/>
  </cols>
  <sheetData>
    <row r="1" spans="2:5" ht="15.75" thickBot="1"/>
    <row r="2" spans="2:5" s="5" customFormat="1" ht="15.75" thickBot="1">
      <c r="B2" s="16" t="s">
        <v>425</v>
      </c>
      <c r="C2" s="17" t="s">
        <v>426</v>
      </c>
      <c r="D2" s="17" t="s">
        <v>427</v>
      </c>
      <c r="E2" s="18" t="s">
        <v>428</v>
      </c>
    </row>
    <row r="3" spans="2:5" ht="30" customHeight="1">
      <c r="B3" s="8">
        <v>50111525</v>
      </c>
      <c r="C3" s="9" t="s">
        <v>211</v>
      </c>
      <c r="D3" s="9" t="s">
        <v>421</v>
      </c>
      <c r="E3" s="10">
        <v>45663</v>
      </c>
    </row>
    <row r="4" spans="2:5" ht="30" customHeight="1">
      <c r="B4" s="11">
        <v>50082373</v>
      </c>
      <c r="C4" s="7" t="s">
        <v>213</v>
      </c>
      <c r="D4" s="7" t="s">
        <v>421</v>
      </c>
      <c r="E4" s="12">
        <v>45663</v>
      </c>
    </row>
    <row r="5" spans="2:5" ht="30" customHeight="1" thickBot="1">
      <c r="B5" s="13">
        <v>50111939</v>
      </c>
      <c r="C5" s="14" t="s">
        <v>39</v>
      </c>
      <c r="D5" s="14" t="s">
        <v>421</v>
      </c>
      <c r="E5" s="15">
        <v>45663</v>
      </c>
    </row>
    <row r="6" spans="2:5" ht="30" customHeight="1">
      <c r="B6" s="8">
        <v>50110683</v>
      </c>
      <c r="C6" s="9" t="s">
        <v>390</v>
      </c>
      <c r="D6" s="9" t="s">
        <v>422</v>
      </c>
      <c r="E6" s="10">
        <v>46028</v>
      </c>
    </row>
    <row r="7" spans="2:5" ht="30" customHeight="1">
      <c r="B7" s="11">
        <v>50081930</v>
      </c>
      <c r="C7" s="7" t="s">
        <v>253</v>
      </c>
      <c r="D7" s="7" t="s">
        <v>422</v>
      </c>
      <c r="E7" s="12">
        <v>46028</v>
      </c>
    </row>
    <row r="8" spans="2:5" ht="30" customHeight="1" thickBot="1">
      <c r="B8" s="13">
        <v>50082077</v>
      </c>
      <c r="C8" s="14" t="s">
        <v>59</v>
      </c>
      <c r="D8" s="14" t="s">
        <v>422</v>
      </c>
      <c r="E8" s="15">
        <v>46028</v>
      </c>
    </row>
    <row r="9" spans="2:5" ht="30" customHeight="1">
      <c r="B9" s="8">
        <v>50102394</v>
      </c>
      <c r="C9" s="9" t="s">
        <v>364</v>
      </c>
      <c r="D9" s="9" t="s">
        <v>423</v>
      </c>
      <c r="E9" s="10">
        <v>46028</v>
      </c>
    </row>
    <row r="10" spans="2:5" ht="30" customHeight="1">
      <c r="B10" s="11">
        <v>50081808</v>
      </c>
      <c r="C10" s="7" t="s">
        <v>23</v>
      </c>
      <c r="D10" s="7" t="s">
        <v>423</v>
      </c>
      <c r="E10" s="12">
        <v>46028</v>
      </c>
    </row>
    <row r="11" spans="2:5" ht="30" customHeight="1" thickBot="1">
      <c r="B11" s="13">
        <v>50101632</v>
      </c>
      <c r="C11" s="14" t="s">
        <v>365</v>
      </c>
      <c r="D11" s="14" t="s">
        <v>423</v>
      </c>
      <c r="E11" s="15">
        <v>46028</v>
      </c>
    </row>
    <row r="12" spans="2:5" ht="30" customHeight="1">
      <c r="B12" s="8">
        <v>50102394</v>
      </c>
      <c r="C12" s="9" t="s">
        <v>366</v>
      </c>
      <c r="D12" s="9" t="s">
        <v>424</v>
      </c>
      <c r="E12" s="10">
        <v>45669</v>
      </c>
    </row>
    <row r="13" spans="2:5" ht="30" customHeight="1">
      <c r="B13" s="11">
        <v>50081808</v>
      </c>
      <c r="C13" s="7" t="s">
        <v>23</v>
      </c>
      <c r="D13" s="7" t="s">
        <v>424</v>
      </c>
      <c r="E13" s="12">
        <v>45669</v>
      </c>
    </row>
    <row r="14" spans="2:5" ht="30" customHeight="1" thickBot="1">
      <c r="B14" s="13">
        <v>50101632</v>
      </c>
      <c r="C14" s="14" t="s">
        <v>365</v>
      </c>
      <c r="D14" s="14" t="s">
        <v>424</v>
      </c>
      <c r="E14" s="15">
        <v>45669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D602F-F687-42B4-AF6B-87CE79D7887E}">
  <dimension ref="A1:Z1835"/>
  <sheetViews>
    <sheetView topLeftCell="P1" workbookViewId="0">
      <selection activeCell="X2" sqref="X2"/>
    </sheetView>
  </sheetViews>
  <sheetFormatPr defaultRowHeight="14.25"/>
  <cols>
    <col min="1" max="1" width="14.5" bestFit="1" customWidth="1"/>
    <col min="2" max="2" width="28.625" bestFit="1" customWidth="1"/>
    <col min="3" max="3" width="16.875" bestFit="1" customWidth="1"/>
    <col min="4" max="4" width="28.75" bestFit="1" customWidth="1"/>
    <col min="5" max="5" width="12" bestFit="1" customWidth="1"/>
    <col min="6" max="6" width="29" bestFit="1" customWidth="1"/>
    <col min="7" max="7" width="10.75" bestFit="1" customWidth="1"/>
    <col min="8" max="8" width="10.125" bestFit="1" customWidth="1"/>
    <col min="9" max="9" width="31.875" bestFit="1" customWidth="1"/>
    <col min="10" max="10" width="8.875" bestFit="1" customWidth="1"/>
    <col min="12" max="12" width="12.5" bestFit="1" customWidth="1"/>
    <col min="13" max="13" width="36.75" bestFit="1" customWidth="1"/>
    <col min="14" max="14" width="14.875" bestFit="1" customWidth="1"/>
    <col min="15" max="15" width="37.75" bestFit="1" customWidth="1"/>
    <col min="21" max="21" width="12" bestFit="1" customWidth="1"/>
    <col min="22" max="22" width="35.875" bestFit="1" customWidth="1"/>
    <col min="23" max="23" width="21.75" bestFit="1" customWidth="1"/>
    <col min="24" max="24" width="35.125" bestFit="1" customWidth="1"/>
    <col min="25" max="25" width="12.375" bestFit="1" customWidth="1"/>
    <col min="26" max="26" width="25.875" bestFit="1" customWidth="1"/>
  </cols>
  <sheetData>
    <row r="1" spans="1:26" ht="15">
      <c r="A1" s="57" t="s">
        <v>510</v>
      </c>
      <c r="B1" s="57" t="s">
        <v>511</v>
      </c>
      <c r="C1" s="57" t="s">
        <v>512</v>
      </c>
      <c r="D1" s="57" t="s">
        <v>513</v>
      </c>
      <c r="E1" s="57" t="s">
        <v>1353</v>
      </c>
      <c r="F1" s="57" t="s">
        <v>1354</v>
      </c>
      <c r="G1" s="57" t="s">
        <v>508</v>
      </c>
      <c r="H1" s="57" t="s">
        <v>1355</v>
      </c>
      <c r="I1" s="57" t="s">
        <v>507</v>
      </c>
      <c r="J1" s="57" t="s">
        <v>509</v>
      </c>
      <c r="L1" s="57" t="s">
        <v>510</v>
      </c>
      <c r="M1" s="57" t="s">
        <v>511</v>
      </c>
      <c r="N1" s="57" t="s">
        <v>512</v>
      </c>
      <c r="O1" s="57" t="s">
        <v>513</v>
      </c>
      <c r="P1" s="57" t="s">
        <v>506</v>
      </c>
      <c r="Q1" s="57" t="s">
        <v>508</v>
      </c>
      <c r="R1" s="57" t="s">
        <v>507</v>
      </c>
      <c r="S1" s="57" t="s">
        <v>509</v>
      </c>
      <c r="U1" t="s">
        <v>1938</v>
      </c>
      <c r="V1" t="s">
        <v>1939</v>
      </c>
      <c r="W1" t="s">
        <v>1940</v>
      </c>
      <c r="X1" t="s">
        <v>1941</v>
      </c>
      <c r="Y1" t="s">
        <v>1353</v>
      </c>
      <c r="Z1" t="s">
        <v>506</v>
      </c>
    </row>
    <row r="2" spans="1:26" ht="15">
      <c r="A2" s="57">
        <v>50081410</v>
      </c>
      <c r="B2" s="57" t="s">
        <v>1356</v>
      </c>
      <c r="C2" s="57">
        <v>50081409</v>
      </c>
      <c r="D2" s="57" t="s">
        <v>1357</v>
      </c>
      <c r="E2" s="57">
        <v>50082198</v>
      </c>
      <c r="F2" s="57" t="s">
        <v>1358</v>
      </c>
      <c r="G2" s="57">
        <v>0.59699999999999998</v>
      </c>
      <c r="H2" s="57" t="s">
        <v>1359</v>
      </c>
      <c r="I2" s="57" t="s">
        <v>1359</v>
      </c>
      <c r="J2" s="57" t="s">
        <v>1359</v>
      </c>
      <c r="L2">
        <v>50081416</v>
      </c>
      <c r="M2" t="s">
        <v>1651</v>
      </c>
      <c r="N2">
        <v>50082098</v>
      </c>
      <c r="O2" t="s">
        <v>696</v>
      </c>
      <c r="U2">
        <v>50081429</v>
      </c>
      <c r="V2" t="s">
        <v>1654</v>
      </c>
      <c r="W2">
        <v>50081994</v>
      </c>
      <c r="X2" t="s">
        <v>661</v>
      </c>
      <c r="Y2">
        <f>VLOOKUP(W2,Sheet2!A:D,3,0)</f>
        <v>50082181</v>
      </c>
      <c r="Z2" t="str">
        <f>VLOOKUP(W2,Sheet2!A:D,4,0)</f>
        <v>PPHP: COPYLENE CH120LN</v>
      </c>
    </row>
    <row r="3" spans="1:26" ht="15">
      <c r="A3" s="57">
        <v>50081411</v>
      </c>
      <c r="B3" s="57" t="s">
        <v>1360</v>
      </c>
      <c r="C3" s="57">
        <v>50081409</v>
      </c>
      <c r="D3" s="57" t="s">
        <v>1357</v>
      </c>
      <c r="E3" s="57">
        <v>50082198</v>
      </c>
      <c r="F3" s="57" t="s">
        <v>1358</v>
      </c>
      <c r="G3" s="57">
        <v>0.59699999999999998</v>
      </c>
      <c r="H3" s="57" t="s">
        <v>1359</v>
      </c>
      <c r="I3" s="57" t="s">
        <v>1359</v>
      </c>
      <c r="J3" s="57" t="s">
        <v>1359</v>
      </c>
      <c r="L3">
        <v>50081417</v>
      </c>
      <c r="M3" t="s">
        <v>1652</v>
      </c>
      <c r="N3">
        <v>50081954</v>
      </c>
      <c r="O3" t="s">
        <v>649</v>
      </c>
      <c r="U3">
        <v>50081429</v>
      </c>
      <c r="V3" t="s">
        <v>1654</v>
      </c>
      <c r="W3">
        <v>50082144</v>
      </c>
      <c r="X3" t="s">
        <v>709</v>
      </c>
      <c r="Y3">
        <f>VLOOKUP(W3,Sheet2!A:D,3,0)</f>
        <v>50082181</v>
      </c>
      <c r="Z3" t="str">
        <f>VLOOKUP(W3,Sheet2!A:D,4,0)</f>
        <v>PPHP: COPYLENE CH120LN</v>
      </c>
    </row>
    <row r="4" spans="1:26" ht="15">
      <c r="A4" s="57">
        <v>50081413</v>
      </c>
      <c r="B4" s="57" t="s">
        <v>1361</v>
      </c>
      <c r="C4" s="57">
        <v>50081412</v>
      </c>
      <c r="D4" s="57" t="s">
        <v>1362</v>
      </c>
      <c r="E4" s="57">
        <v>50082198</v>
      </c>
      <c r="F4" s="57" t="s">
        <v>1358</v>
      </c>
      <c r="G4" s="57">
        <v>0.56599999999999995</v>
      </c>
      <c r="H4" s="57" t="s">
        <v>1359</v>
      </c>
      <c r="I4" s="57" t="s">
        <v>1359</v>
      </c>
      <c r="J4" s="57" t="s">
        <v>1359</v>
      </c>
      <c r="L4">
        <v>50081419</v>
      </c>
      <c r="M4" t="s">
        <v>1653</v>
      </c>
      <c r="N4">
        <v>50081596</v>
      </c>
      <c r="O4" t="s">
        <v>549</v>
      </c>
      <c r="U4">
        <v>50081430</v>
      </c>
      <c r="V4" t="s">
        <v>1655</v>
      </c>
      <c r="W4">
        <v>50082144</v>
      </c>
      <c r="X4" t="s">
        <v>709</v>
      </c>
      <c r="Y4">
        <f>VLOOKUP(W4,Sheet2!A:D,3,0)</f>
        <v>50082181</v>
      </c>
      <c r="Z4" t="str">
        <f>VLOOKUP(W4,Sheet2!A:D,4,0)</f>
        <v>PPHP: COPYLENE CH120LN</v>
      </c>
    </row>
    <row r="5" spans="1:26" ht="15">
      <c r="A5" s="57">
        <v>50081414</v>
      </c>
      <c r="B5" s="57" t="s">
        <v>1363</v>
      </c>
      <c r="C5" s="57">
        <v>50081412</v>
      </c>
      <c r="D5" s="57" t="s">
        <v>1362</v>
      </c>
      <c r="E5" s="57">
        <v>50082198</v>
      </c>
      <c r="F5" s="57" t="s">
        <v>1358</v>
      </c>
      <c r="G5" s="57">
        <v>0.56599999999999995</v>
      </c>
      <c r="H5" s="57" t="s">
        <v>1359</v>
      </c>
      <c r="I5" s="57" t="s">
        <v>1359</v>
      </c>
      <c r="J5" s="57" t="s">
        <v>1359</v>
      </c>
      <c r="L5">
        <v>50081429</v>
      </c>
      <c r="M5" t="s">
        <v>1654</v>
      </c>
      <c r="N5">
        <v>50081994</v>
      </c>
      <c r="O5" t="s">
        <v>661</v>
      </c>
      <c r="U5">
        <v>50081430</v>
      </c>
      <c r="V5" t="s">
        <v>1655</v>
      </c>
      <c r="W5">
        <v>50082177</v>
      </c>
      <c r="X5" t="s">
        <v>718</v>
      </c>
      <c r="Y5">
        <f>VLOOKUP(W5,Sheet2!A:D,3,0)</f>
        <v>50082181</v>
      </c>
      <c r="Z5" t="str">
        <f>VLOOKUP(W5,Sheet2!A:D,4,0)</f>
        <v>PPHP: COPYLENE CH120LN</v>
      </c>
    </row>
    <row r="6" spans="1:26" ht="15">
      <c r="A6" s="57">
        <v>50081462</v>
      </c>
      <c r="B6" s="57" t="s">
        <v>205</v>
      </c>
      <c r="C6" s="57">
        <v>50081461</v>
      </c>
      <c r="D6" s="57" t="s">
        <v>1364</v>
      </c>
      <c r="E6" s="57">
        <v>50082198</v>
      </c>
      <c r="F6" s="57" t="s">
        <v>1358</v>
      </c>
      <c r="G6" s="57">
        <v>2.8812000000000002</v>
      </c>
      <c r="H6" s="57">
        <v>50082194</v>
      </c>
      <c r="I6" s="57" t="s">
        <v>1365</v>
      </c>
      <c r="J6" s="57">
        <v>5.8799999999999998E-2</v>
      </c>
      <c r="L6">
        <v>50081429</v>
      </c>
      <c r="M6" t="s">
        <v>1654</v>
      </c>
      <c r="N6">
        <v>50082144</v>
      </c>
      <c r="O6" t="s">
        <v>709</v>
      </c>
      <c r="U6">
        <v>50081431</v>
      </c>
      <c r="V6" t="s">
        <v>36</v>
      </c>
      <c r="W6">
        <v>50081995</v>
      </c>
      <c r="X6" t="s">
        <v>662</v>
      </c>
      <c r="Y6">
        <f>VLOOKUP(W6,Sheet2!A:D,3,0)</f>
        <v>50082181</v>
      </c>
      <c r="Z6" t="str">
        <f>VLOOKUP(W6,Sheet2!A:D,4,0)</f>
        <v>PPHP: COPYLENE CH120LN</v>
      </c>
    </row>
    <row r="7" spans="1:26" ht="15">
      <c r="A7" s="57">
        <v>50081463</v>
      </c>
      <c r="B7" s="57" t="s">
        <v>1366</v>
      </c>
      <c r="C7" s="57">
        <v>50081461</v>
      </c>
      <c r="D7" s="57" t="s">
        <v>1364</v>
      </c>
      <c r="E7" s="57">
        <v>50082198</v>
      </c>
      <c r="F7" s="57" t="s">
        <v>1358</v>
      </c>
      <c r="G7" s="57">
        <v>2.8812000000000002</v>
      </c>
      <c r="H7" s="57">
        <v>50082194</v>
      </c>
      <c r="I7" s="57" t="s">
        <v>1365</v>
      </c>
      <c r="J7" s="57">
        <v>5.8799999999999998E-2</v>
      </c>
      <c r="L7">
        <v>50081430</v>
      </c>
      <c r="M7" t="s">
        <v>1655</v>
      </c>
      <c r="N7">
        <v>50082144</v>
      </c>
      <c r="O7" t="s">
        <v>709</v>
      </c>
      <c r="U7">
        <v>50081431</v>
      </c>
      <c r="V7" t="s">
        <v>36</v>
      </c>
      <c r="W7">
        <v>50082144</v>
      </c>
      <c r="X7" t="s">
        <v>709</v>
      </c>
      <c r="Y7">
        <f>VLOOKUP(W7,Sheet2!A:D,3,0)</f>
        <v>50082181</v>
      </c>
      <c r="Z7" t="str">
        <f>VLOOKUP(W7,Sheet2!A:D,4,0)</f>
        <v>PPHP: COPYLENE CH120LN</v>
      </c>
    </row>
    <row r="8" spans="1:26" ht="15">
      <c r="A8" s="57">
        <v>50081469</v>
      </c>
      <c r="B8" s="57" t="s">
        <v>1367</v>
      </c>
      <c r="C8" s="57">
        <v>50081468</v>
      </c>
      <c r="D8" s="57" t="s">
        <v>1368</v>
      </c>
      <c r="E8" s="57">
        <v>50082198</v>
      </c>
      <c r="F8" s="57" t="s">
        <v>1358</v>
      </c>
      <c r="G8" s="57">
        <v>3.5486</v>
      </c>
      <c r="H8" s="57">
        <v>50082194</v>
      </c>
      <c r="I8" s="57" t="s">
        <v>1365</v>
      </c>
      <c r="J8" s="57">
        <v>7.2400000000000006E-2</v>
      </c>
      <c r="L8">
        <v>50081430</v>
      </c>
      <c r="M8" t="s">
        <v>1655</v>
      </c>
      <c r="N8">
        <v>50082177</v>
      </c>
      <c r="O8" t="s">
        <v>718</v>
      </c>
      <c r="U8">
        <v>50081432</v>
      </c>
      <c r="V8" t="s">
        <v>1656</v>
      </c>
      <c r="W8">
        <v>50081702</v>
      </c>
      <c r="X8" t="s">
        <v>579</v>
      </c>
      <c r="Y8">
        <f>VLOOKUP(W8,Sheet2!A:D,3,0)</f>
        <v>50082181</v>
      </c>
      <c r="Z8" t="str">
        <f>VLOOKUP(W8,Sheet2!A:D,4,0)</f>
        <v>PPHP: COPYLENE CH120LN</v>
      </c>
    </row>
    <row r="9" spans="1:26" ht="15">
      <c r="A9" s="57">
        <v>50081472</v>
      </c>
      <c r="B9" s="57" t="s">
        <v>1369</v>
      </c>
      <c r="C9" s="57">
        <v>50081474</v>
      </c>
      <c r="D9" s="57" t="s">
        <v>1370</v>
      </c>
      <c r="E9" s="57">
        <v>50082198</v>
      </c>
      <c r="F9" s="57" t="s">
        <v>1358</v>
      </c>
      <c r="G9" s="57">
        <v>3.4590000000000001</v>
      </c>
      <c r="H9" s="57">
        <v>50082194</v>
      </c>
      <c r="I9" s="57" t="s">
        <v>1365</v>
      </c>
      <c r="J9" s="57">
        <v>7.0599999999999996E-2</v>
      </c>
      <c r="L9">
        <v>50081431</v>
      </c>
      <c r="M9" t="s">
        <v>36</v>
      </c>
      <c r="N9">
        <v>50081995</v>
      </c>
      <c r="O9" t="s">
        <v>662</v>
      </c>
      <c r="U9">
        <v>50081432</v>
      </c>
      <c r="V9" t="s">
        <v>1656</v>
      </c>
      <c r="W9">
        <v>50082144</v>
      </c>
      <c r="X9" t="s">
        <v>709</v>
      </c>
      <c r="Y9">
        <f>VLOOKUP(W9,Sheet2!A:D,3,0)</f>
        <v>50082181</v>
      </c>
      <c r="Z9" t="str">
        <f>VLOOKUP(W9,Sheet2!A:D,4,0)</f>
        <v>PPHP: COPYLENE CH120LN</v>
      </c>
    </row>
    <row r="10" spans="1:26" ht="15">
      <c r="A10" s="57">
        <v>50081473</v>
      </c>
      <c r="B10" s="57" t="s">
        <v>1371</v>
      </c>
      <c r="C10" s="57">
        <v>50081474</v>
      </c>
      <c r="D10" s="57" t="s">
        <v>1370</v>
      </c>
      <c r="E10" s="57">
        <v>50082198</v>
      </c>
      <c r="F10" s="57" t="s">
        <v>1358</v>
      </c>
      <c r="G10" s="57">
        <v>3.4590000000000001</v>
      </c>
      <c r="H10" s="57">
        <v>50082194</v>
      </c>
      <c r="I10" s="57" t="s">
        <v>1365</v>
      </c>
      <c r="J10" s="57">
        <v>7.0599999999999996E-2</v>
      </c>
      <c r="L10">
        <v>50081431</v>
      </c>
      <c r="M10" t="s">
        <v>36</v>
      </c>
      <c r="N10">
        <v>50082144</v>
      </c>
      <c r="O10" t="s">
        <v>709</v>
      </c>
      <c r="U10">
        <v>50081433</v>
      </c>
      <c r="V10" t="s">
        <v>1657</v>
      </c>
      <c r="W10">
        <v>50081832</v>
      </c>
      <c r="X10" t="s">
        <v>612</v>
      </c>
      <c r="Y10">
        <f>VLOOKUP(W10,Sheet2!A:D,3,0)</f>
        <v>50082181</v>
      </c>
      <c r="Z10" t="str">
        <f>VLOOKUP(W10,Sheet2!A:D,4,0)</f>
        <v>PPHP: COPYLENE CH120LN</v>
      </c>
    </row>
    <row r="11" spans="1:26" ht="15">
      <c r="A11" s="57">
        <v>50081532</v>
      </c>
      <c r="B11" s="57" t="s">
        <v>1372</v>
      </c>
      <c r="C11" s="57">
        <v>50081531</v>
      </c>
      <c r="D11" s="57" t="s">
        <v>1373</v>
      </c>
      <c r="E11" s="57">
        <v>50082198</v>
      </c>
      <c r="F11" s="57" t="s">
        <v>1358</v>
      </c>
      <c r="G11" s="57">
        <v>2.8420000000000001</v>
      </c>
      <c r="H11" s="57">
        <v>50082194</v>
      </c>
      <c r="I11" s="57" t="s">
        <v>1365</v>
      </c>
      <c r="J11" s="57">
        <v>5.8000000000000003E-2</v>
      </c>
      <c r="L11">
        <v>50081432</v>
      </c>
      <c r="M11" t="s">
        <v>1656</v>
      </c>
      <c r="N11">
        <v>50081702</v>
      </c>
      <c r="O11" t="s">
        <v>579</v>
      </c>
      <c r="U11">
        <v>50081433</v>
      </c>
      <c r="V11" t="s">
        <v>1657</v>
      </c>
      <c r="W11">
        <v>50082145</v>
      </c>
      <c r="X11" t="s">
        <v>710</v>
      </c>
      <c r="Y11">
        <f>VLOOKUP(W11,Sheet2!A:D,3,0)</f>
        <v>50082181</v>
      </c>
      <c r="Z11" t="str">
        <f>VLOOKUP(W11,Sheet2!A:D,4,0)</f>
        <v>PPHP: COPYLENE CH120LN</v>
      </c>
    </row>
    <row r="12" spans="1:26" ht="15">
      <c r="A12" s="57">
        <v>50081552</v>
      </c>
      <c r="B12" s="57" t="s">
        <v>1374</v>
      </c>
      <c r="C12" s="57">
        <v>50081489</v>
      </c>
      <c r="D12" s="57" t="s">
        <v>1375</v>
      </c>
      <c r="E12" s="57">
        <v>50082198</v>
      </c>
      <c r="F12" s="57" t="s">
        <v>1358</v>
      </c>
      <c r="G12" s="57">
        <v>0.62</v>
      </c>
      <c r="H12" s="57" t="s">
        <v>1359</v>
      </c>
      <c r="I12" s="57" t="s">
        <v>1359</v>
      </c>
      <c r="J12" s="57" t="s">
        <v>1359</v>
      </c>
      <c r="L12">
        <v>50081432</v>
      </c>
      <c r="M12" t="s">
        <v>1656</v>
      </c>
      <c r="N12">
        <v>50082144</v>
      </c>
      <c r="O12" t="s">
        <v>709</v>
      </c>
      <c r="U12">
        <v>50081434</v>
      </c>
      <c r="V12" t="s">
        <v>1658</v>
      </c>
      <c r="W12">
        <v>50081590</v>
      </c>
      <c r="X12" t="s">
        <v>546</v>
      </c>
      <c r="Y12">
        <f>VLOOKUP(W12,Sheet2!A:D,3,0)</f>
        <v>50082203</v>
      </c>
      <c r="Z12" t="str">
        <f>VLOOKUP(W12,Sheet2!A:D,4,0)</f>
        <v>PPHP: REPOL H110MA</v>
      </c>
    </row>
    <row r="13" spans="1:26" ht="15">
      <c r="A13" s="57">
        <v>50081553</v>
      </c>
      <c r="B13" s="57" t="s">
        <v>1376</v>
      </c>
      <c r="C13" s="57">
        <v>50081489</v>
      </c>
      <c r="D13" s="57" t="s">
        <v>1375</v>
      </c>
      <c r="E13" s="57">
        <v>50082198</v>
      </c>
      <c r="F13" s="57" t="s">
        <v>1358</v>
      </c>
      <c r="G13" s="57">
        <v>0.62</v>
      </c>
      <c r="H13" s="57" t="s">
        <v>1359</v>
      </c>
      <c r="I13" s="57" t="s">
        <v>1359</v>
      </c>
      <c r="J13" s="57" t="s">
        <v>1359</v>
      </c>
      <c r="L13">
        <v>50081433</v>
      </c>
      <c r="M13" t="s">
        <v>1657</v>
      </c>
      <c r="N13">
        <v>50081832</v>
      </c>
      <c r="O13" t="s">
        <v>612</v>
      </c>
      <c r="U13">
        <v>50081434</v>
      </c>
      <c r="V13" t="s">
        <v>1658</v>
      </c>
      <c r="W13">
        <v>50081703</v>
      </c>
      <c r="X13" t="s">
        <v>580</v>
      </c>
      <c r="Y13">
        <f>VLOOKUP(W13,Sheet2!A:D,3,0)</f>
        <v>50082203</v>
      </c>
      <c r="Z13" t="str">
        <f>VLOOKUP(W13,Sheet2!A:D,4,0)</f>
        <v>PPHP: REPOL H110MA</v>
      </c>
    </row>
    <row r="14" spans="1:26" ht="15">
      <c r="A14" s="57">
        <v>50081576</v>
      </c>
      <c r="B14" s="57" t="s">
        <v>1377</v>
      </c>
      <c r="C14" s="57">
        <v>50081531</v>
      </c>
      <c r="D14" s="57" t="s">
        <v>1373</v>
      </c>
      <c r="E14" s="57">
        <v>50082198</v>
      </c>
      <c r="F14" s="57" t="s">
        <v>1358</v>
      </c>
      <c r="G14" s="57">
        <v>2.8420000000000001</v>
      </c>
      <c r="H14" s="57">
        <v>50082194</v>
      </c>
      <c r="I14" s="57" t="s">
        <v>1365</v>
      </c>
      <c r="J14" s="57">
        <v>5.8000000000000003E-2</v>
      </c>
      <c r="L14">
        <v>50081433</v>
      </c>
      <c r="M14" t="s">
        <v>1657</v>
      </c>
      <c r="N14">
        <v>50082145</v>
      </c>
      <c r="O14" t="s">
        <v>710</v>
      </c>
      <c r="U14">
        <v>50081435</v>
      </c>
      <c r="V14" t="s">
        <v>1659</v>
      </c>
      <c r="W14">
        <v>50082145</v>
      </c>
      <c r="X14" t="s">
        <v>710</v>
      </c>
      <c r="Y14">
        <f>VLOOKUP(W14,Sheet2!A:D,3,0)</f>
        <v>50082181</v>
      </c>
      <c r="Z14" t="str">
        <f>VLOOKUP(W14,Sheet2!A:D,4,0)</f>
        <v>PPHP: COPYLENE CH120LN</v>
      </c>
    </row>
    <row r="15" spans="1:26" ht="15">
      <c r="A15" s="57">
        <v>50081581</v>
      </c>
      <c r="B15" s="57" t="s">
        <v>1378</v>
      </c>
      <c r="C15" s="57">
        <v>50081580</v>
      </c>
      <c r="D15" s="57" t="s">
        <v>1379</v>
      </c>
      <c r="E15" s="57">
        <v>50082198</v>
      </c>
      <c r="F15" s="57" t="s">
        <v>1358</v>
      </c>
      <c r="G15" s="57">
        <v>4.41</v>
      </c>
      <c r="H15" s="57">
        <v>50082194</v>
      </c>
      <c r="I15" s="57" t="s">
        <v>1365</v>
      </c>
      <c r="J15" s="57">
        <v>0.09</v>
      </c>
      <c r="L15">
        <v>50081434</v>
      </c>
      <c r="M15" t="s">
        <v>1658</v>
      </c>
      <c r="N15">
        <v>50081590</v>
      </c>
      <c r="O15" t="s">
        <v>546</v>
      </c>
      <c r="U15">
        <v>50081435</v>
      </c>
      <c r="V15" t="s">
        <v>1659</v>
      </c>
      <c r="W15">
        <v>50082178</v>
      </c>
      <c r="X15" t="s">
        <v>719</v>
      </c>
      <c r="Y15">
        <f>VLOOKUP(W15,Sheet2!A:D,3,0)</f>
        <v>50082181</v>
      </c>
      <c r="Z15" t="str">
        <f>VLOOKUP(W15,Sheet2!A:D,4,0)</f>
        <v>PPHP: COPYLENE CH120LN</v>
      </c>
    </row>
    <row r="16" spans="1:26" ht="15">
      <c r="A16" s="57">
        <v>50081582</v>
      </c>
      <c r="B16" s="57" t="s">
        <v>1380</v>
      </c>
      <c r="C16" s="57">
        <v>50081580</v>
      </c>
      <c r="D16" s="57" t="s">
        <v>1379</v>
      </c>
      <c r="E16" s="57">
        <v>50082198</v>
      </c>
      <c r="F16" s="57" t="s">
        <v>1358</v>
      </c>
      <c r="G16" s="57">
        <v>4.41</v>
      </c>
      <c r="H16" s="57">
        <v>50082194</v>
      </c>
      <c r="I16" s="57" t="s">
        <v>1365</v>
      </c>
      <c r="J16" s="57">
        <v>0.09</v>
      </c>
      <c r="L16">
        <v>50081434</v>
      </c>
      <c r="M16" t="s">
        <v>1658</v>
      </c>
      <c r="N16">
        <v>50081703</v>
      </c>
      <c r="O16" t="s">
        <v>580</v>
      </c>
      <c r="U16">
        <v>50081436</v>
      </c>
      <c r="V16" t="s">
        <v>1660</v>
      </c>
      <c r="W16">
        <v>50082145</v>
      </c>
      <c r="X16" t="s">
        <v>710</v>
      </c>
      <c r="Y16">
        <f>VLOOKUP(W16,Sheet2!A:D,3,0)</f>
        <v>50082181</v>
      </c>
      <c r="Z16" t="str">
        <f>VLOOKUP(W16,Sheet2!A:D,4,0)</f>
        <v>PPHP: COPYLENE CH120LN</v>
      </c>
    </row>
    <row r="17" spans="1:26" ht="15">
      <c r="A17" s="57">
        <v>50081594</v>
      </c>
      <c r="B17" s="57" t="s">
        <v>1381</v>
      </c>
      <c r="C17" s="57">
        <v>50081593</v>
      </c>
      <c r="D17" s="57" t="s">
        <v>548</v>
      </c>
      <c r="E17" s="57">
        <v>50082183</v>
      </c>
      <c r="F17" s="57" t="s">
        <v>515</v>
      </c>
      <c r="G17" s="57">
        <v>0.60199999999999998</v>
      </c>
      <c r="H17" s="57" t="s">
        <v>1359</v>
      </c>
      <c r="I17" s="57" t="s">
        <v>1359</v>
      </c>
      <c r="J17" s="57" t="s">
        <v>1359</v>
      </c>
      <c r="L17">
        <v>50081435</v>
      </c>
      <c r="M17" t="s">
        <v>1659</v>
      </c>
      <c r="N17">
        <v>50082145</v>
      </c>
      <c r="O17" t="s">
        <v>710</v>
      </c>
      <c r="U17">
        <v>50081436</v>
      </c>
      <c r="V17" t="s">
        <v>1660</v>
      </c>
      <c r="W17">
        <v>50082178</v>
      </c>
      <c r="X17" t="s">
        <v>719</v>
      </c>
      <c r="Y17">
        <f>VLOOKUP(W17,Sheet2!A:D,3,0)</f>
        <v>50082181</v>
      </c>
      <c r="Z17" t="str">
        <f>VLOOKUP(W17,Sheet2!A:D,4,0)</f>
        <v>PPHP: COPYLENE CH120LN</v>
      </c>
    </row>
    <row r="18" spans="1:26" ht="15">
      <c r="A18" s="57">
        <v>50081595</v>
      </c>
      <c r="B18" s="57" t="s">
        <v>1382</v>
      </c>
      <c r="C18" s="57">
        <v>50081593</v>
      </c>
      <c r="D18" s="57" t="s">
        <v>548</v>
      </c>
      <c r="E18" s="57">
        <v>50082183</v>
      </c>
      <c r="F18" s="57" t="s">
        <v>515</v>
      </c>
      <c r="G18" s="57">
        <v>0.60199999999999998</v>
      </c>
      <c r="H18" s="57" t="s">
        <v>1359</v>
      </c>
      <c r="I18" s="57" t="s">
        <v>1359</v>
      </c>
      <c r="J18" s="57" t="s">
        <v>1359</v>
      </c>
      <c r="L18">
        <v>50081435</v>
      </c>
      <c r="M18" t="s">
        <v>1659</v>
      </c>
      <c r="N18">
        <v>50082178</v>
      </c>
      <c r="O18" t="s">
        <v>719</v>
      </c>
      <c r="U18">
        <v>50081437</v>
      </c>
      <c r="V18" t="s">
        <v>1661</v>
      </c>
      <c r="W18">
        <v>50081996</v>
      </c>
      <c r="X18" t="s">
        <v>663</v>
      </c>
      <c r="Y18">
        <f>VLOOKUP(W18,Sheet2!A:D,3,0)</f>
        <v>50082181</v>
      </c>
      <c r="Z18" t="str">
        <f>VLOOKUP(W18,Sheet2!A:D,4,0)</f>
        <v>PPHP: COPYLENE CH120LN</v>
      </c>
    </row>
    <row r="19" spans="1:26" ht="15">
      <c r="A19" s="57">
        <v>50081636</v>
      </c>
      <c r="B19" s="57" t="s">
        <v>1383</v>
      </c>
      <c r="C19" s="57">
        <v>50081635</v>
      </c>
      <c r="D19" s="57" t="s">
        <v>561</v>
      </c>
      <c r="E19" s="57">
        <v>50082183</v>
      </c>
      <c r="F19" s="57" t="s">
        <v>515</v>
      </c>
      <c r="G19" s="57">
        <v>2.8420000000000001</v>
      </c>
      <c r="H19" s="57">
        <v>50082194</v>
      </c>
      <c r="I19" s="57" t="s">
        <v>1365</v>
      </c>
      <c r="J19" s="57">
        <v>5.8000000000000003E-2</v>
      </c>
      <c r="L19">
        <v>50081436</v>
      </c>
      <c r="M19" t="s">
        <v>1660</v>
      </c>
      <c r="N19">
        <v>50082145</v>
      </c>
      <c r="O19" t="s">
        <v>710</v>
      </c>
      <c r="U19">
        <v>50081437</v>
      </c>
      <c r="V19" t="s">
        <v>1661</v>
      </c>
      <c r="W19">
        <v>50082145</v>
      </c>
      <c r="X19" t="s">
        <v>710</v>
      </c>
      <c r="Y19">
        <f>VLOOKUP(W19,Sheet2!A:D,3,0)</f>
        <v>50082181</v>
      </c>
      <c r="Z19" t="str">
        <f>VLOOKUP(W19,Sheet2!A:D,4,0)</f>
        <v>PPHP: COPYLENE CH120LN</v>
      </c>
    </row>
    <row r="20" spans="1:26" ht="15">
      <c r="A20" s="57">
        <v>50081637</v>
      </c>
      <c r="B20" s="57" t="s">
        <v>1384</v>
      </c>
      <c r="C20" s="57">
        <v>50081635</v>
      </c>
      <c r="D20" s="57" t="s">
        <v>561</v>
      </c>
      <c r="E20" s="57">
        <v>50082183</v>
      </c>
      <c r="F20" s="57" t="s">
        <v>515</v>
      </c>
      <c r="G20" s="57">
        <v>2.8420000000000001</v>
      </c>
      <c r="H20" s="57">
        <v>50082194</v>
      </c>
      <c r="I20" s="57" t="s">
        <v>1365</v>
      </c>
      <c r="J20" s="57">
        <v>5.8000000000000003E-2</v>
      </c>
      <c r="L20">
        <v>50081436</v>
      </c>
      <c r="M20" t="s">
        <v>1660</v>
      </c>
      <c r="N20">
        <v>50082178</v>
      </c>
      <c r="O20" t="s">
        <v>719</v>
      </c>
      <c r="U20">
        <v>50081438</v>
      </c>
      <c r="V20" t="s">
        <v>1662</v>
      </c>
      <c r="W20">
        <v>50082145</v>
      </c>
      <c r="X20" t="s">
        <v>710</v>
      </c>
      <c r="Y20">
        <f>VLOOKUP(W20,Sheet2!A:D,3,0)</f>
        <v>50082181</v>
      </c>
      <c r="Z20" t="str">
        <f>VLOOKUP(W20,Sheet2!A:D,4,0)</f>
        <v>PPHP: COPYLENE CH120LN</v>
      </c>
    </row>
    <row r="21" spans="1:26" ht="15">
      <c r="A21" s="57">
        <v>50081642</v>
      </c>
      <c r="B21" s="57" t="s">
        <v>1385</v>
      </c>
      <c r="C21" s="57">
        <v>50081641</v>
      </c>
      <c r="D21" s="57" t="s">
        <v>1386</v>
      </c>
      <c r="E21" s="57">
        <v>50082198</v>
      </c>
      <c r="F21" s="57" t="s">
        <v>1358</v>
      </c>
      <c r="G21" s="57">
        <v>3.5486</v>
      </c>
      <c r="H21" s="57">
        <v>50082194</v>
      </c>
      <c r="I21" s="57" t="s">
        <v>1365</v>
      </c>
      <c r="J21" s="57">
        <v>7.2400000000000006E-2</v>
      </c>
      <c r="L21">
        <v>50081437</v>
      </c>
      <c r="M21" t="s">
        <v>1661</v>
      </c>
      <c r="N21">
        <v>50081996</v>
      </c>
      <c r="O21" t="s">
        <v>663</v>
      </c>
      <c r="U21">
        <v>50081438</v>
      </c>
      <c r="V21" t="s">
        <v>1662</v>
      </c>
      <c r="W21">
        <v>50082178</v>
      </c>
      <c r="X21" t="s">
        <v>719</v>
      </c>
      <c r="Y21">
        <f>VLOOKUP(W21,Sheet2!A:D,3,0)</f>
        <v>50082181</v>
      </c>
      <c r="Z21" t="str">
        <f>VLOOKUP(W21,Sheet2!A:D,4,0)</f>
        <v>PPHP: COPYLENE CH120LN</v>
      </c>
    </row>
    <row r="22" spans="1:26" ht="15">
      <c r="A22" s="57">
        <v>50081717</v>
      </c>
      <c r="B22" s="57" t="s">
        <v>1387</v>
      </c>
      <c r="C22" s="57">
        <v>50081716</v>
      </c>
      <c r="D22" s="57" t="s">
        <v>582</v>
      </c>
      <c r="E22" s="57">
        <v>50082183</v>
      </c>
      <c r="F22" s="57" t="s">
        <v>515</v>
      </c>
      <c r="G22" s="57">
        <v>0.56000000000000005</v>
      </c>
      <c r="H22" s="57" t="s">
        <v>1359</v>
      </c>
      <c r="I22" s="57" t="s">
        <v>1359</v>
      </c>
      <c r="J22" s="57" t="s">
        <v>1359</v>
      </c>
      <c r="L22">
        <v>50081437</v>
      </c>
      <c r="M22" t="s">
        <v>1661</v>
      </c>
      <c r="N22">
        <v>50082145</v>
      </c>
      <c r="O22" t="s">
        <v>710</v>
      </c>
      <c r="U22">
        <v>50081439</v>
      </c>
      <c r="V22" t="s">
        <v>17</v>
      </c>
      <c r="W22">
        <v>50081997</v>
      </c>
      <c r="X22" t="s">
        <v>664</v>
      </c>
      <c r="Y22">
        <f>VLOOKUP(W22,Sheet2!A:D,3,0)</f>
        <v>50082181</v>
      </c>
      <c r="Z22" t="str">
        <f>VLOOKUP(W22,Sheet2!A:D,4,0)</f>
        <v>PPHP: COPYLENE CH120LN</v>
      </c>
    </row>
    <row r="23" spans="1:26" ht="15">
      <c r="A23" s="57">
        <v>50081718</v>
      </c>
      <c r="B23" s="57" t="s">
        <v>1388</v>
      </c>
      <c r="C23" s="57">
        <v>50081716</v>
      </c>
      <c r="D23" s="57" t="s">
        <v>582</v>
      </c>
      <c r="E23" s="57">
        <v>50082183</v>
      </c>
      <c r="F23" s="57" t="s">
        <v>515</v>
      </c>
      <c r="G23" s="57">
        <v>0.56000000000000005</v>
      </c>
      <c r="H23" s="57" t="s">
        <v>1359</v>
      </c>
      <c r="I23" s="57" t="s">
        <v>1359</v>
      </c>
      <c r="J23" s="57" t="s">
        <v>1359</v>
      </c>
      <c r="L23">
        <v>50081438</v>
      </c>
      <c r="M23" t="s">
        <v>1662</v>
      </c>
      <c r="N23">
        <v>50082145</v>
      </c>
      <c r="O23" t="s">
        <v>710</v>
      </c>
      <c r="U23">
        <v>50081439</v>
      </c>
      <c r="V23" t="s">
        <v>17</v>
      </c>
      <c r="W23">
        <v>50082145</v>
      </c>
      <c r="X23" t="s">
        <v>710</v>
      </c>
      <c r="Y23">
        <f>VLOOKUP(W23,Sheet2!A:D,3,0)</f>
        <v>50082181</v>
      </c>
      <c r="Z23" t="str">
        <f>VLOOKUP(W23,Sheet2!A:D,4,0)</f>
        <v>PPHP: COPYLENE CH120LN</v>
      </c>
    </row>
    <row r="24" spans="1:26" ht="15">
      <c r="A24" s="57">
        <v>50081746</v>
      </c>
      <c r="B24" s="57" t="s">
        <v>206</v>
      </c>
      <c r="C24" s="57">
        <v>50081719</v>
      </c>
      <c r="D24" s="57" t="s">
        <v>1389</v>
      </c>
      <c r="E24" s="57">
        <v>50082198</v>
      </c>
      <c r="F24" s="57" t="s">
        <v>1358</v>
      </c>
      <c r="G24" s="57">
        <v>0.58799999999999997</v>
      </c>
      <c r="H24" s="57">
        <v>50082194</v>
      </c>
      <c r="I24" s="57" t="s">
        <v>1365</v>
      </c>
      <c r="J24" s="57">
        <v>1.2E-2</v>
      </c>
      <c r="L24">
        <v>50081438</v>
      </c>
      <c r="M24" t="s">
        <v>1662</v>
      </c>
      <c r="N24">
        <v>50082178</v>
      </c>
      <c r="O24" t="s">
        <v>719</v>
      </c>
      <c r="U24">
        <v>50081440</v>
      </c>
      <c r="V24" t="s">
        <v>1663</v>
      </c>
      <c r="W24">
        <v>50082179</v>
      </c>
      <c r="X24" t="s">
        <v>720</v>
      </c>
      <c r="Y24">
        <f>VLOOKUP(W24,Sheet2!A:D,3,0)</f>
        <v>50082181</v>
      </c>
      <c r="Z24" t="str">
        <f>VLOOKUP(W24,Sheet2!A:D,4,0)</f>
        <v>PPHP: COPYLENE CH120LN</v>
      </c>
    </row>
    <row r="25" spans="1:26" ht="15">
      <c r="A25" s="57">
        <v>50081786</v>
      </c>
      <c r="B25" s="57" t="s">
        <v>388</v>
      </c>
      <c r="C25" s="57">
        <v>50081785</v>
      </c>
      <c r="D25" s="57" t="s">
        <v>596</v>
      </c>
      <c r="E25" s="57">
        <v>50082184</v>
      </c>
      <c r="F25" s="57" t="s">
        <v>517</v>
      </c>
      <c r="G25" s="57">
        <v>2.8714</v>
      </c>
      <c r="H25" s="57">
        <v>50082152</v>
      </c>
      <c r="I25" s="57" t="s">
        <v>1390</v>
      </c>
      <c r="J25" s="57">
        <v>5.8599999999999999E-2</v>
      </c>
      <c r="L25">
        <v>50081439</v>
      </c>
      <c r="M25" t="s">
        <v>17</v>
      </c>
      <c r="N25">
        <v>50081997</v>
      </c>
      <c r="O25" t="s">
        <v>664</v>
      </c>
      <c r="U25">
        <v>50081440</v>
      </c>
      <c r="V25" t="s">
        <v>1663</v>
      </c>
      <c r="W25">
        <v>50082180</v>
      </c>
      <c r="X25" t="s">
        <v>721</v>
      </c>
      <c r="Y25">
        <f>VLOOKUP(W25,Sheet2!A:D,3,0)</f>
        <v>50082181</v>
      </c>
      <c r="Z25" t="str">
        <f>VLOOKUP(W25,Sheet2!A:D,4,0)</f>
        <v>PPHP: COPYLENE CH120LN</v>
      </c>
    </row>
    <row r="26" spans="1:26" ht="15">
      <c r="A26" s="57">
        <v>50081787</v>
      </c>
      <c r="B26" s="57" t="s">
        <v>1391</v>
      </c>
      <c r="C26" s="57">
        <v>50081785</v>
      </c>
      <c r="D26" s="57" t="s">
        <v>596</v>
      </c>
      <c r="E26" s="57">
        <v>50082184</v>
      </c>
      <c r="F26" s="57" t="s">
        <v>517</v>
      </c>
      <c r="G26" s="57">
        <v>2.8714</v>
      </c>
      <c r="H26" s="57">
        <v>50082152</v>
      </c>
      <c r="I26" s="57" t="s">
        <v>1390</v>
      </c>
      <c r="J26" s="57">
        <v>5.8599999999999999E-2</v>
      </c>
      <c r="L26">
        <v>50081439</v>
      </c>
      <c r="M26" t="s">
        <v>17</v>
      </c>
      <c r="N26">
        <v>50082145</v>
      </c>
      <c r="O26" t="s">
        <v>710</v>
      </c>
      <c r="U26">
        <v>50081441</v>
      </c>
      <c r="V26" t="s">
        <v>1664</v>
      </c>
      <c r="W26">
        <v>50082179</v>
      </c>
      <c r="X26" t="s">
        <v>720</v>
      </c>
      <c r="Y26">
        <f>VLOOKUP(W26,Sheet2!A:D,3,0)</f>
        <v>50082181</v>
      </c>
      <c r="Z26" t="str">
        <f>VLOOKUP(W26,Sheet2!A:D,4,0)</f>
        <v>PPHP: COPYLENE CH120LN</v>
      </c>
    </row>
    <row r="27" spans="1:26" ht="15">
      <c r="A27" s="57">
        <v>50081789</v>
      </c>
      <c r="B27" s="57" t="s">
        <v>1392</v>
      </c>
      <c r="C27" s="57">
        <v>50081788</v>
      </c>
      <c r="D27" s="57" t="s">
        <v>597</v>
      </c>
      <c r="E27" s="57">
        <v>50082184</v>
      </c>
      <c r="F27" s="57" t="s">
        <v>517</v>
      </c>
      <c r="G27" s="57">
        <v>3.4373999999999998</v>
      </c>
      <c r="H27" s="57">
        <v>50082152</v>
      </c>
      <c r="I27" s="57" t="s">
        <v>1390</v>
      </c>
      <c r="J27" s="57">
        <v>7.0199999999999999E-2</v>
      </c>
      <c r="L27">
        <v>50081440</v>
      </c>
      <c r="M27" t="s">
        <v>1663</v>
      </c>
      <c r="N27">
        <v>50082179</v>
      </c>
      <c r="O27" t="s">
        <v>720</v>
      </c>
      <c r="U27">
        <v>50081441</v>
      </c>
      <c r="V27" t="s">
        <v>1664</v>
      </c>
      <c r="W27">
        <v>50082180</v>
      </c>
      <c r="X27" t="s">
        <v>721</v>
      </c>
      <c r="Y27">
        <f>VLOOKUP(W27,Sheet2!A:D,3,0)</f>
        <v>50082181</v>
      </c>
      <c r="Z27" t="str">
        <f>VLOOKUP(W27,Sheet2!A:D,4,0)</f>
        <v>PPHP: COPYLENE CH120LN</v>
      </c>
    </row>
    <row r="28" spans="1:26" ht="15">
      <c r="A28" s="57">
        <v>50081790</v>
      </c>
      <c r="B28" s="57" t="s">
        <v>1393</v>
      </c>
      <c r="C28" s="57">
        <v>50081788</v>
      </c>
      <c r="D28" s="57" t="s">
        <v>597</v>
      </c>
      <c r="E28" s="57">
        <v>50082184</v>
      </c>
      <c r="F28" s="57" t="s">
        <v>517</v>
      </c>
      <c r="G28" s="57">
        <v>3.4373999999999998</v>
      </c>
      <c r="H28" s="57">
        <v>50082152</v>
      </c>
      <c r="I28" s="57" t="s">
        <v>1390</v>
      </c>
      <c r="J28" s="57">
        <v>7.0199999999999999E-2</v>
      </c>
      <c r="L28">
        <v>50081440</v>
      </c>
      <c r="M28" t="s">
        <v>1663</v>
      </c>
      <c r="N28">
        <v>50082180</v>
      </c>
      <c r="O28" t="s">
        <v>721</v>
      </c>
      <c r="U28">
        <v>50081442</v>
      </c>
      <c r="V28" t="s">
        <v>1665</v>
      </c>
      <c r="W28">
        <v>50082179</v>
      </c>
      <c r="X28" t="s">
        <v>720</v>
      </c>
      <c r="Y28">
        <f>VLOOKUP(W28,Sheet2!A:D,3,0)</f>
        <v>50082181</v>
      </c>
      <c r="Z28" t="str">
        <f>VLOOKUP(W28,Sheet2!A:D,4,0)</f>
        <v>PPHP: COPYLENE CH120LN</v>
      </c>
    </row>
    <row r="29" spans="1:26" ht="15">
      <c r="A29" s="57">
        <v>50081792</v>
      </c>
      <c r="B29" s="57" t="s">
        <v>1394</v>
      </c>
      <c r="C29" s="57">
        <v>50081791</v>
      </c>
      <c r="D29" s="57" t="s">
        <v>598</v>
      </c>
      <c r="E29" s="57">
        <v>50082184</v>
      </c>
      <c r="F29" s="57" t="s">
        <v>517</v>
      </c>
      <c r="G29" s="57">
        <v>3.4624999999999999</v>
      </c>
      <c r="H29" s="57" t="s">
        <v>1359</v>
      </c>
      <c r="I29" s="57" t="s">
        <v>1359</v>
      </c>
      <c r="J29" s="57" t="s">
        <v>1359</v>
      </c>
      <c r="L29">
        <v>50081441</v>
      </c>
      <c r="M29" t="s">
        <v>1664</v>
      </c>
      <c r="N29">
        <v>50082179</v>
      </c>
      <c r="O29" t="s">
        <v>720</v>
      </c>
      <c r="U29">
        <v>50081442</v>
      </c>
      <c r="V29" t="s">
        <v>1665</v>
      </c>
      <c r="W29">
        <v>50082180</v>
      </c>
      <c r="X29" t="s">
        <v>721</v>
      </c>
      <c r="Y29">
        <f>VLOOKUP(W29,Sheet2!A:D,3,0)</f>
        <v>50082181</v>
      </c>
      <c r="Z29" t="str">
        <f>VLOOKUP(W29,Sheet2!A:D,4,0)</f>
        <v>PPHP: COPYLENE CH120LN</v>
      </c>
    </row>
    <row r="30" spans="1:26" ht="15">
      <c r="A30" s="57">
        <v>50081793</v>
      </c>
      <c r="B30" s="57" t="s">
        <v>1395</v>
      </c>
      <c r="C30" s="57">
        <v>50081791</v>
      </c>
      <c r="D30" s="57" t="s">
        <v>598</v>
      </c>
      <c r="E30" s="57">
        <v>50082184</v>
      </c>
      <c r="F30" s="57" t="s">
        <v>517</v>
      </c>
      <c r="G30" s="57">
        <v>3.4624999999999999</v>
      </c>
      <c r="H30" s="57" t="s">
        <v>1359</v>
      </c>
      <c r="I30" s="57" t="s">
        <v>1359</v>
      </c>
      <c r="J30" s="57" t="s">
        <v>1359</v>
      </c>
      <c r="L30">
        <v>50081441</v>
      </c>
      <c r="M30" t="s">
        <v>1664</v>
      </c>
      <c r="N30">
        <v>50082180</v>
      </c>
      <c r="O30" t="s">
        <v>721</v>
      </c>
      <c r="U30">
        <v>50081443</v>
      </c>
      <c r="V30" t="s">
        <v>1666</v>
      </c>
      <c r="W30">
        <v>50082179</v>
      </c>
      <c r="X30" t="s">
        <v>720</v>
      </c>
      <c r="Y30">
        <f>VLOOKUP(W30,Sheet2!A:D,3,0)</f>
        <v>50082181</v>
      </c>
      <c r="Z30" t="str">
        <f>VLOOKUP(W30,Sheet2!A:D,4,0)</f>
        <v>PPHP: COPYLENE CH120LN</v>
      </c>
    </row>
    <row r="31" spans="1:26" ht="15">
      <c r="A31" s="57">
        <v>50081825</v>
      </c>
      <c r="B31" s="57" t="s">
        <v>1396</v>
      </c>
      <c r="C31" s="57">
        <v>50081824</v>
      </c>
      <c r="D31" s="57" t="s">
        <v>608</v>
      </c>
      <c r="E31" s="57">
        <v>50082183</v>
      </c>
      <c r="F31" s="57" t="s">
        <v>515</v>
      </c>
      <c r="G31" s="57">
        <v>6.4329000000000001</v>
      </c>
      <c r="H31" s="57">
        <v>50081420</v>
      </c>
      <c r="I31" s="57" t="s">
        <v>1397</v>
      </c>
      <c r="J31" s="57">
        <v>0.41060000000000002</v>
      </c>
      <c r="L31">
        <v>50081442</v>
      </c>
      <c r="M31" t="s">
        <v>1665</v>
      </c>
      <c r="N31">
        <v>50082179</v>
      </c>
      <c r="O31" t="s">
        <v>720</v>
      </c>
      <c r="U31">
        <v>50081443</v>
      </c>
      <c r="V31" t="s">
        <v>1666</v>
      </c>
      <c r="W31">
        <v>50082180</v>
      </c>
      <c r="X31" t="s">
        <v>721</v>
      </c>
      <c r="Y31">
        <f>VLOOKUP(W31,Sheet2!A:D,3,0)</f>
        <v>50082181</v>
      </c>
      <c r="Z31" t="str">
        <f>VLOOKUP(W31,Sheet2!A:D,4,0)</f>
        <v>PPHP: COPYLENE CH120LN</v>
      </c>
    </row>
    <row r="32" spans="1:26" ht="15">
      <c r="A32" s="57">
        <v>50081826</v>
      </c>
      <c r="B32" s="57" t="s">
        <v>1398</v>
      </c>
      <c r="C32" s="57">
        <v>50081824</v>
      </c>
      <c r="D32" s="57" t="s">
        <v>608</v>
      </c>
      <c r="E32" s="57">
        <v>50082183</v>
      </c>
      <c r="F32" s="57" t="s">
        <v>515</v>
      </c>
      <c r="G32" s="57">
        <v>6.4329000000000001</v>
      </c>
      <c r="H32" s="57">
        <v>50081420</v>
      </c>
      <c r="I32" s="57" t="s">
        <v>1397</v>
      </c>
      <c r="J32" s="57">
        <v>0.41060000000000002</v>
      </c>
      <c r="L32">
        <v>50081442</v>
      </c>
      <c r="M32" t="s">
        <v>1665</v>
      </c>
      <c r="N32">
        <v>50082180</v>
      </c>
      <c r="O32" t="s">
        <v>721</v>
      </c>
      <c r="U32">
        <v>50081444</v>
      </c>
      <c r="V32" t="s">
        <v>1667</v>
      </c>
      <c r="W32">
        <v>50082144</v>
      </c>
      <c r="X32" t="s">
        <v>709</v>
      </c>
      <c r="Y32">
        <f>VLOOKUP(W32,Sheet2!A:D,3,0)</f>
        <v>50082181</v>
      </c>
      <c r="Z32" t="str">
        <f>VLOOKUP(W32,Sheet2!A:D,4,0)</f>
        <v>PPHP: COPYLENE CH120LN</v>
      </c>
    </row>
    <row r="33" spans="1:26" ht="15">
      <c r="A33" s="57">
        <v>50081828</v>
      </c>
      <c r="B33" s="57" t="s">
        <v>1399</v>
      </c>
      <c r="C33" s="57">
        <v>50081827</v>
      </c>
      <c r="D33" s="57" t="s">
        <v>609</v>
      </c>
      <c r="E33" s="57">
        <v>50082184</v>
      </c>
      <c r="F33" s="57" t="s">
        <v>517</v>
      </c>
      <c r="G33" s="57">
        <v>4.41</v>
      </c>
      <c r="H33" s="57">
        <v>50082194</v>
      </c>
      <c r="I33" s="57" t="s">
        <v>1365</v>
      </c>
      <c r="J33" s="57">
        <v>0.09</v>
      </c>
      <c r="L33">
        <v>50081443</v>
      </c>
      <c r="M33" t="s">
        <v>1666</v>
      </c>
      <c r="N33">
        <v>50082179</v>
      </c>
      <c r="O33" t="s">
        <v>720</v>
      </c>
      <c r="U33">
        <v>50081444</v>
      </c>
      <c r="V33" t="s">
        <v>1667</v>
      </c>
      <c r="W33">
        <v>50082177</v>
      </c>
      <c r="X33" t="s">
        <v>718</v>
      </c>
      <c r="Y33">
        <f>VLOOKUP(W33,Sheet2!A:D,3,0)</f>
        <v>50082181</v>
      </c>
      <c r="Z33" t="str">
        <f>VLOOKUP(W33,Sheet2!A:D,4,0)</f>
        <v>PPHP: COPYLENE CH120LN</v>
      </c>
    </row>
    <row r="34" spans="1:26" ht="15">
      <c r="A34" s="57">
        <v>50081829</v>
      </c>
      <c r="B34" s="57" t="s">
        <v>1400</v>
      </c>
      <c r="C34" s="57">
        <v>50081827</v>
      </c>
      <c r="D34" s="57" t="s">
        <v>609</v>
      </c>
      <c r="E34" s="57">
        <v>50082184</v>
      </c>
      <c r="F34" s="57" t="s">
        <v>517</v>
      </c>
      <c r="G34" s="57">
        <v>4.41</v>
      </c>
      <c r="H34" s="57">
        <v>50082194</v>
      </c>
      <c r="I34" s="57" t="s">
        <v>1365</v>
      </c>
      <c r="J34" s="57">
        <v>0.09</v>
      </c>
      <c r="L34">
        <v>50081443</v>
      </c>
      <c r="M34" t="s">
        <v>1666</v>
      </c>
      <c r="N34">
        <v>50082180</v>
      </c>
      <c r="O34" t="s">
        <v>721</v>
      </c>
      <c r="U34">
        <v>50081445</v>
      </c>
      <c r="V34" t="s">
        <v>1668</v>
      </c>
      <c r="W34">
        <v>50082144</v>
      </c>
      <c r="X34" t="s">
        <v>709</v>
      </c>
      <c r="Y34">
        <f>VLOOKUP(W34,Sheet2!A:D,3,0)</f>
        <v>50082181</v>
      </c>
      <c r="Z34" t="str">
        <f>VLOOKUP(W34,Sheet2!A:D,4,0)</f>
        <v>PPHP: COPYLENE CH120LN</v>
      </c>
    </row>
    <row r="35" spans="1:26" ht="15">
      <c r="A35" s="57">
        <v>50081860</v>
      </c>
      <c r="B35" s="57" t="s">
        <v>1401</v>
      </c>
      <c r="C35" s="57">
        <v>50081859</v>
      </c>
      <c r="D35" s="57" t="s">
        <v>620</v>
      </c>
      <c r="E35" s="57">
        <v>50082184</v>
      </c>
      <c r="F35" s="57" t="s">
        <v>517</v>
      </c>
      <c r="G35" s="57">
        <v>2.8812000000000002</v>
      </c>
      <c r="H35" s="57">
        <v>50082152</v>
      </c>
      <c r="I35" s="57" t="s">
        <v>1390</v>
      </c>
      <c r="J35" s="57">
        <v>5.8799999999999998E-2</v>
      </c>
      <c r="L35">
        <v>50081444</v>
      </c>
      <c r="M35" t="s">
        <v>1667</v>
      </c>
      <c r="N35">
        <v>50082144</v>
      </c>
      <c r="O35" t="s">
        <v>709</v>
      </c>
      <c r="U35">
        <v>50081445</v>
      </c>
      <c r="V35" t="s">
        <v>1668</v>
      </c>
      <c r="W35">
        <v>50082177</v>
      </c>
      <c r="X35" t="s">
        <v>718</v>
      </c>
      <c r="Y35">
        <f>VLOOKUP(W35,Sheet2!A:D,3,0)</f>
        <v>50082181</v>
      </c>
      <c r="Z35" t="str">
        <f>VLOOKUP(W35,Sheet2!A:D,4,0)</f>
        <v>PPHP: COPYLENE CH120LN</v>
      </c>
    </row>
    <row r="36" spans="1:26" ht="15">
      <c r="A36" s="57">
        <v>50081861</v>
      </c>
      <c r="B36" s="57" t="s">
        <v>1402</v>
      </c>
      <c r="C36" s="57">
        <v>50081859</v>
      </c>
      <c r="D36" s="57" t="s">
        <v>620</v>
      </c>
      <c r="E36" s="57">
        <v>50082184</v>
      </c>
      <c r="F36" s="57" t="s">
        <v>517</v>
      </c>
      <c r="G36" s="57">
        <v>2.8812000000000002</v>
      </c>
      <c r="H36" s="57">
        <v>50082152</v>
      </c>
      <c r="I36" s="57" t="s">
        <v>1390</v>
      </c>
      <c r="J36" s="57">
        <v>5.8799999999999998E-2</v>
      </c>
      <c r="L36">
        <v>50081444</v>
      </c>
      <c r="M36" t="s">
        <v>1667</v>
      </c>
      <c r="N36">
        <v>50082177</v>
      </c>
      <c r="O36" t="s">
        <v>718</v>
      </c>
      <c r="U36">
        <v>50081446</v>
      </c>
      <c r="V36" t="s">
        <v>1669</v>
      </c>
      <c r="W36">
        <v>50082144</v>
      </c>
      <c r="X36" t="s">
        <v>709</v>
      </c>
      <c r="Y36">
        <f>VLOOKUP(W36,Sheet2!A:D,3,0)</f>
        <v>50082181</v>
      </c>
      <c r="Z36" t="str">
        <f>VLOOKUP(W36,Sheet2!A:D,4,0)</f>
        <v>PPHP: COPYLENE CH120LN</v>
      </c>
    </row>
    <row r="37" spans="1:26" ht="15">
      <c r="A37" s="57">
        <v>50081866</v>
      </c>
      <c r="B37" s="57" t="s">
        <v>153</v>
      </c>
      <c r="C37" s="57">
        <v>50081865</v>
      </c>
      <c r="D37" s="57" t="s">
        <v>622</v>
      </c>
      <c r="E37" s="57">
        <v>50082184</v>
      </c>
      <c r="F37" s="57" t="s">
        <v>517</v>
      </c>
      <c r="G37" s="57">
        <v>2.8420000000000001</v>
      </c>
      <c r="H37" s="57">
        <v>50082194</v>
      </c>
      <c r="I37" s="57" t="s">
        <v>1365</v>
      </c>
      <c r="J37" s="57">
        <v>5.8000000000000003E-2</v>
      </c>
      <c r="L37">
        <v>50081445</v>
      </c>
      <c r="M37" t="s">
        <v>1668</v>
      </c>
      <c r="N37">
        <v>50082144</v>
      </c>
      <c r="O37" t="s">
        <v>709</v>
      </c>
      <c r="U37">
        <v>50081446</v>
      </c>
      <c r="V37" t="s">
        <v>1669</v>
      </c>
      <c r="W37">
        <v>50082177</v>
      </c>
      <c r="X37" t="s">
        <v>718</v>
      </c>
      <c r="Y37">
        <f>VLOOKUP(W37,Sheet2!A:D,3,0)</f>
        <v>50082181</v>
      </c>
      <c r="Z37" t="str">
        <f>VLOOKUP(W37,Sheet2!A:D,4,0)</f>
        <v>PPHP: COPYLENE CH120LN</v>
      </c>
    </row>
    <row r="38" spans="1:26" ht="15">
      <c r="A38" s="57">
        <v>50081867</v>
      </c>
      <c r="B38" s="57" t="s">
        <v>187</v>
      </c>
      <c r="C38" s="57">
        <v>50081865</v>
      </c>
      <c r="D38" s="57" t="s">
        <v>622</v>
      </c>
      <c r="E38" s="57">
        <v>50082184</v>
      </c>
      <c r="F38" s="57" t="s">
        <v>517</v>
      </c>
      <c r="G38" s="57">
        <v>2.8420000000000001</v>
      </c>
      <c r="H38" s="57">
        <v>50082194</v>
      </c>
      <c r="I38" s="57" t="s">
        <v>1365</v>
      </c>
      <c r="J38" s="57">
        <v>5.8000000000000003E-2</v>
      </c>
      <c r="L38">
        <v>50081445</v>
      </c>
      <c r="M38" t="s">
        <v>1668</v>
      </c>
      <c r="N38">
        <v>50082177</v>
      </c>
      <c r="O38" t="s">
        <v>718</v>
      </c>
      <c r="U38">
        <v>50081447</v>
      </c>
      <c r="V38" t="s">
        <v>1670</v>
      </c>
      <c r="W38">
        <v>50082145</v>
      </c>
      <c r="X38" t="s">
        <v>710</v>
      </c>
      <c r="Y38">
        <f>VLOOKUP(W38,Sheet2!A:D,3,0)</f>
        <v>50082181</v>
      </c>
      <c r="Z38" t="str">
        <f>VLOOKUP(W38,Sheet2!A:D,4,0)</f>
        <v>PPHP: COPYLENE CH120LN</v>
      </c>
    </row>
    <row r="39" spans="1:26" ht="15">
      <c r="A39" s="57">
        <v>50081873</v>
      </c>
      <c r="B39" s="57" t="s">
        <v>1403</v>
      </c>
      <c r="C39" s="57">
        <v>50081872</v>
      </c>
      <c r="D39" s="57" t="s">
        <v>625</v>
      </c>
      <c r="E39" s="57">
        <v>50082183</v>
      </c>
      <c r="F39" s="57" t="s">
        <v>515</v>
      </c>
      <c r="G39" s="57">
        <v>4.3864999999999998</v>
      </c>
      <c r="H39" s="57">
        <v>50082194</v>
      </c>
      <c r="I39" s="57" t="s">
        <v>1365</v>
      </c>
      <c r="J39" s="57">
        <v>8.9499999999999996E-2</v>
      </c>
      <c r="L39">
        <v>50081446</v>
      </c>
      <c r="M39" t="s">
        <v>1669</v>
      </c>
      <c r="N39">
        <v>50082144</v>
      </c>
      <c r="O39" t="s">
        <v>709</v>
      </c>
      <c r="U39">
        <v>50081447</v>
      </c>
      <c r="V39" t="s">
        <v>1670</v>
      </c>
      <c r="W39">
        <v>50082178</v>
      </c>
      <c r="X39" t="s">
        <v>719</v>
      </c>
      <c r="Y39">
        <f>VLOOKUP(W39,Sheet2!A:D,3,0)</f>
        <v>50082181</v>
      </c>
      <c r="Z39" t="str">
        <f>VLOOKUP(W39,Sheet2!A:D,4,0)</f>
        <v>PPHP: COPYLENE CH120LN</v>
      </c>
    </row>
    <row r="40" spans="1:26" ht="15">
      <c r="A40" s="57">
        <v>50081874</v>
      </c>
      <c r="B40" s="57" t="s">
        <v>1404</v>
      </c>
      <c r="C40" s="57">
        <v>50081872</v>
      </c>
      <c r="D40" s="57" t="s">
        <v>625</v>
      </c>
      <c r="E40" s="57">
        <v>50082183</v>
      </c>
      <c r="F40" s="57" t="s">
        <v>515</v>
      </c>
      <c r="G40" s="57">
        <v>4.3864999999999998</v>
      </c>
      <c r="H40" s="57">
        <v>50082194</v>
      </c>
      <c r="I40" s="57" t="s">
        <v>1365</v>
      </c>
      <c r="J40" s="57">
        <v>8.9499999999999996E-2</v>
      </c>
      <c r="L40">
        <v>50081446</v>
      </c>
      <c r="M40" t="s">
        <v>1669</v>
      </c>
      <c r="N40">
        <v>50082177</v>
      </c>
      <c r="O40" t="s">
        <v>718</v>
      </c>
      <c r="U40">
        <v>50081448</v>
      </c>
      <c r="V40" t="s">
        <v>1671</v>
      </c>
      <c r="W40">
        <v>50082145</v>
      </c>
      <c r="X40" t="s">
        <v>710</v>
      </c>
      <c r="Y40">
        <f>VLOOKUP(W40,Sheet2!A:D,3,0)</f>
        <v>50082181</v>
      </c>
      <c r="Z40" t="str">
        <f>VLOOKUP(W40,Sheet2!A:D,4,0)</f>
        <v>PPHP: COPYLENE CH120LN</v>
      </c>
    </row>
    <row r="41" spans="1:26" ht="15">
      <c r="A41" s="57">
        <v>50081881</v>
      </c>
      <c r="B41" s="57" t="s">
        <v>1405</v>
      </c>
      <c r="C41" s="57">
        <v>50081880</v>
      </c>
      <c r="D41" s="57" t="s">
        <v>627</v>
      </c>
      <c r="E41" s="57">
        <v>50082184</v>
      </c>
      <c r="F41" s="57" t="s">
        <v>517</v>
      </c>
      <c r="G41" s="57">
        <v>3.577</v>
      </c>
      <c r="H41" s="57">
        <v>50082152</v>
      </c>
      <c r="I41" s="57" t="s">
        <v>1390</v>
      </c>
      <c r="J41" s="57">
        <v>7.2999999999999995E-2</v>
      </c>
      <c r="L41">
        <v>50081447</v>
      </c>
      <c r="M41" t="s">
        <v>1670</v>
      </c>
      <c r="N41">
        <v>50082145</v>
      </c>
      <c r="O41" t="s">
        <v>710</v>
      </c>
      <c r="U41">
        <v>50081448</v>
      </c>
      <c r="V41" t="s">
        <v>1671</v>
      </c>
      <c r="W41">
        <v>50082178</v>
      </c>
      <c r="X41" t="s">
        <v>719</v>
      </c>
      <c r="Y41">
        <f>VLOOKUP(W41,Sheet2!A:D,3,0)</f>
        <v>50082181</v>
      </c>
      <c r="Z41" t="str">
        <f>VLOOKUP(W41,Sheet2!A:D,4,0)</f>
        <v>PPHP: COPYLENE CH120LN</v>
      </c>
    </row>
    <row r="42" spans="1:26" ht="15">
      <c r="A42" s="57">
        <v>50081882</v>
      </c>
      <c r="B42" s="57" t="s">
        <v>1406</v>
      </c>
      <c r="C42" s="57">
        <v>50082061</v>
      </c>
      <c r="D42" s="57" t="s">
        <v>687</v>
      </c>
      <c r="E42" s="57">
        <v>50082184</v>
      </c>
      <c r="F42" s="57" t="s">
        <v>517</v>
      </c>
      <c r="G42" s="57">
        <v>3.5529999999999999</v>
      </c>
      <c r="H42" s="57">
        <v>50082152</v>
      </c>
      <c r="I42" s="57" t="s">
        <v>1390</v>
      </c>
      <c r="J42" s="57">
        <v>7.2499999999999995E-2</v>
      </c>
      <c r="L42">
        <v>50081447</v>
      </c>
      <c r="M42" t="s">
        <v>1670</v>
      </c>
      <c r="N42">
        <v>50082178</v>
      </c>
      <c r="O42" t="s">
        <v>719</v>
      </c>
      <c r="U42">
        <v>50081449</v>
      </c>
      <c r="V42" t="s">
        <v>1672</v>
      </c>
      <c r="W42">
        <v>50082145</v>
      </c>
      <c r="X42" t="s">
        <v>710</v>
      </c>
      <c r="Y42">
        <f>VLOOKUP(W42,Sheet2!A:D,3,0)</f>
        <v>50082181</v>
      </c>
      <c r="Z42" t="str">
        <f>VLOOKUP(W42,Sheet2!A:D,4,0)</f>
        <v>PPHP: COPYLENE CH120LN</v>
      </c>
    </row>
    <row r="43" spans="1:26" ht="15">
      <c r="A43" s="57">
        <v>50081885</v>
      </c>
      <c r="B43" s="57" t="s">
        <v>1407</v>
      </c>
      <c r="C43" s="57">
        <v>50081884</v>
      </c>
      <c r="D43" s="57" t="s">
        <v>629</v>
      </c>
      <c r="E43" s="57">
        <v>50082184</v>
      </c>
      <c r="F43" s="57" t="s">
        <v>517</v>
      </c>
      <c r="G43" s="57">
        <v>3.4706999999999999</v>
      </c>
      <c r="H43" s="57">
        <v>50082194</v>
      </c>
      <c r="I43" s="57" t="s">
        <v>1365</v>
      </c>
      <c r="J43" s="57">
        <v>7.0800000000000002E-2</v>
      </c>
      <c r="L43">
        <v>50081448</v>
      </c>
      <c r="M43" t="s">
        <v>1671</v>
      </c>
      <c r="N43">
        <v>50082145</v>
      </c>
      <c r="O43" t="s">
        <v>710</v>
      </c>
      <c r="U43">
        <v>50081449</v>
      </c>
      <c r="V43" t="s">
        <v>1672</v>
      </c>
      <c r="W43">
        <v>50082178</v>
      </c>
      <c r="X43" t="s">
        <v>719</v>
      </c>
      <c r="Y43">
        <f>VLOOKUP(W43,Sheet2!A:D,3,0)</f>
        <v>50082181</v>
      </c>
      <c r="Z43" t="str">
        <f>VLOOKUP(W43,Sheet2!A:D,4,0)</f>
        <v>PPHP: COPYLENE CH120LN</v>
      </c>
    </row>
    <row r="44" spans="1:26" ht="15">
      <c r="A44" s="57">
        <v>50081886</v>
      </c>
      <c r="B44" s="57" t="s">
        <v>1408</v>
      </c>
      <c r="C44" s="57">
        <v>50081884</v>
      </c>
      <c r="D44" s="57" t="s">
        <v>629</v>
      </c>
      <c r="E44" s="57">
        <v>50082184</v>
      </c>
      <c r="F44" s="57" t="s">
        <v>517</v>
      </c>
      <c r="G44" s="57">
        <v>3.4706999999999999</v>
      </c>
      <c r="H44" s="57">
        <v>50082194</v>
      </c>
      <c r="I44" s="57" t="s">
        <v>1365</v>
      </c>
      <c r="J44" s="57">
        <v>7.0800000000000002E-2</v>
      </c>
      <c r="L44">
        <v>50081448</v>
      </c>
      <c r="M44" t="s">
        <v>1671</v>
      </c>
      <c r="N44">
        <v>50082178</v>
      </c>
      <c r="O44" t="s">
        <v>719</v>
      </c>
      <c r="U44">
        <v>50081512</v>
      </c>
      <c r="V44" t="s">
        <v>1675</v>
      </c>
      <c r="W44">
        <v>50082144</v>
      </c>
      <c r="X44" t="s">
        <v>709</v>
      </c>
      <c r="Y44">
        <f>VLOOKUP(W44,Sheet2!A:D,3,0)</f>
        <v>50082181</v>
      </c>
      <c r="Z44" t="str">
        <f>VLOOKUP(W44,Sheet2!A:D,4,0)</f>
        <v>PPHP: COPYLENE CH120LN</v>
      </c>
    </row>
    <row r="45" spans="1:26" ht="15">
      <c r="A45" s="57">
        <v>50081941</v>
      </c>
      <c r="B45" s="57" t="s">
        <v>1409</v>
      </c>
      <c r="C45" s="57">
        <v>50081940</v>
      </c>
      <c r="D45" s="57" t="s">
        <v>645</v>
      </c>
      <c r="E45" s="57">
        <v>50082184</v>
      </c>
      <c r="F45" s="57" t="s">
        <v>517</v>
      </c>
      <c r="G45" s="57">
        <v>0.54879999999999995</v>
      </c>
      <c r="H45" s="57">
        <v>50082152</v>
      </c>
      <c r="I45" s="57" t="s">
        <v>1390</v>
      </c>
      <c r="J45" s="57">
        <v>1.12E-2</v>
      </c>
      <c r="L45">
        <v>50081449</v>
      </c>
      <c r="M45" t="s">
        <v>1672</v>
      </c>
      <c r="N45">
        <v>50082145</v>
      </c>
      <c r="O45" t="s">
        <v>710</v>
      </c>
      <c r="U45">
        <v>50081512</v>
      </c>
      <c r="V45" t="s">
        <v>1675</v>
      </c>
      <c r="W45">
        <v>50082177</v>
      </c>
      <c r="X45" t="s">
        <v>718</v>
      </c>
      <c r="Y45">
        <f>VLOOKUP(W45,Sheet2!A:D,3,0)</f>
        <v>50082181</v>
      </c>
      <c r="Z45" t="str">
        <f>VLOOKUP(W45,Sheet2!A:D,4,0)</f>
        <v>PPHP: COPYLENE CH120LN</v>
      </c>
    </row>
    <row r="46" spans="1:26" ht="15">
      <c r="A46" s="57">
        <v>50081942</v>
      </c>
      <c r="B46" s="57" t="s">
        <v>1410</v>
      </c>
      <c r="C46" s="57">
        <v>50081940</v>
      </c>
      <c r="D46" s="57" t="s">
        <v>645</v>
      </c>
      <c r="E46" s="57">
        <v>50082184</v>
      </c>
      <c r="F46" s="57" t="s">
        <v>517</v>
      </c>
      <c r="G46" s="57">
        <v>0.54879999999999995</v>
      </c>
      <c r="H46" s="57">
        <v>50082152</v>
      </c>
      <c r="I46" s="57" t="s">
        <v>1390</v>
      </c>
      <c r="J46" s="57">
        <v>1.12E-2</v>
      </c>
      <c r="L46">
        <v>50081449</v>
      </c>
      <c r="M46" t="s">
        <v>1672</v>
      </c>
      <c r="N46">
        <v>50082178</v>
      </c>
      <c r="O46" t="s">
        <v>719</v>
      </c>
      <c r="U46">
        <v>50081513</v>
      </c>
      <c r="V46" t="s">
        <v>1676</v>
      </c>
      <c r="W46">
        <v>50082144</v>
      </c>
      <c r="X46" t="s">
        <v>709</v>
      </c>
      <c r="Y46">
        <f>VLOOKUP(W46,Sheet2!A:D,3,0)</f>
        <v>50082181</v>
      </c>
      <c r="Z46" t="str">
        <f>VLOOKUP(W46,Sheet2!A:D,4,0)</f>
        <v>PPHP: COPYLENE CH120LN</v>
      </c>
    </row>
    <row r="47" spans="1:26" ht="15">
      <c r="A47" s="57">
        <v>50081944</v>
      </c>
      <c r="B47" s="57" t="s">
        <v>1411</v>
      </c>
      <c r="C47" s="57">
        <v>50081943</v>
      </c>
      <c r="D47" s="57" t="s">
        <v>646</v>
      </c>
      <c r="E47" s="57">
        <v>50082184</v>
      </c>
      <c r="F47" s="57" t="s">
        <v>517</v>
      </c>
      <c r="G47" s="57">
        <v>0.56000000000000005</v>
      </c>
      <c r="H47" s="57" t="s">
        <v>1359</v>
      </c>
      <c r="I47" s="57" t="s">
        <v>1359</v>
      </c>
      <c r="J47" s="57" t="s">
        <v>1359</v>
      </c>
      <c r="L47">
        <v>50081478</v>
      </c>
      <c r="M47" t="s">
        <v>1673</v>
      </c>
      <c r="N47">
        <v>50081954</v>
      </c>
      <c r="O47" t="s">
        <v>649</v>
      </c>
      <c r="U47">
        <v>50081513</v>
      </c>
      <c r="V47" t="s">
        <v>1676</v>
      </c>
      <c r="W47">
        <v>50082177</v>
      </c>
      <c r="X47" t="s">
        <v>718</v>
      </c>
      <c r="Y47">
        <f>VLOOKUP(W47,Sheet2!A:D,3,0)</f>
        <v>50082181</v>
      </c>
      <c r="Z47" t="str">
        <f>VLOOKUP(W47,Sheet2!A:D,4,0)</f>
        <v>PPHP: COPYLENE CH120LN</v>
      </c>
    </row>
    <row r="48" spans="1:26" ht="15">
      <c r="A48" s="57">
        <v>50081945</v>
      </c>
      <c r="B48" s="57" t="s">
        <v>1412</v>
      </c>
      <c r="C48" s="57">
        <v>50081943</v>
      </c>
      <c r="D48" s="57" t="s">
        <v>646</v>
      </c>
      <c r="E48" s="57">
        <v>50082184</v>
      </c>
      <c r="F48" s="57" t="s">
        <v>517</v>
      </c>
      <c r="G48" s="57">
        <v>0.56000000000000005</v>
      </c>
      <c r="H48" s="57" t="s">
        <v>1359</v>
      </c>
      <c r="I48" s="57" t="s">
        <v>1359</v>
      </c>
      <c r="J48" s="57" t="s">
        <v>1359</v>
      </c>
      <c r="L48">
        <v>50081486</v>
      </c>
      <c r="M48" t="s">
        <v>1674</v>
      </c>
      <c r="N48">
        <v>50082046</v>
      </c>
      <c r="O48" t="s">
        <v>682</v>
      </c>
      <c r="U48">
        <v>50081514</v>
      </c>
      <c r="V48" t="s">
        <v>1677</v>
      </c>
      <c r="W48">
        <v>50081995</v>
      </c>
      <c r="X48" t="s">
        <v>662</v>
      </c>
      <c r="Y48">
        <f>VLOOKUP(W48,Sheet2!A:D,3,0)</f>
        <v>50082181</v>
      </c>
      <c r="Z48" t="str">
        <f>VLOOKUP(W48,Sheet2!A:D,4,0)</f>
        <v>PPHP: COPYLENE CH120LN</v>
      </c>
    </row>
    <row r="49" spans="1:26" ht="15">
      <c r="A49" s="57">
        <v>50081967</v>
      </c>
      <c r="B49" s="57" t="s">
        <v>1413</v>
      </c>
      <c r="C49" s="57">
        <v>50081966</v>
      </c>
      <c r="D49" s="57" t="s">
        <v>653</v>
      </c>
      <c r="E49" s="57">
        <v>50082184</v>
      </c>
      <c r="F49" s="57" t="s">
        <v>517</v>
      </c>
      <c r="G49" s="57">
        <v>2.9</v>
      </c>
      <c r="H49" s="57" t="s">
        <v>1359</v>
      </c>
      <c r="I49" s="57" t="s">
        <v>1359</v>
      </c>
      <c r="J49" s="57" t="s">
        <v>1359</v>
      </c>
      <c r="L49">
        <v>50081512</v>
      </c>
      <c r="M49" t="s">
        <v>1675</v>
      </c>
      <c r="N49">
        <v>50082144</v>
      </c>
      <c r="O49" t="s">
        <v>709</v>
      </c>
      <c r="U49">
        <v>50081514</v>
      </c>
      <c r="V49" t="s">
        <v>1677</v>
      </c>
      <c r="W49">
        <v>50082144</v>
      </c>
      <c r="X49" t="s">
        <v>709</v>
      </c>
      <c r="Y49">
        <f>VLOOKUP(W49,Sheet2!A:D,3,0)</f>
        <v>50082181</v>
      </c>
      <c r="Z49" t="str">
        <f>VLOOKUP(W49,Sheet2!A:D,4,0)</f>
        <v>PPHP: COPYLENE CH120LN</v>
      </c>
    </row>
    <row r="50" spans="1:26" ht="15">
      <c r="A50" s="57">
        <v>50081968</v>
      </c>
      <c r="B50" s="57" t="s">
        <v>1414</v>
      </c>
      <c r="C50" s="57">
        <v>50081966</v>
      </c>
      <c r="D50" s="57" t="s">
        <v>653</v>
      </c>
      <c r="E50" s="57">
        <v>50082184</v>
      </c>
      <c r="F50" s="57" t="s">
        <v>517</v>
      </c>
      <c r="G50" s="57">
        <v>2.9</v>
      </c>
      <c r="H50" s="57" t="s">
        <v>1359</v>
      </c>
      <c r="I50" s="57" t="s">
        <v>1359</v>
      </c>
      <c r="J50" s="57" t="s">
        <v>1359</v>
      </c>
      <c r="L50">
        <v>50081512</v>
      </c>
      <c r="M50" t="s">
        <v>1675</v>
      </c>
      <c r="N50">
        <v>50082177</v>
      </c>
      <c r="O50" t="s">
        <v>718</v>
      </c>
      <c r="U50">
        <v>50081515</v>
      </c>
      <c r="V50" t="s">
        <v>1678</v>
      </c>
      <c r="W50">
        <v>50082033</v>
      </c>
      <c r="X50" t="s">
        <v>676</v>
      </c>
      <c r="Y50">
        <f>VLOOKUP(W50,Sheet2!A:D,3,0)</f>
        <v>50082181</v>
      </c>
      <c r="Z50" t="str">
        <f>VLOOKUP(W50,Sheet2!A:D,4,0)</f>
        <v>PPHP: COPYLENE CH120LN</v>
      </c>
    </row>
    <row r="51" spans="1:26" ht="15">
      <c r="A51" s="57">
        <v>50081983</v>
      </c>
      <c r="B51" s="57" t="s">
        <v>1415</v>
      </c>
      <c r="C51" s="57">
        <v>50081982</v>
      </c>
      <c r="D51" s="57" t="s">
        <v>1416</v>
      </c>
      <c r="E51" s="57">
        <v>50082198</v>
      </c>
      <c r="F51" s="57" t="s">
        <v>1358</v>
      </c>
      <c r="G51" s="57">
        <v>3.65</v>
      </c>
      <c r="H51" s="57" t="s">
        <v>1359</v>
      </c>
      <c r="I51" s="57" t="s">
        <v>1359</v>
      </c>
      <c r="J51" s="57" t="s">
        <v>1359</v>
      </c>
      <c r="L51">
        <v>50081513</v>
      </c>
      <c r="M51" t="s">
        <v>1676</v>
      </c>
      <c r="N51">
        <v>50082144</v>
      </c>
      <c r="O51" t="s">
        <v>709</v>
      </c>
      <c r="U51">
        <v>50081515</v>
      </c>
      <c r="V51" t="s">
        <v>1678</v>
      </c>
      <c r="W51">
        <v>50082144</v>
      </c>
      <c r="X51" t="s">
        <v>709</v>
      </c>
      <c r="Y51">
        <f>VLOOKUP(W51,Sheet2!A:D,3,0)</f>
        <v>50082181</v>
      </c>
      <c r="Z51" t="str">
        <f>VLOOKUP(W51,Sheet2!A:D,4,0)</f>
        <v>PPHP: COPYLENE CH120LN</v>
      </c>
    </row>
    <row r="52" spans="1:26" ht="15">
      <c r="A52" s="57">
        <v>50081984</v>
      </c>
      <c r="B52" s="57" t="s">
        <v>1417</v>
      </c>
      <c r="C52" s="57">
        <v>50081982</v>
      </c>
      <c r="D52" s="57" t="s">
        <v>1416</v>
      </c>
      <c r="E52" s="57">
        <v>50082198</v>
      </c>
      <c r="F52" s="57" t="s">
        <v>1358</v>
      </c>
      <c r="G52" s="57">
        <v>3.65</v>
      </c>
      <c r="H52" s="57" t="s">
        <v>1359</v>
      </c>
      <c r="I52" s="57" t="s">
        <v>1359</v>
      </c>
      <c r="J52" s="57" t="s">
        <v>1359</v>
      </c>
      <c r="L52">
        <v>50081513</v>
      </c>
      <c r="M52" t="s">
        <v>1676</v>
      </c>
      <c r="N52">
        <v>50082177</v>
      </c>
      <c r="O52" t="s">
        <v>718</v>
      </c>
      <c r="U52">
        <v>50081516</v>
      </c>
      <c r="V52" t="s">
        <v>1679</v>
      </c>
      <c r="W52">
        <v>50082145</v>
      </c>
      <c r="X52" t="s">
        <v>710</v>
      </c>
      <c r="Y52">
        <f>VLOOKUP(W52,Sheet2!A:D,3,0)</f>
        <v>50082181</v>
      </c>
      <c r="Z52" t="str">
        <f>VLOOKUP(W52,Sheet2!A:D,4,0)</f>
        <v>PPHP: COPYLENE CH120LN</v>
      </c>
    </row>
    <row r="53" spans="1:26" ht="15">
      <c r="A53" s="57">
        <v>50082004</v>
      </c>
      <c r="B53" s="57" t="s">
        <v>488</v>
      </c>
      <c r="C53" s="57">
        <v>50082003</v>
      </c>
      <c r="D53" s="57" t="s">
        <v>668</v>
      </c>
      <c r="E53" s="57">
        <v>50082184</v>
      </c>
      <c r="F53" s="57" t="s">
        <v>517</v>
      </c>
      <c r="G53" s="57">
        <v>0.60860000000000003</v>
      </c>
      <c r="H53" s="57">
        <v>50082152</v>
      </c>
      <c r="I53" s="57" t="s">
        <v>1390</v>
      </c>
      <c r="J53" s="57">
        <v>1.24E-2</v>
      </c>
      <c r="L53">
        <v>50081514</v>
      </c>
      <c r="M53" t="s">
        <v>1677</v>
      </c>
      <c r="N53">
        <v>50081995</v>
      </c>
      <c r="O53" t="s">
        <v>662</v>
      </c>
      <c r="U53">
        <v>50081516</v>
      </c>
      <c r="V53" t="s">
        <v>1679</v>
      </c>
      <c r="W53">
        <v>50082178</v>
      </c>
      <c r="X53" t="s">
        <v>719</v>
      </c>
      <c r="Y53">
        <f>VLOOKUP(W53,Sheet2!A:D,3,0)</f>
        <v>50082181</v>
      </c>
      <c r="Z53" t="str">
        <f>VLOOKUP(W53,Sheet2!A:D,4,0)</f>
        <v>PPHP: COPYLENE CH120LN</v>
      </c>
    </row>
    <row r="54" spans="1:26" ht="15">
      <c r="A54" s="57">
        <v>50082005</v>
      </c>
      <c r="B54" s="57" t="s">
        <v>229</v>
      </c>
      <c r="C54" s="57">
        <v>50082003</v>
      </c>
      <c r="D54" s="57" t="s">
        <v>668</v>
      </c>
      <c r="E54" s="57">
        <v>50082184</v>
      </c>
      <c r="F54" s="57" t="s">
        <v>517</v>
      </c>
      <c r="G54" s="57">
        <v>0.60860000000000003</v>
      </c>
      <c r="H54" s="57">
        <v>50082152</v>
      </c>
      <c r="I54" s="57" t="s">
        <v>1390</v>
      </c>
      <c r="J54" s="57">
        <v>1.24E-2</v>
      </c>
      <c r="L54">
        <v>50081514</v>
      </c>
      <c r="M54" t="s">
        <v>1677</v>
      </c>
      <c r="N54">
        <v>50082144</v>
      </c>
      <c r="O54" t="s">
        <v>709</v>
      </c>
      <c r="U54">
        <v>50081517</v>
      </c>
      <c r="V54" t="s">
        <v>1680</v>
      </c>
      <c r="W54">
        <v>50081997</v>
      </c>
      <c r="X54" t="s">
        <v>664</v>
      </c>
      <c r="Y54">
        <f>VLOOKUP(W54,Sheet2!A:D,3,0)</f>
        <v>50082181</v>
      </c>
      <c r="Z54" t="str">
        <f>VLOOKUP(W54,Sheet2!A:D,4,0)</f>
        <v>PPHP: COPYLENE CH120LN</v>
      </c>
    </row>
    <row r="55" spans="1:26" ht="15">
      <c r="A55" s="57">
        <v>50082036</v>
      </c>
      <c r="B55" s="57" t="s">
        <v>1418</v>
      </c>
      <c r="C55" s="57">
        <v>50082035</v>
      </c>
      <c r="D55" s="57" t="s">
        <v>678</v>
      </c>
      <c r="E55" s="57">
        <v>50082184</v>
      </c>
      <c r="F55" s="57" t="s">
        <v>517</v>
      </c>
      <c r="G55" s="57">
        <v>0.57344700000000004</v>
      </c>
      <c r="H55" s="57">
        <v>50082194</v>
      </c>
      <c r="I55" s="57" t="s">
        <v>1365</v>
      </c>
      <c r="J55" s="57">
        <v>1.651E-2</v>
      </c>
      <c r="L55">
        <v>50081515</v>
      </c>
      <c r="M55" t="s">
        <v>1678</v>
      </c>
      <c r="N55">
        <v>50082033</v>
      </c>
      <c r="O55" t="s">
        <v>676</v>
      </c>
      <c r="U55">
        <v>50081517</v>
      </c>
      <c r="V55" t="s">
        <v>1680</v>
      </c>
      <c r="W55">
        <v>50082145</v>
      </c>
      <c r="X55" t="s">
        <v>710</v>
      </c>
      <c r="Y55">
        <f>VLOOKUP(W55,Sheet2!A:D,3,0)</f>
        <v>50082181</v>
      </c>
      <c r="Z55" t="str">
        <f>VLOOKUP(W55,Sheet2!A:D,4,0)</f>
        <v>PPHP: COPYLENE CH120LN</v>
      </c>
    </row>
    <row r="56" spans="1:26" ht="15">
      <c r="A56" s="57">
        <v>50082037</v>
      </c>
      <c r="B56" s="57" t="s">
        <v>1419</v>
      </c>
      <c r="C56" s="57">
        <v>50082035</v>
      </c>
      <c r="D56" s="57" t="s">
        <v>678</v>
      </c>
      <c r="E56" s="57">
        <v>50082184</v>
      </c>
      <c r="F56" s="57" t="s">
        <v>517</v>
      </c>
      <c r="G56" s="57">
        <v>0.57344700000000004</v>
      </c>
      <c r="H56" s="57">
        <v>50082194</v>
      </c>
      <c r="I56" s="57" t="s">
        <v>1365</v>
      </c>
      <c r="J56" s="57">
        <v>1.651E-2</v>
      </c>
      <c r="L56">
        <v>50081515</v>
      </c>
      <c r="M56" t="s">
        <v>1678</v>
      </c>
      <c r="N56">
        <v>50082144</v>
      </c>
      <c r="O56" t="s">
        <v>709</v>
      </c>
      <c r="U56">
        <v>50081518</v>
      </c>
      <c r="V56" t="s">
        <v>1681</v>
      </c>
      <c r="W56">
        <v>50082034</v>
      </c>
      <c r="X56" t="s">
        <v>677</v>
      </c>
      <c r="Y56">
        <f>VLOOKUP(W56,Sheet2!A:D,3,0)</f>
        <v>50082181</v>
      </c>
      <c r="Z56" t="str">
        <f>VLOOKUP(W56,Sheet2!A:D,4,0)</f>
        <v>PPHP: COPYLENE CH120LN</v>
      </c>
    </row>
    <row r="57" spans="1:26" ht="15">
      <c r="A57" s="57">
        <v>50082039</v>
      </c>
      <c r="B57" s="57" t="s">
        <v>386</v>
      </c>
      <c r="C57" s="57">
        <v>50082038</v>
      </c>
      <c r="D57" s="57" t="s">
        <v>679</v>
      </c>
      <c r="E57" s="57">
        <v>50082184</v>
      </c>
      <c r="F57" s="57" t="s">
        <v>517</v>
      </c>
      <c r="G57" s="57">
        <v>0.57089999999999996</v>
      </c>
      <c r="H57" s="57">
        <v>50082152</v>
      </c>
      <c r="I57" s="57" t="s">
        <v>1390</v>
      </c>
      <c r="J57" s="57">
        <v>1.17E-2</v>
      </c>
      <c r="L57">
        <v>50081516</v>
      </c>
      <c r="M57" t="s">
        <v>1679</v>
      </c>
      <c r="N57">
        <v>50082145</v>
      </c>
      <c r="O57" t="s">
        <v>710</v>
      </c>
      <c r="U57">
        <v>50081518</v>
      </c>
      <c r="V57" t="s">
        <v>1681</v>
      </c>
      <c r="W57">
        <v>50082145</v>
      </c>
      <c r="X57" t="s">
        <v>710</v>
      </c>
      <c r="Y57">
        <f>VLOOKUP(W57,Sheet2!A:D,3,0)</f>
        <v>50082181</v>
      </c>
      <c r="Z57" t="str">
        <f>VLOOKUP(W57,Sheet2!A:D,4,0)</f>
        <v>PPHP: COPYLENE CH120LN</v>
      </c>
    </row>
    <row r="58" spans="1:26" ht="15">
      <c r="A58" s="57">
        <v>50082040</v>
      </c>
      <c r="B58" s="57" t="s">
        <v>1420</v>
      </c>
      <c r="C58" s="57">
        <v>50082038</v>
      </c>
      <c r="D58" s="57" t="s">
        <v>679</v>
      </c>
      <c r="E58" s="57">
        <v>50082184</v>
      </c>
      <c r="F58" s="57" t="s">
        <v>517</v>
      </c>
      <c r="G58" s="57">
        <v>0.57089999999999996</v>
      </c>
      <c r="H58" s="57">
        <v>50082152</v>
      </c>
      <c r="I58" s="57" t="s">
        <v>1390</v>
      </c>
      <c r="J58" s="57">
        <v>1.17E-2</v>
      </c>
      <c r="L58">
        <v>50081516</v>
      </c>
      <c r="M58" t="s">
        <v>1679</v>
      </c>
      <c r="N58">
        <v>50082178</v>
      </c>
      <c r="O58" t="s">
        <v>719</v>
      </c>
      <c r="U58">
        <v>50081519</v>
      </c>
      <c r="V58" t="s">
        <v>1682</v>
      </c>
      <c r="W58">
        <v>50081590</v>
      </c>
      <c r="X58" t="s">
        <v>546</v>
      </c>
      <c r="Y58">
        <f>VLOOKUP(W58,Sheet2!A:D,3,0)</f>
        <v>50082203</v>
      </c>
      <c r="Z58" t="str">
        <f>VLOOKUP(W58,Sheet2!A:D,4,0)</f>
        <v>PPHP: REPOL H110MA</v>
      </c>
    </row>
    <row r="59" spans="1:26" ht="15">
      <c r="A59" s="57">
        <v>50082048</v>
      </c>
      <c r="B59" s="57" t="s">
        <v>1421</v>
      </c>
      <c r="C59" s="57">
        <v>50082047</v>
      </c>
      <c r="D59" s="57" t="s">
        <v>683</v>
      </c>
      <c r="E59" s="57">
        <v>50082184</v>
      </c>
      <c r="F59" s="57" t="s">
        <v>517</v>
      </c>
      <c r="G59" s="57">
        <v>0.56059999999999999</v>
      </c>
      <c r="H59" s="57">
        <v>50081898</v>
      </c>
      <c r="I59" s="57" t="s">
        <v>1422</v>
      </c>
      <c r="J59" s="57">
        <v>1.14E-2</v>
      </c>
      <c r="L59">
        <v>50081517</v>
      </c>
      <c r="M59" t="s">
        <v>1680</v>
      </c>
      <c r="N59">
        <v>50081997</v>
      </c>
      <c r="O59" t="s">
        <v>664</v>
      </c>
      <c r="U59">
        <v>50081519</v>
      </c>
      <c r="V59" t="s">
        <v>1682</v>
      </c>
      <c r="W59">
        <v>50081703</v>
      </c>
      <c r="X59" t="s">
        <v>580</v>
      </c>
      <c r="Y59">
        <f>VLOOKUP(W59,Sheet2!A:D,3,0)</f>
        <v>50082203</v>
      </c>
      <c r="Z59" t="str">
        <f>VLOOKUP(W59,Sheet2!A:D,4,0)</f>
        <v>PPHP: REPOL H110MA</v>
      </c>
    </row>
    <row r="60" spans="1:26" ht="15">
      <c r="A60" s="57">
        <v>50082049</v>
      </c>
      <c r="B60" s="57" t="s">
        <v>1423</v>
      </c>
      <c r="C60" s="57">
        <v>50082047</v>
      </c>
      <c r="D60" s="57" t="s">
        <v>683</v>
      </c>
      <c r="E60" s="57">
        <v>50082184</v>
      </c>
      <c r="F60" s="57" t="s">
        <v>517</v>
      </c>
      <c r="G60" s="57">
        <v>0.56059999999999999</v>
      </c>
      <c r="H60" s="57">
        <v>50081898</v>
      </c>
      <c r="I60" s="57" t="s">
        <v>1422</v>
      </c>
      <c r="J60" s="57">
        <v>1.14E-2</v>
      </c>
      <c r="L60">
        <v>50081517</v>
      </c>
      <c r="M60" t="s">
        <v>1680</v>
      </c>
      <c r="N60">
        <v>50082145</v>
      </c>
      <c r="O60" t="s">
        <v>710</v>
      </c>
      <c r="U60">
        <v>50081520</v>
      </c>
      <c r="V60" t="s">
        <v>1683</v>
      </c>
      <c r="W60">
        <v>50102095</v>
      </c>
      <c r="X60" t="s">
        <v>896</v>
      </c>
      <c r="Y60">
        <f>VLOOKUP(W60,Sheet2!A:D,3,0)</f>
        <v>50097522</v>
      </c>
      <c r="Z60" t="str">
        <f>VLOOKUP(W60,Sheet2!A:D,4,0)</f>
        <v>PPHP: REPOL H110MAS</v>
      </c>
    </row>
    <row r="61" spans="1:26" ht="15">
      <c r="A61" s="57">
        <v>50082059</v>
      </c>
      <c r="B61" s="57" t="s">
        <v>1424</v>
      </c>
      <c r="C61" s="57">
        <v>50082058</v>
      </c>
      <c r="D61" s="57" t="s">
        <v>686</v>
      </c>
      <c r="E61" s="57">
        <v>50082184</v>
      </c>
      <c r="F61" s="57" t="s">
        <v>517</v>
      </c>
      <c r="G61" s="57">
        <v>3.577</v>
      </c>
      <c r="H61" s="57">
        <v>50082194</v>
      </c>
      <c r="I61" s="57" t="s">
        <v>1365</v>
      </c>
      <c r="J61" s="57">
        <v>7.2999999999999995E-2</v>
      </c>
      <c r="L61">
        <v>50081518</v>
      </c>
      <c r="M61" t="s">
        <v>1681</v>
      </c>
      <c r="N61">
        <v>50082034</v>
      </c>
      <c r="O61" t="s">
        <v>677</v>
      </c>
      <c r="U61">
        <v>50081520</v>
      </c>
      <c r="V61" t="s">
        <v>1683</v>
      </c>
      <c r="W61">
        <v>50102096</v>
      </c>
      <c r="X61" t="s">
        <v>897</v>
      </c>
      <c r="Y61">
        <f>VLOOKUP(W61,Sheet2!A:D,3,0)</f>
        <v>50097522</v>
      </c>
      <c r="Z61" t="str">
        <f>VLOOKUP(W61,Sheet2!A:D,4,0)</f>
        <v>PPHP: REPOL H110MAS</v>
      </c>
    </row>
    <row r="62" spans="1:26" ht="15">
      <c r="A62" s="57">
        <v>50082060</v>
      </c>
      <c r="B62" s="57" t="s">
        <v>1425</v>
      </c>
      <c r="C62" s="57">
        <v>50082058</v>
      </c>
      <c r="D62" s="57" t="s">
        <v>686</v>
      </c>
      <c r="E62" s="57">
        <v>50082184</v>
      </c>
      <c r="F62" s="57" t="s">
        <v>517</v>
      </c>
      <c r="G62" s="57">
        <v>3.577</v>
      </c>
      <c r="H62" s="57">
        <v>50082194</v>
      </c>
      <c r="I62" s="57" t="s">
        <v>1365</v>
      </c>
      <c r="J62" s="57">
        <v>7.2999999999999995E-2</v>
      </c>
      <c r="L62">
        <v>50081518</v>
      </c>
      <c r="M62" t="s">
        <v>1681</v>
      </c>
      <c r="N62">
        <v>50082145</v>
      </c>
      <c r="O62" t="s">
        <v>710</v>
      </c>
      <c r="U62">
        <v>50081521</v>
      </c>
      <c r="V62" t="s">
        <v>1684</v>
      </c>
      <c r="W62">
        <v>50082145</v>
      </c>
      <c r="X62" t="s">
        <v>710</v>
      </c>
      <c r="Y62">
        <f>VLOOKUP(W62,Sheet2!A:D,3,0)</f>
        <v>50082181</v>
      </c>
      <c r="Z62" t="str">
        <f>VLOOKUP(W62,Sheet2!A:D,4,0)</f>
        <v>PPHP: COPYLENE CH120LN</v>
      </c>
    </row>
    <row r="63" spans="1:26" ht="15">
      <c r="A63" s="57">
        <v>50082062</v>
      </c>
      <c r="B63" s="57" t="s">
        <v>1426</v>
      </c>
      <c r="C63" s="57">
        <v>50082061</v>
      </c>
      <c r="D63" s="57" t="s">
        <v>687</v>
      </c>
      <c r="E63" s="57">
        <v>50082184</v>
      </c>
      <c r="F63" s="57" t="s">
        <v>517</v>
      </c>
      <c r="G63" s="57">
        <v>3.5529999999999999</v>
      </c>
      <c r="H63" s="57">
        <v>50082152</v>
      </c>
      <c r="I63" s="57" t="s">
        <v>1390</v>
      </c>
      <c r="J63" s="57">
        <v>7.2499999999999995E-2</v>
      </c>
      <c r="L63">
        <v>50081519</v>
      </c>
      <c r="M63" t="s">
        <v>1682</v>
      </c>
      <c r="N63">
        <v>50081590</v>
      </c>
      <c r="O63" t="s">
        <v>546</v>
      </c>
      <c r="U63">
        <v>50081521</v>
      </c>
      <c r="V63" t="s">
        <v>1684</v>
      </c>
      <c r="W63">
        <v>50082178</v>
      </c>
      <c r="X63" t="s">
        <v>719</v>
      </c>
      <c r="Y63">
        <f>VLOOKUP(W63,Sheet2!A:D,3,0)</f>
        <v>50082181</v>
      </c>
      <c r="Z63" t="str">
        <f>VLOOKUP(W63,Sheet2!A:D,4,0)</f>
        <v>PPHP: COPYLENE CH120LN</v>
      </c>
    </row>
    <row r="64" spans="1:26" ht="15">
      <c r="A64" s="57">
        <v>50082063</v>
      </c>
      <c r="B64" s="57" t="s">
        <v>1427</v>
      </c>
      <c r="C64" s="57">
        <v>50082061</v>
      </c>
      <c r="D64" s="57" t="s">
        <v>687</v>
      </c>
      <c r="E64" s="57">
        <v>50082184</v>
      </c>
      <c r="F64" s="57" t="s">
        <v>517</v>
      </c>
      <c r="G64" s="57">
        <v>3.5529999999999999</v>
      </c>
      <c r="H64" s="57">
        <v>50082152</v>
      </c>
      <c r="I64" s="57" t="s">
        <v>1390</v>
      </c>
      <c r="J64" s="57">
        <v>7.2499999999999995E-2</v>
      </c>
      <c r="L64">
        <v>50081519</v>
      </c>
      <c r="M64" t="s">
        <v>1682</v>
      </c>
      <c r="N64">
        <v>50081703</v>
      </c>
      <c r="O64" t="s">
        <v>580</v>
      </c>
      <c r="U64">
        <v>50081522</v>
      </c>
      <c r="V64" t="s">
        <v>1685</v>
      </c>
      <c r="W64">
        <v>50082145</v>
      </c>
      <c r="X64" t="s">
        <v>710</v>
      </c>
      <c r="Y64">
        <f>VLOOKUP(W64,Sheet2!A:D,3,0)</f>
        <v>50082181</v>
      </c>
      <c r="Z64" t="str">
        <f>VLOOKUP(W64,Sheet2!A:D,4,0)</f>
        <v>PPHP: COPYLENE CH120LN</v>
      </c>
    </row>
    <row r="65" spans="1:26" ht="15">
      <c r="A65" s="57">
        <v>50082077</v>
      </c>
      <c r="B65" s="57" t="s">
        <v>59</v>
      </c>
      <c r="C65" s="57">
        <v>50082076</v>
      </c>
      <c r="D65" s="57" t="s">
        <v>79</v>
      </c>
      <c r="E65" s="57">
        <v>50082184</v>
      </c>
      <c r="F65" s="57" t="s">
        <v>517</v>
      </c>
      <c r="G65" s="57">
        <v>0.621</v>
      </c>
      <c r="H65" s="57" t="s">
        <v>1359</v>
      </c>
      <c r="I65" s="57" t="s">
        <v>1359</v>
      </c>
      <c r="J65" s="57" t="s">
        <v>1359</v>
      </c>
      <c r="L65">
        <v>50081520</v>
      </c>
      <c r="M65" t="s">
        <v>1683</v>
      </c>
      <c r="N65">
        <v>50102095</v>
      </c>
      <c r="O65" t="s">
        <v>896</v>
      </c>
      <c r="U65">
        <v>50081522</v>
      </c>
      <c r="V65" t="s">
        <v>1685</v>
      </c>
      <c r="W65">
        <v>50082178</v>
      </c>
      <c r="X65" t="s">
        <v>719</v>
      </c>
      <c r="Y65">
        <f>VLOOKUP(W65,Sheet2!A:D,3,0)</f>
        <v>50082181</v>
      </c>
      <c r="Z65" t="str">
        <f>VLOOKUP(W65,Sheet2!A:D,4,0)</f>
        <v>PPHP: COPYLENE CH120LN</v>
      </c>
    </row>
    <row r="66" spans="1:26" ht="15">
      <c r="A66" s="57">
        <v>50082078</v>
      </c>
      <c r="B66" s="57" t="s">
        <v>118</v>
      </c>
      <c r="C66" s="57">
        <v>50082076</v>
      </c>
      <c r="D66" s="57" t="s">
        <v>79</v>
      </c>
      <c r="E66" s="57">
        <v>50082184</v>
      </c>
      <c r="F66" s="57" t="s">
        <v>517</v>
      </c>
      <c r="G66" s="57">
        <v>0.621</v>
      </c>
      <c r="H66" s="57" t="s">
        <v>1359</v>
      </c>
      <c r="I66" s="57" t="s">
        <v>1359</v>
      </c>
      <c r="J66" s="57" t="s">
        <v>1359</v>
      </c>
      <c r="L66">
        <v>50081520</v>
      </c>
      <c r="M66" t="s">
        <v>1683</v>
      </c>
      <c r="N66">
        <v>50102096</v>
      </c>
      <c r="O66" t="s">
        <v>897</v>
      </c>
      <c r="U66">
        <v>50081523</v>
      </c>
      <c r="V66" t="s">
        <v>1686</v>
      </c>
      <c r="W66">
        <v>50082145</v>
      </c>
      <c r="X66" t="s">
        <v>710</v>
      </c>
      <c r="Y66">
        <f>VLOOKUP(W66,Sheet2!A:D,3,0)</f>
        <v>50082181</v>
      </c>
      <c r="Z66" t="str">
        <f>VLOOKUP(W66,Sheet2!A:D,4,0)</f>
        <v>PPHP: COPYLENE CH120LN</v>
      </c>
    </row>
    <row r="67" spans="1:26" ht="15">
      <c r="A67" s="57">
        <v>50082096</v>
      </c>
      <c r="B67" s="57" t="s">
        <v>76</v>
      </c>
      <c r="C67" s="57">
        <v>50082095</v>
      </c>
      <c r="D67" s="57" t="s">
        <v>196</v>
      </c>
      <c r="E67" s="57">
        <v>50082184</v>
      </c>
      <c r="F67" s="57" t="s">
        <v>517</v>
      </c>
      <c r="G67" s="57">
        <v>0.5595</v>
      </c>
      <c r="H67" s="57" t="s">
        <v>1359</v>
      </c>
      <c r="I67" s="57" t="s">
        <v>1359</v>
      </c>
      <c r="J67" s="57" t="s">
        <v>1359</v>
      </c>
      <c r="L67">
        <v>50081521</v>
      </c>
      <c r="M67" t="s">
        <v>1684</v>
      </c>
      <c r="N67">
        <v>50082145</v>
      </c>
      <c r="O67" t="s">
        <v>710</v>
      </c>
      <c r="U67">
        <v>50081523</v>
      </c>
      <c r="V67" t="s">
        <v>1686</v>
      </c>
      <c r="W67">
        <v>50082178</v>
      </c>
      <c r="X67" t="s">
        <v>719</v>
      </c>
      <c r="Y67">
        <f>VLOOKUP(W67,Sheet2!A:D,3,0)</f>
        <v>50082181</v>
      </c>
      <c r="Z67" t="str">
        <f>VLOOKUP(W67,Sheet2!A:D,4,0)</f>
        <v>PPHP: COPYLENE CH120LN</v>
      </c>
    </row>
    <row r="68" spans="1:26" ht="15">
      <c r="A68" s="57">
        <v>50082097</v>
      </c>
      <c r="B68" s="57" t="s">
        <v>1428</v>
      </c>
      <c r="C68" s="57">
        <v>50082095</v>
      </c>
      <c r="D68" s="57" t="s">
        <v>196</v>
      </c>
      <c r="E68" s="57">
        <v>50082184</v>
      </c>
      <c r="F68" s="57" t="s">
        <v>517</v>
      </c>
      <c r="G68" s="57">
        <v>0.5595</v>
      </c>
      <c r="H68" s="57" t="s">
        <v>1359</v>
      </c>
      <c r="I68" s="57" t="s">
        <v>1359</v>
      </c>
      <c r="J68" s="57" t="s">
        <v>1359</v>
      </c>
      <c r="L68">
        <v>50081521</v>
      </c>
      <c r="M68" t="s">
        <v>1684</v>
      </c>
      <c r="N68">
        <v>50082178</v>
      </c>
      <c r="O68" t="s">
        <v>719</v>
      </c>
      <c r="U68">
        <v>50081524</v>
      </c>
      <c r="V68" t="s">
        <v>1687</v>
      </c>
      <c r="W68">
        <v>50082179</v>
      </c>
      <c r="X68" t="s">
        <v>720</v>
      </c>
      <c r="Y68">
        <f>VLOOKUP(W68,Sheet2!A:D,3,0)</f>
        <v>50082181</v>
      </c>
      <c r="Z68" t="str">
        <f>VLOOKUP(W68,Sheet2!A:D,4,0)</f>
        <v>PPHP: COPYLENE CH120LN</v>
      </c>
    </row>
    <row r="69" spans="1:26" ht="15">
      <c r="A69" s="57">
        <v>50082114</v>
      </c>
      <c r="B69" s="57" t="s">
        <v>1429</v>
      </c>
      <c r="C69" s="57">
        <v>50082116</v>
      </c>
      <c r="D69" s="57" t="s">
        <v>700</v>
      </c>
      <c r="E69" s="57">
        <v>50082184</v>
      </c>
      <c r="F69" s="57" t="s">
        <v>517</v>
      </c>
      <c r="G69" s="57">
        <v>2.8812000000000002</v>
      </c>
      <c r="H69" s="57">
        <v>50082194</v>
      </c>
      <c r="I69" s="57" t="s">
        <v>1365</v>
      </c>
      <c r="J69" s="57">
        <v>5.8799999999999998E-2</v>
      </c>
      <c r="L69">
        <v>50081522</v>
      </c>
      <c r="M69" t="s">
        <v>1685</v>
      </c>
      <c r="N69">
        <v>50082145</v>
      </c>
      <c r="O69" t="s">
        <v>710</v>
      </c>
      <c r="U69">
        <v>50081524</v>
      </c>
      <c r="V69" t="s">
        <v>1687</v>
      </c>
      <c r="W69">
        <v>50082180</v>
      </c>
      <c r="X69" t="s">
        <v>721</v>
      </c>
      <c r="Y69">
        <f>VLOOKUP(W69,Sheet2!A:D,3,0)</f>
        <v>50082181</v>
      </c>
      <c r="Z69" t="str">
        <f>VLOOKUP(W69,Sheet2!A:D,4,0)</f>
        <v>PPHP: COPYLENE CH120LN</v>
      </c>
    </row>
    <row r="70" spans="1:26" ht="15">
      <c r="A70" s="57">
        <v>50082115</v>
      </c>
      <c r="B70" s="57" t="s">
        <v>1430</v>
      </c>
      <c r="C70" s="57">
        <v>50082116</v>
      </c>
      <c r="D70" s="57" t="s">
        <v>700</v>
      </c>
      <c r="E70" s="57">
        <v>50082184</v>
      </c>
      <c r="F70" s="57" t="s">
        <v>517</v>
      </c>
      <c r="G70" s="57">
        <v>2.8812000000000002</v>
      </c>
      <c r="H70" s="57">
        <v>50082194</v>
      </c>
      <c r="I70" s="57" t="s">
        <v>1365</v>
      </c>
      <c r="J70" s="57">
        <v>5.8799999999999998E-2</v>
      </c>
      <c r="L70">
        <v>50081522</v>
      </c>
      <c r="M70" t="s">
        <v>1685</v>
      </c>
      <c r="N70">
        <v>50082178</v>
      </c>
      <c r="O70" t="s">
        <v>719</v>
      </c>
      <c r="U70">
        <v>50081566</v>
      </c>
      <c r="V70" t="s">
        <v>1688</v>
      </c>
      <c r="W70">
        <v>50082144</v>
      </c>
      <c r="X70" t="s">
        <v>709</v>
      </c>
      <c r="Y70">
        <f>VLOOKUP(W70,Sheet2!A:D,3,0)</f>
        <v>50082181</v>
      </c>
      <c r="Z70" t="str">
        <f>VLOOKUP(W70,Sheet2!A:D,4,0)</f>
        <v>PPHP: COPYLENE CH120LN</v>
      </c>
    </row>
    <row r="71" spans="1:26" ht="15">
      <c r="A71" s="57">
        <v>50082118</v>
      </c>
      <c r="B71" s="57" t="s">
        <v>1431</v>
      </c>
      <c r="C71" s="57">
        <v>50082117</v>
      </c>
      <c r="D71" s="57" t="s">
        <v>701</v>
      </c>
      <c r="E71" s="57">
        <v>50082184</v>
      </c>
      <c r="F71" s="57" t="s">
        <v>517</v>
      </c>
      <c r="G71" s="57">
        <v>2.7831999999999999</v>
      </c>
      <c r="H71" s="57">
        <v>50081898</v>
      </c>
      <c r="I71" s="57" t="s">
        <v>1422</v>
      </c>
      <c r="J71" s="57">
        <v>5.6800000000000003E-2</v>
      </c>
      <c r="L71">
        <v>50081523</v>
      </c>
      <c r="M71" t="s">
        <v>1686</v>
      </c>
      <c r="N71">
        <v>50082145</v>
      </c>
      <c r="O71" t="s">
        <v>710</v>
      </c>
      <c r="U71">
        <v>50081566</v>
      </c>
      <c r="V71" t="s">
        <v>1688</v>
      </c>
      <c r="W71">
        <v>50082177</v>
      </c>
      <c r="X71" t="s">
        <v>718</v>
      </c>
      <c r="Y71">
        <f>VLOOKUP(W71,Sheet2!A:D,3,0)</f>
        <v>50082181</v>
      </c>
      <c r="Z71" t="str">
        <f>VLOOKUP(W71,Sheet2!A:D,4,0)</f>
        <v>PPHP: COPYLENE CH120LN</v>
      </c>
    </row>
    <row r="72" spans="1:26" ht="15">
      <c r="A72" s="57">
        <v>50082119</v>
      </c>
      <c r="B72" s="57" t="s">
        <v>1432</v>
      </c>
      <c r="C72" s="57">
        <v>50082117</v>
      </c>
      <c r="D72" s="57" t="s">
        <v>701</v>
      </c>
      <c r="E72" s="57">
        <v>50082184</v>
      </c>
      <c r="F72" s="57" t="s">
        <v>517</v>
      </c>
      <c r="G72" s="57">
        <v>2.7831999999999999</v>
      </c>
      <c r="H72" s="57">
        <v>50081898</v>
      </c>
      <c r="I72" s="57" t="s">
        <v>1422</v>
      </c>
      <c r="J72" s="57">
        <v>5.6800000000000003E-2</v>
      </c>
      <c r="L72">
        <v>50081523</v>
      </c>
      <c r="M72" t="s">
        <v>1686</v>
      </c>
      <c r="N72">
        <v>50082178</v>
      </c>
      <c r="O72" t="s">
        <v>719</v>
      </c>
      <c r="U72">
        <v>50081567</v>
      </c>
      <c r="V72" t="s">
        <v>1689</v>
      </c>
      <c r="W72">
        <v>50081651</v>
      </c>
      <c r="X72" t="s">
        <v>565</v>
      </c>
      <c r="Y72">
        <f>VLOOKUP(W72,Sheet2!A:D,3,0)</f>
        <v>50082181</v>
      </c>
      <c r="Z72" t="str">
        <f>VLOOKUP(W72,Sheet2!A:D,4,0)</f>
        <v>PPHP: COPYLENE CH120LN</v>
      </c>
    </row>
    <row r="73" spans="1:26" ht="15">
      <c r="A73" s="57">
        <v>50082121</v>
      </c>
      <c r="B73" s="57" t="s">
        <v>1433</v>
      </c>
      <c r="C73" s="57">
        <v>50082120</v>
      </c>
      <c r="D73" s="57" t="s">
        <v>702</v>
      </c>
      <c r="E73" s="57">
        <v>50082184</v>
      </c>
      <c r="F73" s="57" t="s">
        <v>517</v>
      </c>
      <c r="G73" s="57">
        <v>8</v>
      </c>
      <c r="H73" s="57" t="s">
        <v>1359</v>
      </c>
      <c r="I73" s="57" t="s">
        <v>1359</v>
      </c>
      <c r="J73" s="57" t="s">
        <v>1359</v>
      </c>
      <c r="L73">
        <v>50081524</v>
      </c>
      <c r="M73" t="s">
        <v>1687</v>
      </c>
      <c r="N73">
        <v>50082179</v>
      </c>
      <c r="O73" t="s">
        <v>720</v>
      </c>
      <c r="U73">
        <v>50081567</v>
      </c>
      <c r="V73" t="s">
        <v>1689</v>
      </c>
      <c r="W73">
        <v>50082145</v>
      </c>
      <c r="X73" t="s">
        <v>710</v>
      </c>
      <c r="Y73">
        <f>VLOOKUP(W73,Sheet2!A:D,3,0)</f>
        <v>50082181</v>
      </c>
      <c r="Z73" t="str">
        <f>VLOOKUP(W73,Sheet2!A:D,4,0)</f>
        <v>PPHP: COPYLENE CH120LN</v>
      </c>
    </row>
    <row r="74" spans="1:26" ht="15">
      <c r="A74" s="57">
        <v>50082126</v>
      </c>
      <c r="B74" s="57" t="s">
        <v>1434</v>
      </c>
      <c r="C74" s="57">
        <v>50082125</v>
      </c>
      <c r="D74" s="57" t="s">
        <v>704</v>
      </c>
      <c r="E74" s="57">
        <v>50082184</v>
      </c>
      <c r="F74" s="57" t="s">
        <v>517</v>
      </c>
      <c r="G74" s="57">
        <v>4.3704999999999998</v>
      </c>
      <c r="H74" s="57" t="s">
        <v>1359</v>
      </c>
      <c r="I74" s="57" t="s">
        <v>1359</v>
      </c>
      <c r="J74" s="57" t="s">
        <v>1359</v>
      </c>
      <c r="L74">
        <v>50081524</v>
      </c>
      <c r="M74" t="s">
        <v>1687</v>
      </c>
      <c r="N74">
        <v>50082180</v>
      </c>
      <c r="O74" t="s">
        <v>721</v>
      </c>
      <c r="U74">
        <v>50081568</v>
      </c>
      <c r="V74" t="s">
        <v>1690</v>
      </c>
      <c r="W74">
        <v>50082179</v>
      </c>
      <c r="X74" t="s">
        <v>720</v>
      </c>
      <c r="Y74">
        <f>VLOOKUP(W74,Sheet2!A:D,3,0)</f>
        <v>50082181</v>
      </c>
      <c r="Z74" t="str">
        <f>VLOOKUP(W74,Sheet2!A:D,4,0)</f>
        <v>PPHP: COPYLENE CH120LN</v>
      </c>
    </row>
    <row r="75" spans="1:26" ht="15">
      <c r="A75" s="57">
        <v>50082127</v>
      </c>
      <c r="B75" s="57" t="s">
        <v>1435</v>
      </c>
      <c r="C75" s="57">
        <v>50082125</v>
      </c>
      <c r="D75" s="57" t="s">
        <v>704</v>
      </c>
      <c r="E75" s="57">
        <v>50082184</v>
      </c>
      <c r="F75" s="57" t="s">
        <v>517</v>
      </c>
      <c r="G75" s="57">
        <v>4.3704999999999998</v>
      </c>
      <c r="H75" s="57" t="s">
        <v>1359</v>
      </c>
      <c r="I75" s="57" t="s">
        <v>1359</v>
      </c>
      <c r="J75" s="57" t="s">
        <v>1359</v>
      </c>
      <c r="L75">
        <v>50081566</v>
      </c>
      <c r="M75" t="s">
        <v>1688</v>
      </c>
      <c r="N75">
        <v>50082144</v>
      </c>
      <c r="O75" t="s">
        <v>709</v>
      </c>
      <c r="U75">
        <v>50081568</v>
      </c>
      <c r="V75" t="s">
        <v>1690</v>
      </c>
      <c r="W75">
        <v>50082180</v>
      </c>
      <c r="X75" t="s">
        <v>721</v>
      </c>
      <c r="Y75">
        <f>VLOOKUP(W75,Sheet2!A:D,3,0)</f>
        <v>50082181</v>
      </c>
      <c r="Z75" t="str">
        <f>VLOOKUP(W75,Sheet2!A:D,4,0)</f>
        <v>PPHP: COPYLENE CH120LN</v>
      </c>
    </row>
    <row r="76" spans="1:26" ht="15">
      <c r="A76" s="57">
        <v>50082129</v>
      </c>
      <c r="B76" s="57" t="s">
        <v>1436</v>
      </c>
      <c r="C76" s="57">
        <v>50082128</v>
      </c>
      <c r="D76" s="57" t="s">
        <v>705</v>
      </c>
      <c r="E76" s="57">
        <v>50082184</v>
      </c>
      <c r="F76" s="57" t="s">
        <v>517</v>
      </c>
      <c r="G76" s="57">
        <v>3.552</v>
      </c>
      <c r="H76" s="57" t="s">
        <v>1359</v>
      </c>
      <c r="I76" s="57" t="s">
        <v>1359</v>
      </c>
      <c r="J76" s="57" t="s">
        <v>1359</v>
      </c>
      <c r="L76">
        <v>50081566</v>
      </c>
      <c r="M76" t="s">
        <v>1688</v>
      </c>
      <c r="N76">
        <v>50082177</v>
      </c>
      <c r="O76" t="s">
        <v>718</v>
      </c>
      <c r="U76">
        <v>50081569</v>
      </c>
      <c r="V76" t="s">
        <v>1691</v>
      </c>
      <c r="W76">
        <v>50082179</v>
      </c>
      <c r="X76" t="s">
        <v>720</v>
      </c>
      <c r="Y76">
        <f>VLOOKUP(W76,Sheet2!A:D,3,0)</f>
        <v>50082181</v>
      </c>
      <c r="Z76" t="str">
        <f>VLOOKUP(W76,Sheet2!A:D,4,0)</f>
        <v>PPHP: COPYLENE CH120LN</v>
      </c>
    </row>
    <row r="77" spans="1:26" ht="15">
      <c r="A77" s="57">
        <v>50082130</v>
      </c>
      <c r="B77" s="57" t="s">
        <v>1437</v>
      </c>
      <c r="C77" s="57">
        <v>50082128</v>
      </c>
      <c r="D77" s="57" t="s">
        <v>705</v>
      </c>
      <c r="E77" s="57">
        <v>50082184</v>
      </c>
      <c r="F77" s="57" t="s">
        <v>517</v>
      </c>
      <c r="G77" s="57">
        <v>3.552</v>
      </c>
      <c r="H77" s="57" t="s">
        <v>1359</v>
      </c>
      <c r="I77" s="57" t="s">
        <v>1359</v>
      </c>
      <c r="J77" s="57" t="s">
        <v>1359</v>
      </c>
      <c r="L77">
        <v>50081567</v>
      </c>
      <c r="M77" t="s">
        <v>1689</v>
      </c>
      <c r="N77">
        <v>50081651</v>
      </c>
      <c r="O77" t="s">
        <v>565</v>
      </c>
      <c r="U77">
        <v>50081569</v>
      </c>
      <c r="V77" t="s">
        <v>1691</v>
      </c>
      <c r="W77">
        <v>50082180</v>
      </c>
      <c r="X77" t="s">
        <v>721</v>
      </c>
      <c r="Y77">
        <f>VLOOKUP(W77,Sheet2!A:D,3,0)</f>
        <v>50082181</v>
      </c>
      <c r="Z77" t="str">
        <f>VLOOKUP(W77,Sheet2!A:D,4,0)</f>
        <v>PPHP: COPYLENE CH120LN</v>
      </c>
    </row>
    <row r="78" spans="1:26" ht="15">
      <c r="A78" s="57">
        <v>50082133</v>
      </c>
      <c r="B78" s="57" t="s">
        <v>299</v>
      </c>
      <c r="C78" s="57">
        <v>50082132</v>
      </c>
      <c r="D78" s="57" t="s">
        <v>706</v>
      </c>
      <c r="E78" s="57">
        <v>50082184</v>
      </c>
      <c r="F78" s="57" t="s">
        <v>517</v>
      </c>
      <c r="G78" s="57">
        <v>0.56059999999999999</v>
      </c>
      <c r="H78" s="57">
        <v>50082194</v>
      </c>
      <c r="I78" s="57" t="s">
        <v>1365</v>
      </c>
      <c r="J78" s="57">
        <v>1.14E-2</v>
      </c>
      <c r="L78">
        <v>50081567</v>
      </c>
      <c r="M78" t="s">
        <v>1689</v>
      </c>
      <c r="N78">
        <v>50082145</v>
      </c>
      <c r="O78" t="s">
        <v>710</v>
      </c>
      <c r="U78">
        <v>50081570</v>
      </c>
      <c r="V78" t="s">
        <v>1692</v>
      </c>
      <c r="W78">
        <v>50102096</v>
      </c>
      <c r="X78" t="s">
        <v>897</v>
      </c>
      <c r="Y78">
        <f>VLOOKUP(W78,Sheet2!A:D,3,0)</f>
        <v>50097522</v>
      </c>
      <c r="Z78" t="str">
        <f>VLOOKUP(W78,Sheet2!A:D,4,0)</f>
        <v>PPHP: REPOL H110MAS</v>
      </c>
    </row>
    <row r="79" spans="1:26" ht="15">
      <c r="A79" s="57">
        <v>50082134</v>
      </c>
      <c r="B79" s="57" t="s">
        <v>1438</v>
      </c>
      <c r="C79" s="57">
        <v>50082132</v>
      </c>
      <c r="D79" s="57" t="s">
        <v>706</v>
      </c>
      <c r="E79" s="57">
        <v>50082184</v>
      </c>
      <c r="F79" s="57" t="s">
        <v>517</v>
      </c>
      <c r="G79" s="57">
        <v>0.56059999999999999</v>
      </c>
      <c r="H79" s="57">
        <v>50082194</v>
      </c>
      <c r="I79" s="57" t="s">
        <v>1365</v>
      </c>
      <c r="J79" s="57">
        <v>1.14E-2</v>
      </c>
      <c r="L79">
        <v>50081568</v>
      </c>
      <c r="M79" t="s">
        <v>1690</v>
      </c>
      <c r="N79">
        <v>50082179</v>
      </c>
      <c r="O79" t="s">
        <v>720</v>
      </c>
      <c r="U79">
        <v>50081570</v>
      </c>
      <c r="V79" t="s">
        <v>1692</v>
      </c>
      <c r="W79">
        <v>50109444</v>
      </c>
      <c r="X79" t="s">
        <v>1047</v>
      </c>
      <c r="Y79">
        <f>VLOOKUP(W79,Sheet2!A:D,3,0)</f>
        <v>50097522</v>
      </c>
      <c r="Z79" t="str">
        <f>VLOOKUP(W79,Sheet2!A:D,4,0)</f>
        <v>PPHP: REPOL H110MAS</v>
      </c>
    </row>
    <row r="80" spans="1:26" ht="15">
      <c r="A80" s="57">
        <v>50082142</v>
      </c>
      <c r="B80" s="57" t="s">
        <v>127</v>
      </c>
      <c r="C80" s="57">
        <v>50082141</v>
      </c>
      <c r="D80" s="57" t="s">
        <v>708</v>
      </c>
      <c r="E80" s="57">
        <v>50082184</v>
      </c>
      <c r="F80" s="57" t="s">
        <v>517</v>
      </c>
      <c r="G80" s="57">
        <v>2.8239999999999998</v>
      </c>
      <c r="H80" s="57" t="s">
        <v>1359</v>
      </c>
      <c r="I80" s="57" t="s">
        <v>1359</v>
      </c>
      <c r="J80" s="57" t="s">
        <v>1359</v>
      </c>
      <c r="L80">
        <v>50081568</v>
      </c>
      <c r="M80" t="s">
        <v>1690</v>
      </c>
      <c r="N80">
        <v>50082180</v>
      </c>
      <c r="O80" t="s">
        <v>721</v>
      </c>
      <c r="U80">
        <v>50081617</v>
      </c>
      <c r="V80" t="s">
        <v>1693</v>
      </c>
      <c r="W80">
        <v>50082179</v>
      </c>
      <c r="X80" t="s">
        <v>720</v>
      </c>
      <c r="Y80">
        <f>VLOOKUP(W80,Sheet2!A:D,3,0)</f>
        <v>50082181</v>
      </c>
      <c r="Z80" t="str">
        <f>VLOOKUP(W80,Sheet2!A:D,4,0)</f>
        <v>PPHP: COPYLENE CH120LN</v>
      </c>
    </row>
    <row r="81" spans="1:26" ht="15">
      <c r="A81" s="57">
        <v>50082143</v>
      </c>
      <c r="B81" s="57" t="s">
        <v>1439</v>
      </c>
      <c r="C81" s="57">
        <v>50082141</v>
      </c>
      <c r="D81" s="57" t="s">
        <v>708</v>
      </c>
      <c r="E81" s="57">
        <v>50082184</v>
      </c>
      <c r="F81" s="57" t="s">
        <v>517</v>
      </c>
      <c r="G81" s="57">
        <v>2.8239999999999998</v>
      </c>
      <c r="H81" s="57" t="s">
        <v>1359</v>
      </c>
      <c r="I81" s="57" t="s">
        <v>1359</v>
      </c>
      <c r="J81" s="57" t="s">
        <v>1359</v>
      </c>
      <c r="L81">
        <v>50081569</v>
      </c>
      <c r="M81" t="s">
        <v>1691</v>
      </c>
      <c r="N81">
        <v>50082179</v>
      </c>
      <c r="O81" t="s">
        <v>720</v>
      </c>
      <c r="U81">
        <v>50081617</v>
      </c>
      <c r="V81" t="s">
        <v>1693</v>
      </c>
      <c r="W81">
        <v>50082180</v>
      </c>
      <c r="X81" t="s">
        <v>721</v>
      </c>
      <c r="Y81">
        <f>VLOOKUP(W81,Sheet2!A:D,3,0)</f>
        <v>50082181</v>
      </c>
      <c r="Z81" t="str">
        <f>VLOOKUP(W81,Sheet2!A:D,4,0)</f>
        <v>PPHP: COPYLENE CH120LN</v>
      </c>
    </row>
    <row r="82" spans="1:26" ht="15">
      <c r="A82" s="57">
        <v>50082148</v>
      </c>
      <c r="B82" s="57" t="s">
        <v>1440</v>
      </c>
      <c r="C82" s="57">
        <v>50082147</v>
      </c>
      <c r="D82" s="57" t="s">
        <v>711</v>
      </c>
      <c r="E82" s="57">
        <v>50082184</v>
      </c>
      <c r="F82" s="57" t="s">
        <v>517</v>
      </c>
      <c r="G82" s="57">
        <v>0.57089999999999996</v>
      </c>
      <c r="H82" s="57">
        <v>50082194</v>
      </c>
      <c r="I82" s="57" t="s">
        <v>1365</v>
      </c>
      <c r="J82" s="57">
        <v>1.17E-2</v>
      </c>
      <c r="L82">
        <v>50081569</v>
      </c>
      <c r="M82" t="s">
        <v>1691</v>
      </c>
      <c r="N82">
        <v>50082180</v>
      </c>
      <c r="O82" t="s">
        <v>721</v>
      </c>
      <c r="U82">
        <v>50081618</v>
      </c>
      <c r="V82" t="s">
        <v>1694</v>
      </c>
      <c r="W82">
        <v>50082144</v>
      </c>
      <c r="X82" t="s">
        <v>709</v>
      </c>
      <c r="Y82">
        <f>VLOOKUP(W82,Sheet2!A:D,3,0)</f>
        <v>50082181</v>
      </c>
      <c r="Z82" t="str">
        <f>VLOOKUP(W82,Sheet2!A:D,4,0)</f>
        <v>PPHP: COPYLENE CH120LN</v>
      </c>
    </row>
    <row r="83" spans="1:26" ht="15">
      <c r="A83" s="57">
        <v>50082149</v>
      </c>
      <c r="B83" s="57" t="s">
        <v>1441</v>
      </c>
      <c r="C83" s="57">
        <v>50082147</v>
      </c>
      <c r="D83" s="57" t="s">
        <v>711</v>
      </c>
      <c r="E83" s="57">
        <v>50082184</v>
      </c>
      <c r="F83" s="57" t="s">
        <v>517</v>
      </c>
      <c r="G83" s="57">
        <v>0.57089999999999996</v>
      </c>
      <c r="H83" s="57">
        <v>50082194</v>
      </c>
      <c r="I83" s="57" t="s">
        <v>1365</v>
      </c>
      <c r="J83" s="57">
        <v>1.17E-2</v>
      </c>
      <c r="L83">
        <v>50081570</v>
      </c>
      <c r="M83" t="s">
        <v>1692</v>
      </c>
      <c r="N83">
        <v>50102096</v>
      </c>
      <c r="O83" t="s">
        <v>897</v>
      </c>
      <c r="U83">
        <v>50081618</v>
      </c>
      <c r="V83" t="s">
        <v>1694</v>
      </c>
      <c r="W83">
        <v>50082177</v>
      </c>
      <c r="X83" t="s">
        <v>718</v>
      </c>
      <c r="Y83">
        <f>VLOOKUP(W83,Sheet2!A:D,3,0)</f>
        <v>50082181</v>
      </c>
      <c r="Z83" t="str">
        <f>VLOOKUP(W83,Sheet2!A:D,4,0)</f>
        <v>PPHP: COPYLENE CH120LN</v>
      </c>
    </row>
    <row r="84" spans="1:26" ht="15">
      <c r="A84" s="57">
        <v>50082163</v>
      </c>
      <c r="B84" s="57" t="s">
        <v>1442</v>
      </c>
      <c r="C84" s="57">
        <v>50082162</v>
      </c>
      <c r="D84" s="57" t="s">
        <v>321</v>
      </c>
      <c r="E84" s="57">
        <v>50082184</v>
      </c>
      <c r="F84" s="57" t="s">
        <v>517</v>
      </c>
      <c r="G84" s="57">
        <v>7.6729000000000003</v>
      </c>
      <c r="H84" s="57">
        <v>50082194</v>
      </c>
      <c r="I84" s="57" t="s">
        <v>1365</v>
      </c>
      <c r="J84" s="57">
        <v>0.15659999999999999</v>
      </c>
      <c r="L84">
        <v>50081570</v>
      </c>
      <c r="M84" t="s">
        <v>1692</v>
      </c>
      <c r="N84">
        <v>50109444</v>
      </c>
      <c r="O84" t="s">
        <v>1047</v>
      </c>
      <c r="U84">
        <v>50081686</v>
      </c>
      <c r="V84" t="s">
        <v>1695</v>
      </c>
      <c r="W84">
        <v>50082179</v>
      </c>
      <c r="X84" t="s">
        <v>720</v>
      </c>
      <c r="Y84">
        <f>VLOOKUP(W84,Sheet2!A:D,3,0)</f>
        <v>50082181</v>
      </c>
      <c r="Z84" t="str">
        <f>VLOOKUP(W84,Sheet2!A:D,4,0)</f>
        <v>PPHP: COPYLENE CH120LN</v>
      </c>
    </row>
    <row r="85" spans="1:26" ht="15">
      <c r="A85" s="57">
        <v>50082164</v>
      </c>
      <c r="B85" s="57" t="s">
        <v>1443</v>
      </c>
      <c r="C85" s="57">
        <v>50082162</v>
      </c>
      <c r="D85" s="57" t="s">
        <v>321</v>
      </c>
      <c r="E85" s="57">
        <v>50082184</v>
      </c>
      <c r="F85" s="57" t="s">
        <v>517</v>
      </c>
      <c r="G85" s="57">
        <v>7.6729000000000003</v>
      </c>
      <c r="H85" s="57">
        <v>50082194</v>
      </c>
      <c r="I85" s="57" t="s">
        <v>1365</v>
      </c>
      <c r="J85" s="57">
        <v>0.15659999999999999</v>
      </c>
      <c r="L85">
        <v>50081617</v>
      </c>
      <c r="M85" t="s">
        <v>1693</v>
      </c>
      <c r="N85">
        <v>50082179</v>
      </c>
      <c r="O85" t="s">
        <v>720</v>
      </c>
      <c r="U85">
        <v>50081686</v>
      </c>
      <c r="V85" t="s">
        <v>1695</v>
      </c>
      <c r="W85">
        <v>50082180</v>
      </c>
      <c r="X85" t="s">
        <v>721</v>
      </c>
      <c r="Y85">
        <f>VLOOKUP(W85,Sheet2!A:D,3,0)</f>
        <v>50082181</v>
      </c>
      <c r="Z85" t="str">
        <f>VLOOKUP(W85,Sheet2!A:D,4,0)</f>
        <v>PPHP: COPYLENE CH120LN</v>
      </c>
    </row>
    <row r="86" spans="1:26" ht="15">
      <c r="A86" s="57">
        <v>50082166</v>
      </c>
      <c r="B86" s="57" t="s">
        <v>216</v>
      </c>
      <c r="C86" s="57">
        <v>50082165</v>
      </c>
      <c r="D86" s="57" t="s">
        <v>714</v>
      </c>
      <c r="E86" s="57">
        <v>50082184</v>
      </c>
      <c r="F86" s="57" t="s">
        <v>517</v>
      </c>
      <c r="G86" s="57">
        <v>4.3864999999999998</v>
      </c>
      <c r="H86" s="57">
        <v>50082194</v>
      </c>
      <c r="I86" s="57" t="s">
        <v>1365</v>
      </c>
      <c r="J86" s="57">
        <v>8.9499999999999996E-2</v>
      </c>
      <c r="L86">
        <v>50081617</v>
      </c>
      <c r="M86" t="s">
        <v>1693</v>
      </c>
      <c r="N86">
        <v>50082180</v>
      </c>
      <c r="O86" t="s">
        <v>721</v>
      </c>
      <c r="U86">
        <v>50081687</v>
      </c>
      <c r="V86" t="s">
        <v>1696</v>
      </c>
      <c r="W86">
        <v>50082179</v>
      </c>
      <c r="X86" t="s">
        <v>720</v>
      </c>
      <c r="Y86">
        <f>VLOOKUP(W86,Sheet2!A:D,3,0)</f>
        <v>50082181</v>
      </c>
      <c r="Z86" t="str">
        <f>VLOOKUP(W86,Sheet2!A:D,4,0)</f>
        <v>PPHP: COPYLENE CH120LN</v>
      </c>
    </row>
    <row r="87" spans="1:26" ht="15">
      <c r="A87" s="57">
        <v>50082167</v>
      </c>
      <c r="B87" s="57" t="s">
        <v>116</v>
      </c>
      <c r="C87" s="57">
        <v>50082165</v>
      </c>
      <c r="D87" s="57" t="s">
        <v>714</v>
      </c>
      <c r="E87" s="57">
        <v>50082184</v>
      </c>
      <c r="F87" s="57" t="s">
        <v>517</v>
      </c>
      <c r="G87" s="57">
        <v>4.3864999999999998</v>
      </c>
      <c r="H87" s="57">
        <v>50082194</v>
      </c>
      <c r="I87" s="57" t="s">
        <v>1365</v>
      </c>
      <c r="J87" s="57">
        <v>8.9499999999999996E-2</v>
      </c>
      <c r="L87">
        <v>50081618</v>
      </c>
      <c r="M87" t="s">
        <v>1694</v>
      </c>
      <c r="N87">
        <v>50082144</v>
      </c>
      <c r="O87" t="s">
        <v>709</v>
      </c>
      <c r="U87">
        <v>50081687</v>
      </c>
      <c r="V87" t="s">
        <v>1696</v>
      </c>
      <c r="W87">
        <v>50082180</v>
      </c>
      <c r="X87" t="s">
        <v>721</v>
      </c>
      <c r="Y87">
        <f>VLOOKUP(W87,Sheet2!A:D,3,0)</f>
        <v>50082181</v>
      </c>
      <c r="Z87" t="str">
        <f>VLOOKUP(W87,Sheet2!A:D,4,0)</f>
        <v>PPHP: COPYLENE CH120LN</v>
      </c>
    </row>
    <row r="88" spans="1:26" ht="15">
      <c r="A88" s="57">
        <v>50082169</v>
      </c>
      <c r="B88" s="57" t="s">
        <v>1444</v>
      </c>
      <c r="C88" s="57">
        <v>50082168</v>
      </c>
      <c r="D88" s="57" t="s">
        <v>715</v>
      </c>
      <c r="E88" s="57">
        <v>50082184</v>
      </c>
      <c r="F88" s="57" t="s">
        <v>517</v>
      </c>
      <c r="G88" s="57">
        <v>3.5491000000000001</v>
      </c>
      <c r="H88" s="57">
        <v>50082194</v>
      </c>
      <c r="I88" s="57" t="s">
        <v>1365</v>
      </c>
      <c r="J88" s="57">
        <v>7.2400000000000006E-2</v>
      </c>
      <c r="L88">
        <v>50081618</v>
      </c>
      <c r="M88" t="s">
        <v>1694</v>
      </c>
      <c r="N88">
        <v>50082177</v>
      </c>
      <c r="O88" t="s">
        <v>718</v>
      </c>
      <c r="U88">
        <v>50081688</v>
      </c>
      <c r="V88" t="s">
        <v>1697</v>
      </c>
      <c r="W88">
        <v>50082145</v>
      </c>
      <c r="X88" t="s">
        <v>710</v>
      </c>
      <c r="Y88">
        <f>VLOOKUP(W88,Sheet2!A:D,3,0)</f>
        <v>50082181</v>
      </c>
      <c r="Z88" t="str">
        <f>VLOOKUP(W88,Sheet2!A:D,4,0)</f>
        <v>PPHP: COPYLENE CH120LN</v>
      </c>
    </row>
    <row r="89" spans="1:26" ht="15">
      <c r="A89" s="57">
        <v>50082170</v>
      </c>
      <c r="B89" s="57" t="s">
        <v>1445</v>
      </c>
      <c r="C89" s="57">
        <v>50082168</v>
      </c>
      <c r="D89" s="57" t="s">
        <v>715</v>
      </c>
      <c r="E89" s="57">
        <v>50082184</v>
      </c>
      <c r="F89" s="57" t="s">
        <v>517</v>
      </c>
      <c r="G89" s="57">
        <v>3.5491000000000001</v>
      </c>
      <c r="H89" s="57">
        <v>50082194</v>
      </c>
      <c r="I89" s="57" t="s">
        <v>1365</v>
      </c>
      <c r="J89" s="57">
        <v>7.2400000000000006E-2</v>
      </c>
      <c r="L89">
        <v>50081686</v>
      </c>
      <c r="M89" t="s">
        <v>1695</v>
      </c>
      <c r="N89">
        <v>50082179</v>
      </c>
      <c r="O89" t="s">
        <v>720</v>
      </c>
      <c r="U89">
        <v>50081688</v>
      </c>
      <c r="V89" t="s">
        <v>1697</v>
      </c>
      <c r="W89">
        <v>50082178</v>
      </c>
      <c r="X89" t="s">
        <v>719</v>
      </c>
      <c r="Y89">
        <f>VLOOKUP(W89,Sheet2!A:D,3,0)</f>
        <v>50082181</v>
      </c>
      <c r="Z89" t="str">
        <f>VLOOKUP(W89,Sheet2!A:D,4,0)</f>
        <v>PPHP: COPYLENE CH120LN</v>
      </c>
    </row>
    <row r="90" spans="1:26" ht="15">
      <c r="A90" s="57">
        <v>50082175</v>
      </c>
      <c r="B90" s="57" t="s">
        <v>298</v>
      </c>
      <c r="C90" s="57">
        <v>50082174</v>
      </c>
      <c r="D90" s="57" t="s">
        <v>717</v>
      </c>
      <c r="E90" s="57">
        <v>50082184</v>
      </c>
      <c r="F90" s="57" t="s">
        <v>517</v>
      </c>
      <c r="G90" s="57">
        <v>2.8420000000000001</v>
      </c>
      <c r="H90" s="57">
        <v>50082194</v>
      </c>
      <c r="I90" s="57" t="s">
        <v>1365</v>
      </c>
      <c r="J90" s="57">
        <v>5.8000000000000003E-2</v>
      </c>
      <c r="L90">
        <v>50081686</v>
      </c>
      <c r="M90" t="s">
        <v>1695</v>
      </c>
      <c r="N90">
        <v>50082180</v>
      </c>
      <c r="O90" t="s">
        <v>721</v>
      </c>
      <c r="U90">
        <v>50081725</v>
      </c>
      <c r="V90" t="s">
        <v>1698</v>
      </c>
      <c r="W90">
        <v>50082179</v>
      </c>
      <c r="X90" t="s">
        <v>720</v>
      </c>
      <c r="Y90">
        <f>VLOOKUP(W90,Sheet2!A:D,3,0)</f>
        <v>50082181</v>
      </c>
      <c r="Z90" t="str">
        <f>VLOOKUP(W90,Sheet2!A:D,4,0)</f>
        <v>PPHP: COPYLENE CH120LN</v>
      </c>
    </row>
    <row r="91" spans="1:26" ht="15">
      <c r="A91" s="57">
        <v>50082176</v>
      </c>
      <c r="B91" s="57" t="s">
        <v>1446</v>
      </c>
      <c r="C91" s="57">
        <v>50082174</v>
      </c>
      <c r="D91" s="57" t="s">
        <v>717</v>
      </c>
      <c r="E91" s="57">
        <v>50082184</v>
      </c>
      <c r="F91" s="57" t="s">
        <v>517</v>
      </c>
      <c r="G91" s="57">
        <v>2.8420000000000001</v>
      </c>
      <c r="H91" s="57">
        <v>50082194</v>
      </c>
      <c r="I91" s="57" t="s">
        <v>1365</v>
      </c>
      <c r="J91" s="57">
        <v>5.8000000000000003E-2</v>
      </c>
      <c r="L91">
        <v>50081687</v>
      </c>
      <c r="M91" t="s">
        <v>1696</v>
      </c>
      <c r="N91">
        <v>50082179</v>
      </c>
      <c r="O91" t="s">
        <v>720</v>
      </c>
      <c r="U91">
        <v>50081725</v>
      </c>
      <c r="V91" t="s">
        <v>1698</v>
      </c>
      <c r="W91">
        <v>50082180</v>
      </c>
      <c r="X91" t="s">
        <v>721</v>
      </c>
      <c r="Y91">
        <f>VLOOKUP(W91,Sheet2!A:D,3,0)</f>
        <v>50082181</v>
      </c>
      <c r="Z91" t="str">
        <f>VLOOKUP(W91,Sheet2!A:D,4,0)</f>
        <v>PPHP: COPYLENE CH120LN</v>
      </c>
    </row>
    <row r="92" spans="1:26" ht="15">
      <c r="A92" s="57">
        <v>50082230</v>
      </c>
      <c r="B92" s="57" t="s">
        <v>1447</v>
      </c>
      <c r="C92" s="57">
        <v>50081865</v>
      </c>
      <c r="D92" s="57" t="s">
        <v>622</v>
      </c>
      <c r="E92" s="57">
        <v>50082184</v>
      </c>
      <c r="F92" s="57" t="s">
        <v>517</v>
      </c>
      <c r="G92" s="57">
        <v>2.8420000000000001</v>
      </c>
      <c r="H92" s="57">
        <v>50082194</v>
      </c>
      <c r="I92" s="57" t="s">
        <v>1365</v>
      </c>
      <c r="J92" s="57">
        <v>5.8000000000000003E-2</v>
      </c>
      <c r="L92">
        <v>50081687</v>
      </c>
      <c r="M92" t="s">
        <v>1696</v>
      </c>
      <c r="N92">
        <v>50082180</v>
      </c>
      <c r="O92" t="s">
        <v>721</v>
      </c>
      <c r="U92">
        <v>50081773</v>
      </c>
      <c r="V92" t="s">
        <v>1699</v>
      </c>
      <c r="W92">
        <v>50082144</v>
      </c>
      <c r="X92" t="s">
        <v>709</v>
      </c>
      <c r="Y92">
        <f>VLOOKUP(W92,Sheet2!A:D,3,0)</f>
        <v>50082181</v>
      </c>
      <c r="Z92" t="str">
        <f>VLOOKUP(W92,Sheet2!A:D,4,0)</f>
        <v>PPHP: COPYLENE CH120LN</v>
      </c>
    </row>
    <row r="93" spans="1:26" ht="15">
      <c r="A93" s="57">
        <v>50082250</v>
      </c>
      <c r="B93" s="57" t="s">
        <v>1448</v>
      </c>
      <c r="C93" s="57">
        <v>50082249</v>
      </c>
      <c r="D93" s="57" t="s">
        <v>1449</v>
      </c>
      <c r="E93" s="57">
        <v>50082198</v>
      </c>
      <c r="F93" s="57" t="s">
        <v>1358</v>
      </c>
      <c r="G93" s="57">
        <v>2.8420000000000001</v>
      </c>
      <c r="H93" s="57">
        <v>50082194</v>
      </c>
      <c r="I93" s="57" t="s">
        <v>1365</v>
      </c>
      <c r="J93" s="57">
        <v>5.8000000000000003E-2</v>
      </c>
      <c r="L93">
        <v>50081688</v>
      </c>
      <c r="M93" t="s">
        <v>1697</v>
      </c>
      <c r="N93">
        <v>50082145</v>
      </c>
      <c r="O93" t="s">
        <v>710</v>
      </c>
      <c r="U93">
        <v>50081773</v>
      </c>
      <c r="V93" t="s">
        <v>1699</v>
      </c>
      <c r="W93">
        <v>50082177</v>
      </c>
      <c r="X93" t="s">
        <v>718</v>
      </c>
      <c r="Y93">
        <f>VLOOKUP(W93,Sheet2!A:D,3,0)</f>
        <v>50082181</v>
      </c>
      <c r="Z93" t="str">
        <f>VLOOKUP(W93,Sheet2!A:D,4,0)</f>
        <v>PPHP: COPYLENE CH120LN</v>
      </c>
    </row>
    <row r="94" spans="1:26" ht="15">
      <c r="A94" s="57">
        <v>50082253</v>
      </c>
      <c r="B94" s="57" t="s">
        <v>1450</v>
      </c>
      <c r="C94" s="57">
        <v>50082252</v>
      </c>
      <c r="D94" s="57" t="s">
        <v>1451</v>
      </c>
      <c r="E94" s="57">
        <v>50082198</v>
      </c>
      <c r="F94" s="57" t="s">
        <v>1358</v>
      </c>
      <c r="G94" s="57">
        <v>3.5486</v>
      </c>
      <c r="H94" s="57">
        <v>50082152</v>
      </c>
      <c r="I94" s="57" t="s">
        <v>1390</v>
      </c>
      <c r="J94" s="57">
        <v>7.2400000000000006E-2</v>
      </c>
      <c r="L94">
        <v>50081688</v>
      </c>
      <c r="M94" t="s">
        <v>1697</v>
      </c>
      <c r="N94">
        <v>50082178</v>
      </c>
      <c r="O94" t="s">
        <v>719</v>
      </c>
      <c r="U94">
        <v>50081774</v>
      </c>
      <c r="V94" t="s">
        <v>1700</v>
      </c>
      <c r="W94">
        <v>50082179</v>
      </c>
      <c r="X94" t="s">
        <v>720</v>
      </c>
      <c r="Y94">
        <f>VLOOKUP(W94,Sheet2!A:D,3,0)</f>
        <v>50082181</v>
      </c>
      <c r="Z94" t="str">
        <f>VLOOKUP(W94,Sheet2!A:D,4,0)</f>
        <v>PPHP: COPYLENE CH120LN</v>
      </c>
    </row>
    <row r="95" spans="1:26" ht="15">
      <c r="A95" s="57">
        <v>50082254</v>
      </c>
      <c r="B95" s="57" t="s">
        <v>1452</v>
      </c>
      <c r="C95" s="57">
        <v>50082252</v>
      </c>
      <c r="D95" s="57" t="s">
        <v>1451</v>
      </c>
      <c r="E95" s="57">
        <v>50082198</v>
      </c>
      <c r="F95" s="57" t="s">
        <v>1358</v>
      </c>
      <c r="G95" s="57">
        <v>3.5486</v>
      </c>
      <c r="H95" s="57">
        <v>50082152</v>
      </c>
      <c r="I95" s="57" t="s">
        <v>1390</v>
      </c>
      <c r="J95" s="57">
        <v>7.2400000000000006E-2</v>
      </c>
      <c r="L95">
        <v>50081725</v>
      </c>
      <c r="M95" t="s">
        <v>1698</v>
      </c>
      <c r="N95">
        <v>50082179</v>
      </c>
      <c r="O95" t="s">
        <v>720</v>
      </c>
      <c r="U95">
        <v>50081774</v>
      </c>
      <c r="V95" t="s">
        <v>1700</v>
      </c>
      <c r="W95">
        <v>50082180</v>
      </c>
      <c r="X95" t="s">
        <v>721</v>
      </c>
      <c r="Y95">
        <f>VLOOKUP(W95,Sheet2!A:D,3,0)</f>
        <v>50082181</v>
      </c>
      <c r="Z95" t="str">
        <f>VLOOKUP(W95,Sheet2!A:D,4,0)</f>
        <v>PPHP: COPYLENE CH120LN</v>
      </c>
    </row>
    <row r="96" spans="1:26" ht="15">
      <c r="A96" s="57">
        <v>50082260</v>
      </c>
      <c r="B96" s="57" t="s">
        <v>1453</v>
      </c>
      <c r="C96" s="57">
        <v>50082249</v>
      </c>
      <c r="D96" s="57" t="s">
        <v>1449</v>
      </c>
      <c r="E96" s="57">
        <v>50082198</v>
      </c>
      <c r="F96" s="57" t="s">
        <v>1358</v>
      </c>
      <c r="G96" s="57">
        <v>2.8420000000000001</v>
      </c>
      <c r="H96" s="57">
        <v>50082194</v>
      </c>
      <c r="I96" s="57" t="s">
        <v>1365</v>
      </c>
      <c r="J96" s="57">
        <v>5.8000000000000003E-2</v>
      </c>
      <c r="L96">
        <v>50081725</v>
      </c>
      <c r="M96" t="s">
        <v>1698</v>
      </c>
      <c r="N96">
        <v>50082180</v>
      </c>
      <c r="O96" t="s">
        <v>721</v>
      </c>
      <c r="U96">
        <v>50081810</v>
      </c>
      <c r="V96" t="s">
        <v>1701</v>
      </c>
      <c r="W96">
        <v>50082144</v>
      </c>
      <c r="X96" t="s">
        <v>709</v>
      </c>
      <c r="Y96">
        <f>VLOOKUP(W96,Sheet2!A:D,3,0)</f>
        <v>50082181</v>
      </c>
      <c r="Z96" t="str">
        <f>VLOOKUP(W96,Sheet2!A:D,4,0)</f>
        <v>PPHP: COPYLENE CH120LN</v>
      </c>
    </row>
    <row r="97" spans="1:26" ht="15">
      <c r="A97" s="57">
        <v>50083258</v>
      </c>
      <c r="B97" s="57" t="s">
        <v>1454</v>
      </c>
      <c r="C97" s="57">
        <v>50083253</v>
      </c>
      <c r="D97" s="57" t="s">
        <v>748</v>
      </c>
      <c r="E97" s="57">
        <v>50082184</v>
      </c>
      <c r="F97" s="57" t="s">
        <v>517</v>
      </c>
      <c r="G97" s="57">
        <v>3.577</v>
      </c>
      <c r="H97" s="57">
        <v>50083251</v>
      </c>
      <c r="I97" s="57" t="s">
        <v>1455</v>
      </c>
      <c r="J97" s="57">
        <v>7.2999999999999995E-2</v>
      </c>
      <c r="L97">
        <v>50081773</v>
      </c>
      <c r="M97" t="s">
        <v>1699</v>
      </c>
      <c r="N97">
        <v>50082144</v>
      </c>
      <c r="O97" t="s">
        <v>709</v>
      </c>
      <c r="U97">
        <v>50081810</v>
      </c>
      <c r="V97" t="s">
        <v>1701</v>
      </c>
      <c r="W97">
        <v>50082177</v>
      </c>
      <c r="X97" t="s">
        <v>718</v>
      </c>
      <c r="Y97">
        <f>VLOOKUP(W97,Sheet2!A:D,3,0)</f>
        <v>50082181</v>
      </c>
      <c r="Z97" t="str">
        <f>VLOOKUP(W97,Sheet2!A:D,4,0)</f>
        <v>PPHP: COPYLENE CH120LN</v>
      </c>
    </row>
    <row r="98" spans="1:26" ht="15">
      <c r="A98" s="57">
        <v>50083260</v>
      </c>
      <c r="B98" s="57" t="s">
        <v>1456</v>
      </c>
      <c r="C98" s="57">
        <v>50083254</v>
      </c>
      <c r="D98" s="57" t="s">
        <v>749</v>
      </c>
      <c r="E98" s="57">
        <v>50082184</v>
      </c>
      <c r="F98" s="57" t="s">
        <v>517</v>
      </c>
      <c r="G98" s="57">
        <v>3.577</v>
      </c>
      <c r="H98" s="57">
        <v>50083252</v>
      </c>
      <c r="I98" s="57" t="s">
        <v>1457</v>
      </c>
      <c r="J98" s="57">
        <v>7.2999999999999995E-2</v>
      </c>
      <c r="L98">
        <v>50081773</v>
      </c>
      <c r="M98" t="s">
        <v>1699</v>
      </c>
      <c r="N98">
        <v>50082177</v>
      </c>
      <c r="O98" t="s">
        <v>718</v>
      </c>
      <c r="U98">
        <v>50081811</v>
      </c>
      <c r="V98" t="s">
        <v>1702</v>
      </c>
      <c r="W98">
        <v>50082145</v>
      </c>
      <c r="X98" t="s">
        <v>710</v>
      </c>
      <c r="Y98">
        <f>VLOOKUP(W98,Sheet2!A:D,3,0)</f>
        <v>50082181</v>
      </c>
      <c r="Z98" t="str">
        <f>VLOOKUP(W98,Sheet2!A:D,4,0)</f>
        <v>PPHP: COPYLENE CH120LN</v>
      </c>
    </row>
    <row r="99" spans="1:26" ht="15">
      <c r="A99" s="57">
        <v>50083263</v>
      </c>
      <c r="B99" s="57" t="s">
        <v>490</v>
      </c>
      <c r="C99" s="57">
        <v>50083262</v>
      </c>
      <c r="D99" s="57" t="s">
        <v>750</v>
      </c>
      <c r="E99" s="57">
        <v>50082184</v>
      </c>
      <c r="F99" s="57" t="s">
        <v>517</v>
      </c>
      <c r="G99" s="57">
        <v>2.8239999999999998</v>
      </c>
      <c r="H99" s="57" t="s">
        <v>1359</v>
      </c>
      <c r="I99" s="57" t="s">
        <v>1359</v>
      </c>
      <c r="J99" s="57" t="s">
        <v>1359</v>
      </c>
      <c r="L99">
        <v>50081774</v>
      </c>
      <c r="M99" t="s">
        <v>1700</v>
      </c>
      <c r="N99">
        <v>50082179</v>
      </c>
      <c r="O99" t="s">
        <v>720</v>
      </c>
      <c r="U99">
        <v>50081811</v>
      </c>
      <c r="V99" t="s">
        <v>1702</v>
      </c>
      <c r="W99">
        <v>50082178</v>
      </c>
      <c r="X99" t="s">
        <v>719</v>
      </c>
      <c r="Y99">
        <f>VLOOKUP(W99,Sheet2!A:D,3,0)</f>
        <v>50082181</v>
      </c>
      <c r="Z99" t="str">
        <f>VLOOKUP(W99,Sheet2!A:D,4,0)</f>
        <v>PPHP: COPYLENE CH120LN</v>
      </c>
    </row>
    <row r="100" spans="1:26" ht="15">
      <c r="A100" s="57">
        <v>50083264</v>
      </c>
      <c r="B100" s="57" t="s">
        <v>1458</v>
      </c>
      <c r="C100" s="57">
        <v>50083262</v>
      </c>
      <c r="D100" s="57" t="s">
        <v>750</v>
      </c>
      <c r="E100" s="57">
        <v>50082184</v>
      </c>
      <c r="F100" s="57" t="s">
        <v>517</v>
      </c>
      <c r="G100" s="57">
        <v>2.8239999999999998</v>
      </c>
      <c r="H100" s="57" t="s">
        <v>1359</v>
      </c>
      <c r="I100" s="57" t="s">
        <v>1359</v>
      </c>
      <c r="J100" s="57" t="s">
        <v>1359</v>
      </c>
      <c r="L100">
        <v>50081774</v>
      </c>
      <c r="M100" t="s">
        <v>1700</v>
      </c>
      <c r="N100">
        <v>50082180</v>
      </c>
      <c r="O100" t="s">
        <v>721</v>
      </c>
      <c r="U100">
        <v>50081849</v>
      </c>
      <c r="V100" t="s">
        <v>1703</v>
      </c>
      <c r="W100">
        <v>50082144</v>
      </c>
      <c r="X100" t="s">
        <v>709</v>
      </c>
      <c r="Y100">
        <f>VLOOKUP(W100,Sheet2!A:D,3,0)</f>
        <v>50082181</v>
      </c>
      <c r="Z100" t="str">
        <f>VLOOKUP(W100,Sheet2!A:D,4,0)</f>
        <v>PPHP: COPYLENE CH120LN</v>
      </c>
    </row>
    <row r="101" spans="1:26" ht="15">
      <c r="A101" s="57">
        <v>50083266</v>
      </c>
      <c r="B101" s="57" t="s">
        <v>73</v>
      </c>
      <c r="C101" s="57">
        <v>50083265</v>
      </c>
      <c r="D101" s="57" t="s">
        <v>320</v>
      </c>
      <c r="E101" s="57">
        <v>50082184</v>
      </c>
      <c r="F101" s="57" t="s">
        <v>517</v>
      </c>
      <c r="G101" s="57">
        <v>2.8420000000000001</v>
      </c>
      <c r="H101" s="57">
        <v>50082194</v>
      </c>
      <c r="I101" s="57" t="s">
        <v>1365</v>
      </c>
      <c r="J101" s="57">
        <v>5.8000000000000003E-2</v>
      </c>
      <c r="L101">
        <v>50081810</v>
      </c>
      <c r="M101" t="s">
        <v>1701</v>
      </c>
      <c r="N101">
        <v>50082144</v>
      </c>
      <c r="O101" t="s">
        <v>709</v>
      </c>
      <c r="U101">
        <v>50081849</v>
      </c>
      <c r="V101" t="s">
        <v>1703</v>
      </c>
      <c r="W101">
        <v>50082177</v>
      </c>
      <c r="X101" t="s">
        <v>718</v>
      </c>
      <c r="Y101">
        <f>VLOOKUP(W101,Sheet2!A:D,3,0)</f>
        <v>50082181</v>
      </c>
      <c r="Z101" t="str">
        <f>VLOOKUP(W101,Sheet2!A:D,4,0)</f>
        <v>PPHP: COPYLENE CH120LN</v>
      </c>
    </row>
    <row r="102" spans="1:26" ht="15">
      <c r="A102" s="57">
        <v>50083267</v>
      </c>
      <c r="B102" s="57" t="s">
        <v>1459</v>
      </c>
      <c r="C102" s="57">
        <v>50083265</v>
      </c>
      <c r="D102" s="57" t="s">
        <v>320</v>
      </c>
      <c r="E102" s="57">
        <v>50082184</v>
      </c>
      <c r="F102" s="57" t="s">
        <v>517</v>
      </c>
      <c r="G102" s="57">
        <v>2.8420000000000001</v>
      </c>
      <c r="H102" s="57">
        <v>50082194</v>
      </c>
      <c r="I102" s="57" t="s">
        <v>1365</v>
      </c>
      <c r="J102" s="57">
        <v>5.8000000000000003E-2</v>
      </c>
      <c r="L102">
        <v>50081810</v>
      </c>
      <c r="M102" t="s">
        <v>1701</v>
      </c>
      <c r="N102">
        <v>50082177</v>
      </c>
      <c r="O102" t="s">
        <v>718</v>
      </c>
      <c r="U102">
        <v>50082051</v>
      </c>
      <c r="V102" t="s">
        <v>1705</v>
      </c>
      <c r="W102">
        <v>50082144</v>
      </c>
      <c r="X102" t="s">
        <v>709</v>
      </c>
      <c r="Y102">
        <f>VLOOKUP(W102,Sheet2!A:D,3,0)</f>
        <v>50082181</v>
      </c>
      <c r="Z102" t="str">
        <f>VLOOKUP(W102,Sheet2!A:D,4,0)</f>
        <v>PPHP: COPYLENE CH120LN</v>
      </c>
    </row>
    <row r="103" spans="1:26" ht="15">
      <c r="A103" s="57">
        <v>50083299</v>
      </c>
      <c r="B103" s="57" t="s">
        <v>1460</v>
      </c>
      <c r="C103" s="57">
        <v>50083298</v>
      </c>
      <c r="D103" s="57" t="s">
        <v>755</v>
      </c>
      <c r="E103" s="57">
        <v>50082183</v>
      </c>
      <c r="F103" s="57" t="s">
        <v>515</v>
      </c>
      <c r="G103" s="57">
        <v>2.8420000000000001</v>
      </c>
      <c r="H103" s="57">
        <v>50082194</v>
      </c>
      <c r="I103" s="57" t="s">
        <v>1365</v>
      </c>
      <c r="J103" s="57">
        <v>5.8000000000000003E-2</v>
      </c>
      <c r="L103">
        <v>50081811</v>
      </c>
      <c r="M103" t="s">
        <v>1702</v>
      </c>
      <c r="N103">
        <v>50082145</v>
      </c>
      <c r="O103" t="s">
        <v>710</v>
      </c>
      <c r="U103">
        <v>50082051</v>
      </c>
      <c r="V103" t="s">
        <v>1705</v>
      </c>
      <c r="W103">
        <v>50082177</v>
      </c>
      <c r="X103" t="s">
        <v>718</v>
      </c>
      <c r="Y103">
        <f>VLOOKUP(W103,Sheet2!A:D,3,0)</f>
        <v>50082181</v>
      </c>
      <c r="Z103" t="str">
        <f>VLOOKUP(W103,Sheet2!A:D,4,0)</f>
        <v>PPHP: COPYLENE CH120LN</v>
      </c>
    </row>
    <row r="104" spans="1:26" ht="15">
      <c r="A104" s="57">
        <v>50083300</v>
      </c>
      <c r="B104" s="57" t="s">
        <v>1461</v>
      </c>
      <c r="C104" s="57">
        <v>50083298</v>
      </c>
      <c r="D104" s="57" t="s">
        <v>755</v>
      </c>
      <c r="E104" s="57">
        <v>50082183</v>
      </c>
      <c r="F104" s="57" t="s">
        <v>515</v>
      </c>
      <c r="G104" s="57">
        <v>2.8420000000000001</v>
      </c>
      <c r="H104" s="57">
        <v>50082194</v>
      </c>
      <c r="I104" s="57" t="s">
        <v>1365</v>
      </c>
      <c r="J104" s="57">
        <v>5.8000000000000003E-2</v>
      </c>
      <c r="L104">
        <v>50081811</v>
      </c>
      <c r="M104" t="s">
        <v>1702</v>
      </c>
      <c r="N104">
        <v>50082178</v>
      </c>
      <c r="O104" t="s">
        <v>719</v>
      </c>
      <c r="U104">
        <v>50082206</v>
      </c>
      <c r="V104" t="s">
        <v>1706</v>
      </c>
      <c r="W104">
        <v>50081887</v>
      </c>
      <c r="X104" t="s">
        <v>630</v>
      </c>
      <c r="Y104">
        <f>VLOOKUP(W104,Sheet2!A:D,3,0)</f>
        <v>50082203</v>
      </c>
      <c r="Z104" t="str">
        <f>VLOOKUP(W104,Sheet2!A:D,4,0)</f>
        <v>PPHP: REPOL H110MA</v>
      </c>
    </row>
    <row r="105" spans="1:26" ht="15">
      <c r="A105" s="57">
        <v>50083314</v>
      </c>
      <c r="B105" s="57" t="s">
        <v>1462</v>
      </c>
      <c r="C105" s="57">
        <v>50083313</v>
      </c>
      <c r="D105" s="57" t="s">
        <v>756</v>
      </c>
      <c r="E105" s="57">
        <v>50082184</v>
      </c>
      <c r="F105" s="57" t="s">
        <v>517</v>
      </c>
      <c r="G105" s="57">
        <v>4.5999999999999996</v>
      </c>
      <c r="H105" s="57" t="s">
        <v>1359</v>
      </c>
      <c r="I105" s="57" t="s">
        <v>1359</v>
      </c>
      <c r="J105" s="57" t="s">
        <v>1359</v>
      </c>
      <c r="L105">
        <v>50081849</v>
      </c>
      <c r="M105" t="s">
        <v>1703</v>
      </c>
      <c r="N105">
        <v>50082144</v>
      </c>
      <c r="O105" t="s">
        <v>709</v>
      </c>
      <c r="U105">
        <v>50082206</v>
      </c>
      <c r="V105" t="s">
        <v>1706</v>
      </c>
      <c r="W105">
        <v>50081993</v>
      </c>
      <c r="X105" t="s">
        <v>660</v>
      </c>
      <c r="Y105">
        <f>VLOOKUP(W105,Sheet2!A:D,3,0)</f>
        <v>50082203</v>
      </c>
      <c r="Z105" t="str">
        <f>VLOOKUP(W105,Sheet2!A:D,4,0)</f>
        <v>PPHP: REPOL H110MA</v>
      </c>
    </row>
    <row r="106" spans="1:26" ht="15">
      <c r="A106" s="57">
        <v>50091682</v>
      </c>
      <c r="B106" s="57" t="s">
        <v>1463</v>
      </c>
      <c r="C106" s="57">
        <v>50091681</v>
      </c>
      <c r="D106" s="57" t="s">
        <v>765</v>
      </c>
      <c r="E106" s="57">
        <v>50082184</v>
      </c>
      <c r="F106" s="57" t="s">
        <v>517</v>
      </c>
      <c r="G106" s="57">
        <v>2.8812000000000002</v>
      </c>
      <c r="H106" s="57">
        <v>50082152</v>
      </c>
      <c r="I106" s="57" t="s">
        <v>1390</v>
      </c>
      <c r="J106" s="57">
        <v>5.8799999999999998E-2</v>
      </c>
      <c r="L106">
        <v>50081849</v>
      </c>
      <c r="M106" t="s">
        <v>1703</v>
      </c>
      <c r="N106">
        <v>50082177</v>
      </c>
      <c r="O106" t="s">
        <v>718</v>
      </c>
      <c r="U106">
        <v>50082207</v>
      </c>
      <c r="V106" t="s">
        <v>1707</v>
      </c>
      <c r="W106">
        <v>50081590</v>
      </c>
      <c r="X106" t="s">
        <v>546</v>
      </c>
      <c r="Y106">
        <f>VLOOKUP(W106,Sheet2!A:D,3,0)</f>
        <v>50082203</v>
      </c>
      <c r="Z106" t="str">
        <f>VLOOKUP(W106,Sheet2!A:D,4,0)</f>
        <v>PPHP: REPOL H110MA</v>
      </c>
    </row>
    <row r="107" spans="1:26" ht="15">
      <c r="A107" s="57">
        <v>50091683</v>
      </c>
      <c r="B107" s="57" t="s">
        <v>1464</v>
      </c>
      <c r="C107" s="57">
        <v>50091681</v>
      </c>
      <c r="D107" s="57" t="s">
        <v>765</v>
      </c>
      <c r="E107" s="57">
        <v>50082184</v>
      </c>
      <c r="F107" s="57" t="s">
        <v>517</v>
      </c>
      <c r="G107" s="57">
        <v>2.8812000000000002</v>
      </c>
      <c r="H107" s="57">
        <v>50082152</v>
      </c>
      <c r="I107" s="57" t="s">
        <v>1390</v>
      </c>
      <c r="J107" s="57">
        <v>5.8799999999999998E-2</v>
      </c>
      <c r="L107">
        <v>50082032</v>
      </c>
      <c r="M107" t="s">
        <v>1704</v>
      </c>
      <c r="N107">
        <v>50081999</v>
      </c>
      <c r="O107" t="s">
        <v>665</v>
      </c>
      <c r="U107">
        <v>50082207</v>
      </c>
      <c r="V107" t="s">
        <v>1707</v>
      </c>
      <c r="W107">
        <v>50081703</v>
      </c>
      <c r="X107" t="s">
        <v>580</v>
      </c>
      <c r="Y107">
        <f>VLOOKUP(W107,Sheet2!A:D,3,0)</f>
        <v>50082203</v>
      </c>
      <c r="Z107" t="str">
        <f>VLOOKUP(W107,Sheet2!A:D,4,0)</f>
        <v>PPHP: REPOL H110MA</v>
      </c>
    </row>
    <row r="108" spans="1:26" ht="15">
      <c r="A108" s="57">
        <v>50091791</v>
      </c>
      <c r="B108" s="57" t="s">
        <v>1467</v>
      </c>
      <c r="C108" s="57">
        <v>50091694</v>
      </c>
      <c r="D108" s="57" t="s">
        <v>767</v>
      </c>
      <c r="E108" s="57">
        <v>50082184</v>
      </c>
      <c r="F108" s="57" t="s">
        <v>517</v>
      </c>
      <c r="G108" s="57">
        <v>3.5491000000000001</v>
      </c>
      <c r="H108" s="57">
        <v>50082194</v>
      </c>
      <c r="I108" s="57" t="s">
        <v>1365</v>
      </c>
      <c r="J108" s="57">
        <v>7.2400000000000006E-2</v>
      </c>
      <c r="L108">
        <v>50082032</v>
      </c>
      <c r="M108" t="s">
        <v>1704</v>
      </c>
      <c r="N108">
        <v>50082223</v>
      </c>
      <c r="O108" t="s">
        <v>726</v>
      </c>
      <c r="U108">
        <v>50082209</v>
      </c>
      <c r="V108" t="s">
        <v>1711</v>
      </c>
      <c r="W108">
        <v>50082179</v>
      </c>
      <c r="X108" t="s">
        <v>720</v>
      </c>
      <c r="Y108">
        <f>VLOOKUP(W108,Sheet2!A:D,3,0)</f>
        <v>50082181</v>
      </c>
      <c r="Z108" t="str">
        <f>VLOOKUP(W108,Sheet2!A:D,4,0)</f>
        <v>PPHP: COPYLENE CH120LN</v>
      </c>
    </row>
    <row r="109" spans="1:26" ht="15">
      <c r="A109" s="57">
        <v>50091792</v>
      </c>
      <c r="B109" s="57" t="s">
        <v>1468</v>
      </c>
      <c r="C109" s="57">
        <v>50091694</v>
      </c>
      <c r="D109" s="57" t="s">
        <v>767</v>
      </c>
      <c r="E109" s="57">
        <v>50082184</v>
      </c>
      <c r="F109" s="57" t="s">
        <v>517</v>
      </c>
      <c r="G109" s="57">
        <v>3.5491000000000001</v>
      </c>
      <c r="H109" s="57">
        <v>50082194</v>
      </c>
      <c r="I109" s="57" t="s">
        <v>1365</v>
      </c>
      <c r="J109" s="57">
        <v>7.2400000000000006E-2</v>
      </c>
      <c r="L109">
        <v>50082051</v>
      </c>
      <c r="M109" t="s">
        <v>1705</v>
      </c>
      <c r="N109">
        <v>50082144</v>
      </c>
      <c r="O109" t="s">
        <v>709</v>
      </c>
      <c r="U109">
        <v>50082209</v>
      </c>
      <c r="V109" t="s">
        <v>1711</v>
      </c>
      <c r="W109">
        <v>50082180</v>
      </c>
      <c r="X109" t="s">
        <v>721</v>
      </c>
      <c r="Y109">
        <f>VLOOKUP(W109,Sheet2!A:D,3,0)</f>
        <v>50082181</v>
      </c>
      <c r="Z109" t="str">
        <f>VLOOKUP(W109,Sheet2!A:D,4,0)</f>
        <v>PPHP: COPYLENE CH120LN</v>
      </c>
    </row>
    <row r="110" spans="1:26" ht="15">
      <c r="A110" s="57">
        <v>50097176</v>
      </c>
      <c r="B110" s="57" t="s">
        <v>1470</v>
      </c>
      <c r="C110" s="57">
        <v>50097175</v>
      </c>
      <c r="D110" s="57" t="s">
        <v>815</v>
      </c>
      <c r="E110" s="57">
        <v>50082183</v>
      </c>
      <c r="F110" s="57" t="s">
        <v>515</v>
      </c>
      <c r="G110" s="57">
        <v>2.97</v>
      </c>
      <c r="H110" s="57" t="s">
        <v>1359</v>
      </c>
      <c r="I110" s="57" t="s">
        <v>1359</v>
      </c>
      <c r="J110" s="57" t="s">
        <v>1359</v>
      </c>
      <c r="L110">
        <v>50082206</v>
      </c>
      <c r="M110" t="s">
        <v>1706</v>
      </c>
      <c r="N110">
        <v>50081993</v>
      </c>
      <c r="O110" t="s">
        <v>660</v>
      </c>
      <c r="U110">
        <v>50082259</v>
      </c>
      <c r="V110" t="s">
        <v>1714</v>
      </c>
      <c r="W110">
        <v>50081704</v>
      </c>
      <c r="X110" t="s">
        <v>581</v>
      </c>
      <c r="Y110">
        <f>VLOOKUP(W110,Sheet2!A:D,3,0)</f>
        <v>50082181</v>
      </c>
      <c r="Z110" t="str">
        <f>VLOOKUP(W110,Sheet2!A:D,4,0)</f>
        <v>PPHP: COPYLENE CH120LN</v>
      </c>
    </row>
    <row r="111" spans="1:26" ht="15">
      <c r="A111" s="57">
        <v>50097618</v>
      </c>
      <c r="B111" s="57" t="s">
        <v>1471</v>
      </c>
      <c r="C111" s="57">
        <v>50097617</v>
      </c>
      <c r="D111" s="57" t="s">
        <v>826</v>
      </c>
      <c r="E111" s="57">
        <v>50082184</v>
      </c>
      <c r="F111" s="57" t="s">
        <v>517</v>
      </c>
      <c r="G111" s="57">
        <v>3.5491000000000001</v>
      </c>
      <c r="H111" s="57">
        <v>50082152</v>
      </c>
      <c r="I111" s="57" t="s">
        <v>1390</v>
      </c>
      <c r="J111" s="57">
        <v>7.2400000000000006E-2</v>
      </c>
      <c r="L111">
        <v>50082207</v>
      </c>
      <c r="M111" t="s">
        <v>1707</v>
      </c>
      <c r="N111">
        <v>50081590</v>
      </c>
      <c r="O111" t="s">
        <v>546</v>
      </c>
      <c r="U111">
        <v>50082259</v>
      </c>
      <c r="V111" t="s">
        <v>1714</v>
      </c>
      <c r="W111">
        <v>50082145</v>
      </c>
      <c r="X111" t="s">
        <v>710</v>
      </c>
      <c r="Y111">
        <f>VLOOKUP(W111,Sheet2!A:D,3,0)</f>
        <v>50082181</v>
      </c>
      <c r="Z111" t="str">
        <f>VLOOKUP(W111,Sheet2!A:D,4,0)</f>
        <v>PPHP: COPYLENE CH120LN</v>
      </c>
    </row>
    <row r="112" spans="1:26" ht="15">
      <c r="A112" s="57">
        <v>50097619</v>
      </c>
      <c r="B112" s="57" t="s">
        <v>1472</v>
      </c>
      <c r="C112" s="57">
        <v>50097617</v>
      </c>
      <c r="D112" s="57" t="s">
        <v>826</v>
      </c>
      <c r="E112" s="57">
        <v>50082184</v>
      </c>
      <c r="F112" s="57" t="s">
        <v>517</v>
      </c>
      <c r="G112" s="57">
        <v>3.5491000000000001</v>
      </c>
      <c r="H112" s="57">
        <v>50082152</v>
      </c>
      <c r="I112" s="57" t="s">
        <v>1390</v>
      </c>
      <c r="J112" s="57">
        <v>7.2400000000000006E-2</v>
      </c>
      <c r="L112">
        <v>50082207</v>
      </c>
      <c r="M112" t="s">
        <v>1707</v>
      </c>
      <c r="N112">
        <v>50081703</v>
      </c>
      <c r="O112" t="s">
        <v>580</v>
      </c>
      <c r="U112">
        <v>50082380</v>
      </c>
      <c r="V112" t="s">
        <v>1715</v>
      </c>
      <c r="W112">
        <v>50082180</v>
      </c>
      <c r="X112" t="s">
        <v>721</v>
      </c>
      <c r="Y112">
        <f>VLOOKUP(W112,Sheet2!A:D,3,0)</f>
        <v>50082181</v>
      </c>
      <c r="Z112" t="str">
        <f>VLOOKUP(W112,Sheet2!A:D,4,0)</f>
        <v>PPHP: COPYLENE CH120LN</v>
      </c>
    </row>
    <row r="113" spans="1:26" ht="15">
      <c r="A113" s="57">
        <v>50098257</v>
      </c>
      <c r="B113" s="57" t="s">
        <v>1473</v>
      </c>
      <c r="C113" s="57">
        <v>50098256</v>
      </c>
      <c r="D113" s="57" t="s">
        <v>836</v>
      </c>
      <c r="E113" s="57">
        <v>50082184</v>
      </c>
      <c r="F113" s="57" t="s">
        <v>517</v>
      </c>
      <c r="G113" s="57">
        <v>4.3864999999999998</v>
      </c>
      <c r="H113" s="57">
        <v>50082152</v>
      </c>
      <c r="I113" s="57" t="s">
        <v>1390</v>
      </c>
      <c r="J113" s="57">
        <v>8.9499999999999996E-2</v>
      </c>
      <c r="L113">
        <v>50082208</v>
      </c>
      <c r="M113" t="s">
        <v>1708</v>
      </c>
      <c r="N113">
        <v>50082224</v>
      </c>
      <c r="O113" t="s">
        <v>1709</v>
      </c>
      <c r="U113">
        <v>50082380</v>
      </c>
      <c r="V113" t="s">
        <v>1715</v>
      </c>
      <c r="W113">
        <v>50082363</v>
      </c>
      <c r="X113" t="s">
        <v>736</v>
      </c>
      <c r="Y113">
        <f>VLOOKUP(W113,Sheet2!A:D,3,0)</f>
        <v>50082181</v>
      </c>
      <c r="Z113" t="str">
        <f>VLOOKUP(W113,Sheet2!A:D,4,0)</f>
        <v>PPHP: COPYLENE CH120LN</v>
      </c>
    </row>
    <row r="114" spans="1:26" ht="15">
      <c r="A114" s="57">
        <v>50098258</v>
      </c>
      <c r="B114" s="57" t="s">
        <v>1474</v>
      </c>
      <c r="C114" s="57">
        <v>50098256</v>
      </c>
      <c r="D114" s="57" t="s">
        <v>836</v>
      </c>
      <c r="E114" s="57">
        <v>50082184</v>
      </c>
      <c r="F114" s="57" t="s">
        <v>517</v>
      </c>
      <c r="G114" s="57">
        <v>4.3864999999999998</v>
      </c>
      <c r="H114" s="57">
        <v>50082152</v>
      </c>
      <c r="I114" s="57" t="s">
        <v>1390</v>
      </c>
      <c r="J114" s="57">
        <v>8.9499999999999996E-2</v>
      </c>
      <c r="L114">
        <v>50082208</v>
      </c>
      <c r="M114" t="s">
        <v>1708</v>
      </c>
      <c r="N114">
        <v>50082225</v>
      </c>
      <c r="O114" t="s">
        <v>1710</v>
      </c>
      <c r="U114">
        <v>50082413</v>
      </c>
      <c r="V114" t="s">
        <v>1716</v>
      </c>
      <c r="W114">
        <v>50082179</v>
      </c>
      <c r="X114" t="s">
        <v>720</v>
      </c>
      <c r="Y114">
        <f>VLOOKUP(W114,Sheet2!A:D,3,0)</f>
        <v>50082181</v>
      </c>
      <c r="Z114" t="str">
        <f>VLOOKUP(W114,Sheet2!A:D,4,0)</f>
        <v>PPHP: COPYLENE CH120LN</v>
      </c>
    </row>
    <row r="115" spans="1:26" ht="15">
      <c r="A115" s="57">
        <v>50098990</v>
      </c>
      <c r="B115" s="57" t="s">
        <v>1475</v>
      </c>
      <c r="C115" s="57">
        <v>50098989</v>
      </c>
      <c r="D115" s="57" t="s">
        <v>843</v>
      </c>
      <c r="E115" s="57">
        <v>50082183</v>
      </c>
      <c r="F115" s="57" t="s">
        <v>515</v>
      </c>
      <c r="G115" s="57">
        <v>0.56000000000000005</v>
      </c>
      <c r="H115" s="57" t="s">
        <v>1359</v>
      </c>
      <c r="I115" s="57" t="s">
        <v>1359</v>
      </c>
      <c r="J115" s="57" t="s">
        <v>1359</v>
      </c>
      <c r="L115">
        <v>50082209</v>
      </c>
      <c r="M115" t="s">
        <v>1711</v>
      </c>
      <c r="N115">
        <v>50082179</v>
      </c>
      <c r="O115" t="s">
        <v>720</v>
      </c>
      <c r="U115">
        <v>50082413</v>
      </c>
      <c r="V115" t="s">
        <v>1716</v>
      </c>
      <c r="W115">
        <v>50082180</v>
      </c>
      <c r="X115" t="s">
        <v>721</v>
      </c>
      <c r="Y115">
        <f>VLOOKUP(W115,Sheet2!A:D,3,0)</f>
        <v>50082181</v>
      </c>
      <c r="Z115" t="str">
        <f>VLOOKUP(W115,Sheet2!A:D,4,0)</f>
        <v>PPHP: COPYLENE CH120LN</v>
      </c>
    </row>
    <row r="116" spans="1:26" ht="15">
      <c r="A116" s="57">
        <v>50098991</v>
      </c>
      <c r="B116" s="57" t="s">
        <v>1476</v>
      </c>
      <c r="C116" s="57">
        <v>50098989</v>
      </c>
      <c r="D116" s="57" t="s">
        <v>843</v>
      </c>
      <c r="E116" s="57">
        <v>50082183</v>
      </c>
      <c r="F116" s="57" t="s">
        <v>515</v>
      </c>
      <c r="G116" s="57">
        <v>0.56000000000000005</v>
      </c>
      <c r="H116" s="57" t="s">
        <v>1359</v>
      </c>
      <c r="I116" s="57" t="s">
        <v>1359</v>
      </c>
      <c r="J116" s="57" t="s">
        <v>1359</v>
      </c>
      <c r="L116">
        <v>50082209</v>
      </c>
      <c r="M116" t="s">
        <v>1711</v>
      </c>
      <c r="N116">
        <v>50082180</v>
      </c>
      <c r="O116" t="s">
        <v>721</v>
      </c>
      <c r="U116">
        <v>50083094</v>
      </c>
      <c r="V116" t="s">
        <v>1717</v>
      </c>
      <c r="W116">
        <v>50082179</v>
      </c>
      <c r="X116" t="s">
        <v>720</v>
      </c>
      <c r="Y116">
        <f>VLOOKUP(W116,Sheet2!A:D,3,0)</f>
        <v>50082181</v>
      </c>
      <c r="Z116" t="str">
        <f>VLOOKUP(W116,Sheet2!A:D,4,0)</f>
        <v>PPHP: COPYLENE CH120LN</v>
      </c>
    </row>
    <row r="117" spans="1:26" ht="15">
      <c r="A117" s="57">
        <v>50099121</v>
      </c>
      <c r="B117" s="57" t="s">
        <v>51</v>
      </c>
      <c r="C117" s="57">
        <v>50099120</v>
      </c>
      <c r="D117" s="57" t="s">
        <v>846</v>
      </c>
      <c r="E117" s="57">
        <v>50082184</v>
      </c>
      <c r="F117" s="57" t="s">
        <v>517</v>
      </c>
      <c r="G117" s="57">
        <v>0.54879999999999995</v>
      </c>
      <c r="H117" s="57">
        <v>50082194</v>
      </c>
      <c r="I117" s="57" t="s">
        <v>1365</v>
      </c>
      <c r="J117" s="57">
        <v>1.12E-2</v>
      </c>
      <c r="L117">
        <v>50082213</v>
      </c>
      <c r="M117" t="s">
        <v>1712</v>
      </c>
      <c r="N117">
        <v>50082245</v>
      </c>
      <c r="O117" t="s">
        <v>731</v>
      </c>
      <c r="U117">
        <v>50083094</v>
      </c>
      <c r="V117" t="s">
        <v>1717</v>
      </c>
      <c r="W117">
        <v>50082180</v>
      </c>
      <c r="X117" t="s">
        <v>721</v>
      </c>
      <c r="Y117">
        <f>VLOOKUP(W117,Sheet2!A:D,3,0)</f>
        <v>50082181</v>
      </c>
      <c r="Z117" t="str">
        <f>VLOOKUP(W117,Sheet2!A:D,4,0)</f>
        <v>PPHP: COPYLENE CH120LN</v>
      </c>
    </row>
    <row r="118" spans="1:26" ht="15">
      <c r="A118" s="57">
        <v>50099122</v>
      </c>
      <c r="B118" s="57" t="s">
        <v>281</v>
      </c>
      <c r="C118" s="57">
        <v>50099120</v>
      </c>
      <c r="D118" s="57" t="s">
        <v>846</v>
      </c>
      <c r="E118" s="57">
        <v>50082184</v>
      </c>
      <c r="F118" s="57" t="s">
        <v>517</v>
      </c>
      <c r="G118" s="57">
        <v>0.54879999999999995</v>
      </c>
      <c r="H118" s="57">
        <v>50082194</v>
      </c>
      <c r="I118" s="57" t="s">
        <v>1365</v>
      </c>
      <c r="J118" s="57">
        <v>1.12E-2</v>
      </c>
      <c r="L118">
        <v>50082213</v>
      </c>
      <c r="M118" t="s">
        <v>1712</v>
      </c>
      <c r="N118">
        <v>50082246</v>
      </c>
      <c r="O118" t="s">
        <v>732</v>
      </c>
      <c r="U118">
        <v>50083095</v>
      </c>
      <c r="V118" t="s">
        <v>1718</v>
      </c>
      <c r="W118">
        <v>50082179</v>
      </c>
      <c r="X118" t="s">
        <v>720</v>
      </c>
      <c r="Y118">
        <f>VLOOKUP(W118,Sheet2!A:D,3,0)</f>
        <v>50082181</v>
      </c>
      <c r="Z118" t="str">
        <f>VLOOKUP(W118,Sheet2!A:D,4,0)</f>
        <v>PPHP: COPYLENE CH120LN</v>
      </c>
    </row>
    <row r="119" spans="1:26" ht="15">
      <c r="A119" s="57">
        <v>50099312</v>
      </c>
      <c r="B119" s="57" t="s">
        <v>487</v>
      </c>
      <c r="C119" s="57">
        <v>50099311</v>
      </c>
      <c r="D119" s="57" t="s">
        <v>849</v>
      </c>
      <c r="E119" s="57">
        <v>50082184</v>
      </c>
      <c r="F119" s="57" t="s">
        <v>517</v>
      </c>
      <c r="G119" s="57">
        <v>3.577</v>
      </c>
      <c r="H119" s="57">
        <v>50082152</v>
      </c>
      <c r="I119" s="57" t="s">
        <v>1390</v>
      </c>
      <c r="J119" s="57">
        <v>7.2999999999999995E-2</v>
      </c>
      <c r="L119">
        <v>50082216</v>
      </c>
      <c r="M119" t="s">
        <v>1713</v>
      </c>
      <c r="N119">
        <v>50082224</v>
      </c>
      <c r="O119" t="s">
        <v>1709</v>
      </c>
      <c r="U119">
        <v>50083095</v>
      </c>
      <c r="V119" t="s">
        <v>1718</v>
      </c>
      <c r="W119">
        <v>50082180</v>
      </c>
      <c r="X119" t="s">
        <v>721</v>
      </c>
      <c r="Y119">
        <f>VLOOKUP(W119,Sheet2!A:D,3,0)</f>
        <v>50082181</v>
      </c>
      <c r="Z119" t="str">
        <f>VLOOKUP(W119,Sheet2!A:D,4,0)</f>
        <v>PPHP: COPYLENE CH120LN</v>
      </c>
    </row>
    <row r="120" spans="1:26" ht="15">
      <c r="A120" s="57">
        <v>50099313</v>
      </c>
      <c r="B120" s="57" t="s">
        <v>208</v>
      </c>
      <c r="C120" s="57">
        <v>50099311</v>
      </c>
      <c r="D120" s="57" t="s">
        <v>849</v>
      </c>
      <c r="E120" s="57">
        <v>50082184</v>
      </c>
      <c r="F120" s="57" t="s">
        <v>517</v>
      </c>
      <c r="G120" s="57">
        <v>3.577</v>
      </c>
      <c r="H120" s="57">
        <v>50082152</v>
      </c>
      <c r="I120" s="57" t="s">
        <v>1390</v>
      </c>
      <c r="J120" s="57">
        <v>7.2999999999999995E-2</v>
      </c>
      <c r="L120">
        <v>50082216</v>
      </c>
      <c r="M120" t="s">
        <v>1713</v>
      </c>
      <c r="N120">
        <v>50082225</v>
      </c>
      <c r="O120" t="s">
        <v>1710</v>
      </c>
      <c r="U120">
        <v>50083096</v>
      </c>
      <c r="V120" t="s">
        <v>1719</v>
      </c>
      <c r="W120">
        <v>50082145</v>
      </c>
      <c r="X120" t="s">
        <v>710</v>
      </c>
      <c r="Y120">
        <f>VLOOKUP(W120,Sheet2!A:D,3,0)</f>
        <v>50082181</v>
      </c>
      <c r="Z120" t="str">
        <f>VLOOKUP(W120,Sheet2!A:D,4,0)</f>
        <v>PPHP: COPYLENE CH120LN</v>
      </c>
    </row>
    <row r="121" spans="1:26" ht="15">
      <c r="A121" s="57">
        <v>50099316</v>
      </c>
      <c r="B121" s="57" t="s">
        <v>403</v>
      </c>
      <c r="C121" s="57">
        <v>50099315</v>
      </c>
      <c r="D121" s="57" t="s">
        <v>850</v>
      </c>
      <c r="E121" s="57">
        <v>50082184</v>
      </c>
      <c r="F121" s="57" t="s">
        <v>517</v>
      </c>
      <c r="G121" s="57">
        <v>3.65</v>
      </c>
      <c r="H121" s="57" t="s">
        <v>1359</v>
      </c>
      <c r="I121" s="57" t="s">
        <v>1359</v>
      </c>
      <c r="J121" s="57" t="s">
        <v>1359</v>
      </c>
      <c r="L121">
        <v>50082259</v>
      </c>
      <c r="M121" t="s">
        <v>1714</v>
      </c>
      <c r="N121">
        <v>50081704</v>
      </c>
      <c r="O121" t="s">
        <v>581</v>
      </c>
      <c r="U121">
        <v>50083096</v>
      </c>
      <c r="V121" t="s">
        <v>1719</v>
      </c>
      <c r="W121">
        <v>50082178</v>
      </c>
      <c r="X121" t="s">
        <v>719</v>
      </c>
      <c r="Y121">
        <f>VLOOKUP(W121,Sheet2!A:D,3,0)</f>
        <v>50082181</v>
      </c>
      <c r="Z121" t="str">
        <f>VLOOKUP(W121,Sheet2!A:D,4,0)</f>
        <v>PPHP: COPYLENE CH120LN</v>
      </c>
    </row>
    <row r="122" spans="1:26" ht="15">
      <c r="A122" s="57">
        <v>50099317</v>
      </c>
      <c r="B122" s="57" t="s">
        <v>1477</v>
      </c>
      <c r="C122" s="57">
        <v>50099315</v>
      </c>
      <c r="D122" s="57" t="s">
        <v>850</v>
      </c>
      <c r="E122" s="57">
        <v>50082184</v>
      </c>
      <c r="F122" s="57" t="s">
        <v>517</v>
      </c>
      <c r="G122" s="57">
        <v>3.65</v>
      </c>
      <c r="H122" s="57" t="s">
        <v>1359</v>
      </c>
      <c r="I122" s="57" t="s">
        <v>1359</v>
      </c>
      <c r="J122" s="57" t="s">
        <v>1359</v>
      </c>
      <c r="L122">
        <v>50082259</v>
      </c>
      <c r="M122" t="s">
        <v>1714</v>
      </c>
      <c r="N122">
        <v>50082145</v>
      </c>
      <c r="O122" t="s">
        <v>710</v>
      </c>
      <c r="U122">
        <v>50083097</v>
      </c>
      <c r="V122" t="s">
        <v>1720</v>
      </c>
      <c r="W122">
        <v>50082144</v>
      </c>
      <c r="X122" t="s">
        <v>709</v>
      </c>
      <c r="Y122">
        <f>VLOOKUP(W122,Sheet2!A:D,3,0)</f>
        <v>50082181</v>
      </c>
      <c r="Z122" t="str">
        <f>VLOOKUP(W122,Sheet2!A:D,4,0)</f>
        <v>PPHP: COPYLENE CH120LN</v>
      </c>
    </row>
    <row r="123" spans="1:26" ht="15">
      <c r="A123" s="57">
        <v>50099319</v>
      </c>
      <c r="B123" s="57" t="s">
        <v>172</v>
      </c>
      <c r="C123" s="57">
        <v>50099318</v>
      </c>
      <c r="D123" s="57" t="s">
        <v>851</v>
      </c>
      <c r="E123" s="57">
        <v>50082184</v>
      </c>
      <c r="F123" s="57" t="s">
        <v>517</v>
      </c>
      <c r="G123" s="57">
        <v>3.577</v>
      </c>
      <c r="H123" s="57">
        <v>50082194</v>
      </c>
      <c r="I123" s="57" t="s">
        <v>1365</v>
      </c>
      <c r="J123" s="57">
        <v>7.2999999999999995E-2</v>
      </c>
      <c r="L123">
        <v>50082380</v>
      </c>
      <c r="M123" t="s">
        <v>1715</v>
      </c>
      <c r="N123">
        <v>50082180</v>
      </c>
      <c r="O123" t="s">
        <v>721</v>
      </c>
      <c r="U123">
        <v>50083097</v>
      </c>
      <c r="V123" t="s">
        <v>1720</v>
      </c>
      <c r="W123">
        <v>50082177</v>
      </c>
      <c r="X123" t="s">
        <v>718</v>
      </c>
      <c r="Y123">
        <f>VLOOKUP(W123,Sheet2!A:D,3,0)</f>
        <v>50082181</v>
      </c>
      <c r="Z123" t="str">
        <f>VLOOKUP(W123,Sheet2!A:D,4,0)</f>
        <v>PPHP: COPYLENE CH120LN</v>
      </c>
    </row>
    <row r="124" spans="1:26" ht="15">
      <c r="A124" s="57">
        <v>50099320</v>
      </c>
      <c r="B124" s="57" t="s">
        <v>1478</v>
      </c>
      <c r="C124" s="57">
        <v>50099318</v>
      </c>
      <c r="D124" s="57" t="s">
        <v>851</v>
      </c>
      <c r="E124" s="57">
        <v>50082184</v>
      </c>
      <c r="F124" s="57" t="s">
        <v>517</v>
      </c>
      <c r="G124" s="57">
        <v>3.577</v>
      </c>
      <c r="H124" s="57">
        <v>50082194</v>
      </c>
      <c r="I124" s="57" t="s">
        <v>1365</v>
      </c>
      <c r="J124" s="57">
        <v>7.2999999999999995E-2</v>
      </c>
      <c r="L124">
        <v>50082380</v>
      </c>
      <c r="M124" t="s">
        <v>1715</v>
      </c>
      <c r="N124">
        <v>50082363</v>
      </c>
      <c r="O124" t="s">
        <v>736</v>
      </c>
      <c r="U124">
        <v>50083335</v>
      </c>
      <c r="V124" t="s">
        <v>1721</v>
      </c>
      <c r="W124">
        <v>50081997</v>
      </c>
      <c r="X124" t="s">
        <v>664</v>
      </c>
      <c r="Y124">
        <f>VLOOKUP(W124,Sheet2!A:D,3,0)</f>
        <v>50082181</v>
      </c>
      <c r="Z124" t="str">
        <f>VLOOKUP(W124,Sheet2!A:D,4,0)</f>
        <v>PPHP: COPYLENE CH120LN</v>
      </c>
    </row>
    <row r="125" spans="1:26" ht="15">
      <c r="A125" s="57">
        <v>50099595</v>
      </c>
      <c r="B125" s="57" t="s">
        <v>1479</v>
      </c>
      <c r="C125" s="57">
        <v>50099594</v>
      </c>
      <c r="D125" s="57" t="s">
        <v>855</v>
      </c>
      <c r="E125" s="57">
        <v>50082183</v>
      </c>
      <c r="F125" s="57" t="s">
        <v>515</v>
      </c>
      <c r="G125" s="57">
        <v>3.5491000000000001</v>
      </c>
      <c r="H125" s="57">
        <v>50082194</v>
      </c>
      <c r="I125" s="57" t="s">
        <v>1365</v>
      </c>
      <c r="J125" s="57">
        <v>7.2400000000000006E-2</v>
      </c>
      <c r="L125">
        <v>50082413</v>
      </c>
      <c r="M125" t="s">
        <v>1716</v>
      </c>
      <c r="N125">
        <v>50082179</v>
      </c>
      <c r="O125" t="s">
        <v>720</v>
      </c>
      <c r="U125">
        <v>50083335</v>
      </c>
      <c r="V125" t="s">
        <v>1721</v>
      </c>
      <c r="W125">
        <v>50082145</v>
      </c>
      <c r="X125" t="s">
        <v>710</v>
      </c>
      <c r="Y125">
        <f>VLOOKUP(W125,Sheet2!A:D,3,0)</f>
        <v>50082181</v>
      </c>
      <c r="Z125" t="str">
        <f>VLOOKUP(W125,Sheet2!A:D,4,0)</f>
        <v>PPHP: COPYLENE CH120LN</v>
      </c>
    </row>
    <row r="126" spans="1:26" ht="15">
      <c r="A126" s="57">
        <v>50099596</v>
      </c>
      <c r="B126" s="57" t="s">
        <v>1480</v>
      </c>
      <c r="C126" s="57">
        <v>50099594</v>
      </c>
      <c r="D126" s="57" t="s">
        <v>855</v>
      </c>
      <c r="E126" s="57">
        <v>50082183</v>
      </c>
      <c r="F126" s="57" t="s">
        <v>515</v>
      </c>
      <c r="G126" s="57">
        <v>3.5491000000000001</v>
      </c>
      <c r="H126" s="57">
        <v>50082194</v>
      </c>
      <c r="I126" s="57" t="s">
        <v>1365</v>
      </c>
      <c r="J126" s="57">
        <v>7.2400000000000006E-2</v>
      </c>
      <c r="L126">
        <v>50082413</v>
      </c>
      <c r="M126" t="s">
        <v>1716</v>
      </c>
      <c r="N126">
        <v>50082180</v>
      </c>
      <c r="O126" t="s">
        <v>721</v>
      </c>
      <c r="U126">
        <v>50083347</v>
      </c>
      <c r="V126" t="s">
        <v>1722</v>
      </c>
      <c r="W126">
        <v>50081995</v>
      </c>
      <c r="X126" t="s">
        <v>662</v>
      </c>
      <c r="Y126">
        <f>VLOOKUP(W126,Sheet2!A:D,3,0)</f>
        <v>50082181</v>
      </c>
      <c r="Z126" t="str">
        <f>VLOOKUP(W126,Sheet2!A:D,4,0)</f>
        <v>PPHP: COPYLENE CH120LN</v>
      </c>
    </row>
    <row r="127" spans="1:26" ht="15">
      <c r="A127" s="57">
        <v>50099836</v>
      </c>
      <c r="B127" s="57" t="s">
        <v>1481</v>
      </c>
      <c r="C127" s="57">
        <v>50099823</v>
      </c>
      <c r="D127" s="57" t="s">
        <v>856</v>
      </c>
      <c r="E127" s="57">
        <v>50082183</v>
      </c>
      <c r="F127" s="57" t="s">
        <v>515</v>
      </c>
      <c r="G127" s="57">
        <v>3.5491000000000001</v>
      </c>
      <c r="H127" s="57">
        <v>50082194</v>
      </c>
      <c r="I127" s="57" t="s">
        <v>1365</v>
      </c>
      <c r="J127" s="57">
        <v>7.2400000000000006E-2</v>
      </c>
      <c r="L127">
        <v>50083094</v>
      </c>
      <c r="M127" t="s">
        <v>1717</v>
      </c>
      <c r="N127">
        <v>50082179</v>
      </c>
      <c r="O127" t="s">
        <v>720</v>
      </c>
      <c r="U127">
        <v>50083347</v>
      </c>
      <c r="V127" t="s">
        <v>1722</v>
      </c>
      <c r="W127">
        <v>50082144</v>
      </c>
      <c r="X127" t="s">
        <v>709</v>
      </c>
      <c r="Y127">
        <f>VLOOKUP(W127,Sheet2!A:D,3,0)</f>
        <v>50082181</v>
      </c>
      <c r="Z127" t="str">
        <f>VLOOKUP(W127,Sheet2!A:D,4,0)</f>
        <v>PPHP: COPYLENE CH120LN</v>
      </c>
    </row>
    <row r="128" spans="1:26" ht="15">
      <c r="A128" s="57">
        <v>50099837</v>
      </c>
      <c r="B128" s="57" t="s">
        <v>1482</v>
      </c>
      <c r="C128" s="57">
        <v>50099823</v>
      </c>
      <c r="D128" s="57" t="s">
        <v>856</v>
      </c>
      <c r="E128" s="57">
        <v>50082183</v>
      </c>
      <c r="F128" s="57" t="s">
        <v>515</v>
      </c>
      <c r="G128" s="57">
        <v>3.5491000000000001</v>
      </c>
      <c r="H128" s="57">
        <v>50082194</v>
      </c>
      <c r="I128" s="57" t="s">
        <v>1365</v>
      </c>
      <c r="J128" s="57">
        <v>7.2400000000000006E-2</v>
      </c>
      <c r="L128">
        <v>50083094</v>
      </c>
      <c r="M128" t="s">
        <v>1717</v>
      </c>
      <c r="N128">
        <v>50082180</v>
      </c>
      <c r="O128" t="s">
        <v>721</v>
      </c>
      <c r="U128">
        <v>50090476</v>
      </c>
      <c r="V128" t="s">
        <v>1723</v>
      </c>
      <c r="W128">
        <v>50082144</v>
      </c>
      <c r="X128" t="s">
        <v>709</v>
      </c>
      <c r="Y128">
        <f>VLOOKUP(W128,Sheet2!A:D,3,0)</f>
        <v>50082181</v>
      </c>
      <c r="Z128" t="str">
        <f>VLOOKUP(W128,Sheet2!A:D,4,0)</f>
        <v>PPHP: COPYLENE CH120LN</v>
      </c>
    </row>
    <row r="129" spans="1:26" ht="15">
      <c r="A129" s="57">
        <v>50100192</v>
      </c>
      <c r="B129" s="57" t="s">
        <v>1483</v>
      </c>
      <c r="C129" s="57">
        <v>50098294</v>
      </c>
      <c r="D129" s="57" t="s">
        <v>837</v>
      </c>
      <c r="E129" s="57">
        <v>50082184</v>
      </c>
      <c r="F129" s="57" t="s">
        <v>517</v>
      </c>
      <c r="G129" s="57">
        <v>2.8</v>
      </c>
      <c r="H129" s="57" t="s">
        <v>1359</v>
      </c>
      <c r="I129" s="57" t="s">
        <v>1359</v>
      </c>
      <c r="J129" s="57" t="s">
        <v>1359</v>
      </c>
      <c r="L129">
        <v>50083095</v>
      </c>
      <c r="M129" t="s">
        <v>1718</v>
      </c>
      <c r="N129">
        <v>50082179</v>
      </c>
      <c r="O129" t="s">
        <v>720</v>
      </c>
      <c r="U129">
        <v>50090476</v>
      </c>
      <c r="V129" t="s">
        <v>1723</v>
      </c>
      <c r="W129">
        <v>50082177</v>
      </c>
      <c r="X129" t="s">
        <v>718</v>
      </c>
      <c r="Y129">
        <f>VLOOKUP(W129,Sheet2!A:D,3,0)</f>
        <v>50082181</v>
      </c>
      <c r="Z129" t="str">
        <f>VLOOKUP(W129,Sheet2!A:D,4,0)</f>
        <v>PPHP: COPYLENE CH120LN</v>
      </c>
    </row>
    <row r="130" spans="1:26" ht="15">
      <c r="A130" s="57">
        <v>50100193</v>
      </c>
      <c r="B130" s="57" t="s">
        <v>1484</v>
      </c>
      <c r="C130" s="57">
        <v>50098294</v>
      </c>
      <c r="D130" s="57" t="s">
        <v>837</v>
      </c>
      <c r="E130" s="57">
        <v>50082184</v>
      </c>
      <c r="F130" s="57" t="s">
        <v>517</v>
      </c>
      <c r="G130" s="57">
        <v>2.8</v>
      </c>
      <c r="H130" s="57" t="s">
        <v>1359</v>
      </c>
      <c r="I130" s="57" t="s">
        <v>1359</v>
      </c>
      <c r="J130" s="57" t="s">
        <v>1359</v>
      </c>
      <c r="L130">
        <v>50083095</v>
      </c>
      <c r="M130" t="s">
        <v>1718</v>
      </c>
      <c r="N130">
        <v>50082180</v>
      </c>
      <c r="O130" t="s">
        <v>721</v>
      </c>
      <c r="U130">
        <v>50092291</v>
      </c>
      <c r="V130" t="s">
        <v>1724</v>
      </c>
      <c r="W130">
        <v>50082145</v>
      </c>
      <c r="X130" t="s">
        <v>710</v>
      </c>
      <c r="Y130">
        <f>VLOOKUP(W130,Sheet2!A:D,3,0)</f>
        <v>50082181</v>
      </c>
      <c r="Z130" t="str">
        <f>VLOOKUP(W130,Sheet2!A:D,4,0)</f>
        <v>PPHP: COPYLENE CH120LN</v>
      </c>
    </row>
    <row r="131" spans="1:26" ht="15">
      <c r="A131" s="57">
        <v>50101726</v>
      </c>
      <c r="B131" s="57" t="s">
        <v>245</v>
      </c>
      <c r="C131" s="57">
        <v>50101725</v>
      </c>
      <c r="D131" s="57" t="s">
        <v>887</v>
      </c>
      <c r="E131" s="57">
        <v>50082184</v>
      </c>
      <c r="F131" s="57" t="s">
        <v>517</v>
      </c>
      <c r="G131" s="57">
        <v>2.8714</v>
      </c>
      <c r="H131" s="57">
        <v>50081598</v>
      </c>
      <c r="I131" s="57" t="s">
        <v>1469</v>
      </c>
      <c r="J131" s="57">
        <v>5.8599999999999999E-2</v>
      </c>
      <c r="L131">
        <v>50083096</v>
      </c>
      <c r="M131" t="s">
        <v>1719</v>
      </c>
      <c r="N131">
        <v>50082145</v>
      </c>
      <c r="O131" t="s">
        <v>710</v>
      </c>
      <c r="U131">
        <v>50092291</v>
      </c>
      <c r="V131" t="s">
        <v>1724</v>
      </c>
      <c r="W131">
        <v>50082178</v>
      </c>
      <c r="X131" t="s">
        <v>719</v>
      </c>
      <c r="Y131">
        <f>VLOOKUP(W131,Sheet2!A:D,3,0)</f>
        <v>50082181</v>
      </c>
      <c r="Z131" t="str">
        <f>VLOOKUP(W131,Sheet2!A:D,4,0)</f>
        <v>PPHP: COPYLENE CH120LN</v>
      </c>
    </row>
    <row r="132" spans="1:26" ht="15">
      <c r="A132" s="57">
        <v>50101727</v>
      </c>
      <c r="B132" s="57" t="s">
        <v>1485</v>
      </c>
      <c r="C132" s="57">
        <v>50101725</v>
      </c>
      <c r="D132" s="57" t="s">
        <v>887</v>
      </c>
      <c r="E132" s="57">
        <v>50082184</v>
      </c>
      <c r="F132" s="57" t="s">
        <v>517</v>
      </c>
      <c r="G132" s="57">
        <v>2.8714</v>
      </c>
      <c r="H132" s="57">
        <v>50081598</v>
      </c>
      <c r="I132" s="57" t="s">
        <v>1469</v>
      </c>
      <c r="J132" s="57">
        <v>5.8599999999999999E-2</v>
      </c>
      <c r="L132">
        <v>50083096</v>
      </c>
      <c r="M132" t="s">
        <v>1719</v>
      </c>
      <c r="N132">
        <v>50082178</v>
      </c>
      <c r="O132" t="s">
        <v>719</v>
      </c>
      <c r="U132">
        <v>50092782</v>
      </c>
      <c r="V132" t="s">
        <v>1726</v>
      </c>
      <c r="W132">
        <v>50082145</v>
      </c>
      <c r="X132" t="s">
        <v>710</v>
      </c>
      <c r="Y132">
        <f>VLOOKUP(W132,Sheet2!A:D,3,0)</f>
        <v>50082181</v>
      </c>
      <c r="Z132" t="str">
        <f>VLOOKUP(W132,Sheet2!A:D,4,0)</f>
        <v>PPHP: COPYLENE CH120LN</v>
      </c>
    </row>
    <row r="133" spans="1:26" ht="15">
      <c r="A133" s="57">
        <v>50101733</v>
      </c>
      <c r="B133" s="57" t="s">
        <v>247</v>
      </c>
      <c r="C133" s="57">
        <v>50101732</v>
      </c>
      <c r="D133" s="57" t="s">
        <v>888</v>
      </c>
      <c r="E133" s="57">
        <v>50082184</v>
      </c>
      <c r="F133" s="57" t="s">
        <v>517</v>
      </c>
      <c r="G133" s="57">
        <v>0.60860000000000003</v>
      </c>
      <c r="H133" s="57">
        <v>50081598</v>
      </c>
      <c r="I133" s="57" t="s">
        <v>1469</v>
      </c>
      <c r="J133" s="57">
        <v>1.24E-2</v>
      </c>
      <c r="L133">
        <v>50083097</v>
      </c>
      <c r="M133" t="s">
        <v>1720</v>
      </c>
      <c r="N133">
        <v>50082144</v>
      </c>
      <c r="O133" t="s">
        <v>709</v>
      </c>
      <c r="U133">
        <v>50092782</v>
      </c>
      <c r="V133" t="s">
        <v>1726</v>
      </c>
      <c r="W133">
        <v>50082178</v>
      </c>
      <c r="X133" t="s">
        <v>719</v>
      </c>
      <c r="Y133">
        <f>VLOOKUP(W133,Sheet2!A:D,3,0)</f>
        <v>50082181</v>
      </c>
      <c r="Z133" t="str">
        <f>VLOOKUP(W133,Sheet2!A:D,4,0)</f>
        <v>PPHP: COPYLENE CH120LN</v>
      </c>
    </row>
    <row r="134" spans="1:26" ht="15">
      <c r="A134" s="57">
        <v>50101734</v>
      </c>
      <c r="B134" s="57" t="s">
        <v>1486</v>
      </c>
      <c r="C134" s="57">
        <v>50101732</v>
      </c>
      <c r="D134" s="57" t="s">
        <v>888</v>
      </c>
      <c r="E134" s="57">
        <v>50082184</v>
      </c>
      <c r="F134" s="57" t="s">
        <v>517</v>
      </c>
      <c r="G134" s="57">
        <v>0.60860000000000003</v>
      </c>
      <c r="H134" s="57">
        <v>50081598</v>
      </c>
      <c r="I134" s="57" t="s">
        <v>1469</v>
      </c>
      <c r="J134" s="57">
        <v>1.24E-2</v>
      </c>
      <c r="L134">
        <v>50083097</v>
      </c>
      <c r="M134" t="s">
        <v>1720</v>
      </c>
      <c r="N134">
        <v>50082177</v>
      </c>
      <c r="O134" t="s">
        <v>718</v>
      </c>
      <c r="U134">
        <v>50093304</v>
      </c>
      <c r="V134" t="s">
        <v>1727</v>
      </c>
      <c r="W134">
        <v>50082144</v>
      </c>
      <c r="X134" t="s">
        <v>709</v>
      </c>
      <c r="Y134">
        <f>VLOOKUP(W134,Sheet2!A:D,3,0)</f>
        <v>50082181</v>
      </c>
      <c r="Z134" t="str">
        <f>VLOOKUP(W134,Sheet2!A:D,4,0)</f>
        <v>PPHP: COPYLENE CH120LN</v>
      </c>
    </row>
    <row r="135" spans="1:26" ht="15">
      <c r="A135" s="57">
        <v>50101921</v>
      </c>
      <c r="B135" s="57" t="s">
        <v>1487</v>
      </c>
      <c r="C135" s="57">
        <v>50101920</v>
      </c>
      <c r="D135" s="57" t="s">
        <v>889</v>
      </c>
      <c r="E135" s="57">
        <v>50108558</v>
      </c>
      <c r="F135" s="57" t="s">
        <v>875</v>
      </c>
      <c r="G135" s="57">
        <v>6.3383000000000003</v>
      </c>
      <c r="H135" s="57">
        <v>50081420</v>
      </c>
      <c r="I135" s="57" t="s">
        <v>1397</v>
      </c>
      <c r="J135" s="57">
        <v>0.39829999999999999</v>
      </c>
      <c r="L135">
        <v>50083335</v>
      </c>
      <c r="M135" t="s">
        <v>1721</v>
      </c>
      <c r="N135">
        <v>50081997</v>
      </c>
      <c r="O135" t="s">
        <v>664</v>
      </c>
      <c r="U135">
        <v>50093304</v>
      </c>
      <c r="V135" t="s">
        <v>1727</v>
      </c>
      <c r="W135">
        <v>50082177</v>
      </c>
      <c r="X135" t="s">
        <v>718</v>
      </c>
      <c r="Y135">
        <f>VLOOKUP(W135,Sheet2!A:D,3,0)</f>
        <v>50082181</v>
      </c>
      <c r="Z135" t="str">
        <f>VLOOKUP(W135,Sheet2!A:D,4,0)</f>
        <v>PPHP: COPYLENE CH120LN</v>
      </c>
    </row>
    <row r="136" spans="1:26" ht="15">
      <c r="A136" s="57">
        <v>50101922</v>
      </c>
      <c r="B136" s="57" t="s">
        <v>1488</v>
      </c>
      <c r="C136" s="57">
        <v>50101920</v>
      </c>
      <c r="D136" s="57" t="s">
        <v>889</v>
      </c>
      <c r="E136" s="57">
        <v>50108558</v>
      </c>
      <c r="F136" s="57" t="s">
        <v>875</v>
      </c>
      <c r="G136" s="57">
        <v>6.3383000000000003</v>
      </c>
      <c r="H136" s="57">
        <v>50081420</v>
      </c>
      <c r="I136" s="57" t="s">
        <v>1397</v>
      </c>
      <c r="J136" s="57">
        <v>0.39829999999999999</v>
      </c>
      <c r="L136">
        <v>50083335</v>
      </c>
      <c r="M136" t="s">
        <v>1721</v>
      </c>
      <c r="N136">
        <v>50082145</v>
      </c>
      <c r="O136" t="s">
        <v>710</v>
      </c>
      <c r="U136">
        <v>50093371</v>
      </c>
      <c r="V136" t="s">
        <v>1728</v>
      </c>
      <c r="W136">
        <v>50082145</v>
      </c>
      <c r="X136" t="s">
        <v>710</v>
      </c>
      <c r="Y136">
        <f>VLOOKUP(W136,Sheet2!A:D,3,0)</f>
        <v>50082181</v>
      </c>
      <c r="Z136" t="str">
        <f>VLOOKUP(W136,Sheet2!A:D,4,0)</f>
        <v>PPHP: COPYLENE CH120LN</v>
      </c>
    </row>
    <row r="137" spans="1:26" ht="15">
      <c r="A137" s="57">
        <v>50101977</v>
      </c>
      <c r="B137" s="57" t="s">
        <v>1489</v>
      </c>
      <c r="C137" s="57">
        <v>50101976</v>
      </c>
      <c r="D137" s="57" t="s">
        <v>1449</v>
      </c>
      <c r="E137" s="57">
        <v>50082198</v>
      </c>
      <c r="F137" s="57" t="s">
        <v>1358</v>
      </c>
      <c r="G137" s="57">
        <v>2.8420000000000001</v>
      </c>
      <c r="H137" s="57">
        <v>50082194</v>
      </c>
      <c r="I137" s="57" t="s">
        <v>1365</v>
      </c>
      <c r="J137" s="57">
        <v>5.8000000000000003E-2</v>
      </c>
      <c r="L137">
        <v>50083347</v>
      </c>
      <c r="M137" t="s">
        <v>1722</v>
      </c>
      <c r="N137">
        <v>50081995</v>
      </c>
      <c r="O137" t="s">
        <v>662</v>
      </c>
      <c r="U137">
        <v>50093371</v>
      </c>
      <c r="V137" t="s">
        <v>1728</v>
      </c>
      <c r="W137">
        <v>50082178</v>
      </c>
      <c r="X137" t="s">
        <v>719</v>
      </c>
      <c r="Y137">
        <f>VLOOKUP(W137,Sheet2!A:D,3,0)</f>
        <v>50082181</v>
      </c>
      <c r="Z137" t="str">
        <f>VLOOKUP(W137,Sheet2!A:D,4,0)</f>
        <v>PPHP: COPYLENE CH120LN</v>
      </c>
    </row>
    <row r="138" spans="1:26" ht="15">
      <c r="A138" s="57">
        <v>50101978</v>
      </c>
      <c r="B138" s="57" t="s">
        <v>1490</v>
      </c>
      <c r="C138" s="57">
        <v>50101976</v>
      </c>
      <c r="D138" s="57" t="s">
        <v>1449</v>
      </c>
      <c r="E138" s="57">
        <v>50082198</v>
      </c>
      <c r="F138" s="57" t="s">
        <v>1358</v>
      </c>
      <c r="G138" s="57">
        <v>2.8420000000000001</v>
      </c>
      <c r="H138" s="57">
        <v>50082194</v>
      </c>
      <c r="I138" s="57" t="s">
        <v>1365</v>
      </c>
      <c r="J138" s="57">
        <v>5.8000000000000003E-2</v>
      </c>
      <c r="L138">
        <v>50083347</v>
      </c>
      <c r="M138" t="s">
        <v>1722</v>
      </c>
      <c r="N138">
        <v>50082144</v>
      </c>
      <c r="O138" t="s">
        <v>709</v>
      </c>
      <c r="U138">
        <v>50096967</v>
      </c>
      <c r="V138" t="s">
        <v>1729</v>
      </c>
      <c r="W138">
        <v>50082179</v>
      </c>
      <c r="X138" t="s">
        <v>720</v>
      </c>
      <c r="Y138">
        <f>VLOOKUP(W138,Sheet2!A:D,3,0)</f>
        <v>50082181</v>
      </c>
      <c r="Z138" t="str">
        <f>VLOOKUP(W138,Sheet2!A:D,4,0)</f>
        <v>PPHP: COPYLENE CH120LN</v>
      </c>
    </row>
    <row r="139" spans="1:26" ht="15">
      <c r="A139" s="57">
        <v>50101983</v>
      </c>
      <c r="B139" s="57" t="s">
        <v>1491</v>
      </c>
      <c r="C139" s="57">
        <v>50101982</v>
      </c>
      <c r="D139" s="57" t="s">
        <v>1492</v>
      </c>
      <c r="E139" s="57">
        <v>50108558</v>
      </c>
      <c r="F139" s="57" t="s">
        <v>875</v>
      </c>
      <c r="G139" s="57">
        <v>0.621</v>
      </c>
      <c r="H139" s="57" t="s">
        <v>1359</v>
      </c>
      <c r="I139" s="57" t="s">
        <v>1359</v>
      </c>
      <c r="J139" s="57" t="s">
        <v>1359</v>
      </c>
      <c r="L139">
        <v>50090476</v>
      </c>
      <c r="M139" t="s">
        <v>1723</v>
      </c>
      <c r="N139">
        <v>50082144</v>
      </c>
      <c r="O139" t="s">
        <v>709</v>
      </c>
      <c r="U139">
        <v>50096967</v>
      </c>
      <c r="V139" t="s">
        <v>1729</v>
      </c>
      <c r="W139">
        <v>50082180</v>
      </c>
      <c r="X139" t="s">
        <v>721</v>
      </c>
      <c r="Y139">
        <f>VLOOKUP(W139,Sheet2!A:D,3,0)</f>
        <v>50082181</v>
      </c>
      <c r="Z139" t="str">
        <f>VLOOKUP(W139,Sheet2!A:D,4,0)</f>
        <v>PPHP: COPYLENE CH120LN</v>
      </c>
    </row>
    <row r="140" spans="1:26" ht="15">
      <c r="A140" s="57">
        <v>50101984</v>
      </c>
      <c r="B140" s="57" t="s">
        <v>1493</v>
      </c>
      <c r="C140" s="57">
        <v>50101982</v>
      </c>
      <c r="D140" s="57" t="s">
        <v>1492</v>
      </c>
      <c r="E140" s="57">
        <v>50108558</v>
      </c>
      <c r="F140" s="57" t="s">
        <v>875</v>
      </c>
      <c r="G140" s="57">
        <v>0.621</v>
      </c>
      <c r="H140" s="57" t="s">
        <v>1359</v>
      </c>
      <c r="I140" s="57" t="s">
        <v>1359</v>
      </c>
      <c r="J140" s="57" t="s">
        <v>1359</v>
      </c>
      <c r="L140">
        <v>50090476</v>
      </c>
      <c r="M140" t="s">
        <v>1723</v>
      </c>
      <c r="N140">
        <v>50082177</v>
      </c>
      <c r="O140" t="s">
        <v>718</v>
      </c>
      <c r="U140">
        <v>50096994</v>
      </c>
      <c r="V140" t="s">
        <v>1730</v>
      </c>
      <c r="W140">
        <v>50082179</v>
      </c>
      <c r="X140" t="s">
        <v>720</v>
      </c>
      <c r="Y140">
        <f>VLOOKUP(W140,Sheet2!A:D,3,0)</f>
        <v>50082181</v>
      </c>
      <c r="Z140" t="str">
        <f>VLOOKUP(W140,Sheet2!A:D,4,0)</f>
        <v>PPHP: COPYLENE CH120LN</v>
      </c>
    </row>
    <row r="141" spans="1:26" ht="15">
      <c r="A141" s="57">
        <v>50102041</v>
      </c>
      <c r="B141" s="57" t="s">
        <v>1494</v>
      </c>
      <c r="C141" s="57">
        <v>50102040</v>
      </c>
      <c r="D141" s="57" t="s">
        <v>1495</v>
      </c>
      <c r="E141" s="57">
        <v>50108558</v>
      </c>
      <c r="F141" s="57" t="s">
        <v>875</v>
      </c>
      <c r="G141" s="57">
        <v>3.4706999999999999</v>
      </c>
      <c r="H141" s="57">
        <v>50082194</v>
      </c>
      <c r="I141" s="57" t="s">
        <v>1365</v>
      </c>
      <c r="J141" s="57">
        <v>7.0800000000000002E-2</v>
      </c>
      <c r="L141">
        <v>50092291</v>
      </c>
      <c r="M141" t="s">
        <v>1724</v>
      </c>
      <c r="N141">
        <v>50082145</v>
      </c>
      <c r="O141" t="s">
        <v>710</v>
      </c>
      <c r="U141">
        <v>50096994</v>
      </c>
      <c r="V141" t="s">
        <v>1730</v>
      </c>
      <c r="W141">
        <v>50082180</v>
      </c>
      <c r="X141" t="s">
        <v>721</v>
      </c>
      <c r="Y141">
        <f>VLOOKUP(W141,Sheet2!A:D,3,0)</f>
        <v>50082181</v>
      </c>
      <c r="Z141" t="str">
        <f>VLOOKUP(W141,Sheet2!A:D,4,0)</f>
        <v>PPHP: COPYLENE CH120LN</v>
      </c>
    </row>
    <row r="142" spans="1:26" ht="15">
      <c r="A142" s="57">
        <v>50102042</v>
      </c>
      <c r="B142" s="57" t="s">
        <v>1496</v>
      </c>
      <c r="C142" s="57">
        <v>50102040</v>
      </c>
      <c r="D142" s="57" t="s">
        <v>1495</v>
      </c>
      <c r="E142" s="57">
        <v>50108558</v>
      </c>
      <c r="F142" s="57" t="s">
        <v>875</v>
      </c>
      <c r="G142" s="57">
        <v>3.4706999999999999</v>
      </c>
      <c r="H142" s="57">
        <v>50082194</v>
      </c>
      <c r="I142" s="57" t="s">
        <v>1365</v>
      </c>
      <c r="J142" s="57">
        <v>7.0800000000000002E-2</v>
      </c>
      <c r="L142">
        <v>50092291</v>
      </c>
      <c r="M142" t="s">
        <v>1724</v>
      </c>
      <c r="N142">
        <v>50082178</v>
      </c>
      <c r="O142" t="s">
        <v>719</v>
      </c>
      <c r="U142">
        <v>50097506</v>
      </c>
      <c r="V142" t="s">
        <v>1728</v>
      </c>
      <c r="W142">
        <v>50082145</v>
      </c>
      <c r="X142" t="s">
        <v>710</v>
      </c>
      <c r="Y142">
        <f>VLOOKUP(W142,Sheet2!A:D,3,0)</f>
        <v>50082181</v>
      </c>
      <c r="Z142" t="str">
        <f>VLOOKUP(W142,Sheet2!A:D,4,0)</f>
        <v>PPHP: COPYLENE CH120LN</v>
      </c>
    </row>
    <row r="143" spans="1:26" ht="15">
      <c r="A143" s="57">
        <v>50102098</v>
      </c>
      <c r="B143" s="57" t="s">
        <v>1497</v>
      </c>
      <c r="C143" s="57">
        <v>50102097</v>
      </c>
      <c r="D143" s="57" t="s">
        <v>898</v>
      </c>
      <c r="E143" s="57">
        <v>50108558</v>
      </c>
      <c r="F143" s="57" t="s">
        <v>875</v>
      </c>
      <c r="G143" s="57">
        <v>2.8239999999999998</v>
      </c>
      <c r="H143" s="57" t="s">
        <v>1359</v>
      </c>
      <c r="I143" s="57" t="s">
        <v>1359</v>
      </c>
      <c r="J143" s="57" t="s">
        <v>1359</v>
      </c>
      <c r="L143">
        <v>50092521</v>
      </c>
      <c r="M143" t="s">
        <v>1725</v>
      </c>
      <c r="N143">
        <v>50092519</v>
      </c>
      <c r="O143" t="s">
        <v>779</v>
      </c>
      <c r="U143">
        <v>50097506</v>
      </c>
      <c r="V143" t="s">
        <v>1728</v>
      </c>
      <c r="W143">
        <v>50082178</v>
      </c>
      <c r="X143" t="s">
        <v>719</v>
      </c>
      <c r="Y143">
        <f>VLOOKUP(W143,Sheet2!A:D,3,0)</f>
        <v>50082181</v>
      </c>
      <c r="Z143" t="str">
        <f>VLOOKUP(W143,Sheet2!A:D,4,0)</f>
        <v>PPHP: COPYLENE CH120LN</v>
      </c>
    </row>
    <row r="144" spans="1:26" ht="15">
      <c r="A144" s="57">
        <v>50102099</v>
      </c>
      <c r="B144" s="57" t="s">
        <v>1498</v>
      </c>
      <c r="C144" s="57">
        <v>50102097</v>
      </c>
      <c r="D144" s="57" t="s">
        <v>898</v>
      </c>
      <c r="E144" s="57">
        <v>50108558</v>
      </c>
      <c r="F144" s="57" t="s">
        <v>875</v>
      </c>
      <c r="G144" s="57">
        <v>2.8239999999999998</v>
      </c>
      <c r="H144" s="57" t="s">
        <v>1359</v>
      </c>
      <c r="I144" s="57" t="s">
        <v>1359</v>
      </c>
      <c r="J144" s="57" t="s">
        <v>1359</v>
      </c>
      <c r="L144">
        <v>50092782</v>
      </c>
      <c r="M144" t="s">
        <v>1726</v>
      </c>
      <c r="N144">
        <v>50082145</v>
      </c>
      <c r="O144" t="s">
        <v>710</v>
      </c>
      <c r="U144">
        <v>50099232</v>
      </c>
      <c r="V144" t="s">
        <v>1732</v>
      </c>
      <c r="W144">
        <v>50082179</v>
      </c>
      <c r="X144" t="s">
        <v>720</v>
      </c>
      <c r="Y144">
        <f>VLOOKUP(W144,Sheet2!A:D,3,0)</f>
        <v>50082181</v>
      </c>
      <c r="Z144" t="str">
        <f>VLOOKUP(W144,Sheet2!A:D,4,0)</f>
        <v>PPHP: COPYLENE CH120LN</v>
      </c>
    </row>
    <row r="145" spans="1:26" ht="15">
      <c r="A145" s="57">
        <v>50102101</v>
      </c>
      <c r="B145" s="57" t="s">
        <v>1499</v>
      </c>
      <c r="C145" s="57">
        <v>50102100</v>
      </c>
      <c r="D145" s="57" t="s">
        <v>1500</v>
      </c>
      <c r="E145" s="57">
        <v>50108558</v>
      </c>
      <c r="F145" s="57" t="s">
        <v>875</v>
      </c>
      <c r="G145" s="57">
        <v>0.56059999999999999</v>
      </c>
      <c r="H145" s="57">
        <v>50082194</v>
      </c>
      <c r="I145" s="57" t="s">
        <v>1365</v>
      </c>
      <c r="J145" s="57">
        <v>1.14E-2</v>
      </c>
      <c r="L145">
        <v>50092782</v>
      </c>
      <c r="M145" t="s">
        <v>1726</v>
      </c>
      <c r="N145">
        <v>50082178</v>
      </c>
      <c r="O145" t="s">
        <v>719</v>
      </c>
      <c r="U145">
        <v>50099232</v>
      </c>
      <c r="V145" t="s">
        <v>1732</v>
      </c>
      <c r="W145">
        <v>50082180</v>
      </c>
      <c r="X145" t="s">
        <v>721</v>
      </c>
      <c r="Y145">
        <f>VLOOKUP(W145,Sheet2!A:D,3,0)</f>
        <v>50082181</v>
      </c>
      <c r="Z145" t="str">
        <f>VLOOKUP(W145,Sheet2!A:D,4,0)</f>
        <v>PPHP: COPYLENE CH120LN</v>
      </c>
    </row>
    <row r="146" spans="1:26" ht="15">
      <c r="A146" s="57">
        <v>50102102</v>
      </c>
      <c r="B146" s="57" t="s">
        <v>1501</v>
      </c>
      <c r="C146" s="57">
        <v>50102100</v>
      </c>
      <c r="D146" s="57" t="s">
        <v>1500</v>
      </c>
      <c r="E146" s="57">
        <v>50108558</v>
      </c>
      <c r="F146" s="57" t="s">
        <v>875</v>
      </c>
      <c r="G146" s="57">
        <v>0.56059999999999999</v>
      </c>
      <c r="H146" s="57">
        <v>50082194</v>
      </c>
      <c r="I146" s="57" t="s">
        <v>1365</v>
      </c>
      <c r="J146" s="57">
        <v>1.14E-2</v>
      </c>
      <c r="L146">
        <v>50093304</v>
      </c>
      <c r="M146" t="s">
        <v>1727</v>
      </c>
      <c r="N146">
        <v>50082144</v>
      </c>
      <c r="O146" t="s">
        <v>709</v>
      </c>
      <c r="U146">
        <v>50100016</v>
      </c>
      <c r="V146" t="s">
        <v>1733</v>
      </c>
      <c r="W146">
        <v>50082179</v>
      </c>
      <c r="X146" t="s">
        <v>720</v>
      </c>
      <c r="Y146">
        <f>VLOOKUP(W146,Sheet2!A:D,3,0)</f>
        <v>50082181</v>
      </c>
      <c r="Z146" t="str">
        <f>VLOOKUP(W146,Sheet2!A:D,4,0)</f>
        <v>PPHP: COPYLENE CH120LN</v>
      </c>
    </row>
    <row r="147" spans="1:26" ht="15">
      <c r="A147" s="57">
        <v>50102189</v>
      </c>
      <c r="B147" s="57" t="s">
        <v>1502</v>
      </c>
      <c r="C147" s="57">
        <v>50102188</v>
      </c>
      <c r="D147" s="57" t="s">
        <v>1503</v>
      </c>
      <c r="E147" s="57">
        <v>50108558</v>
      </c>
      <c r="F147" s="57" t="s">
        <v>875</v>
      </c>
      <c r="G147" s="57">
        <v>2.8420000000000001</v>
      </c>
      <c r="H147" s="57">
        <v>50082194</v>
      </c>
      <c r="I147" s="57" t="s">
        <v>1365</v>
      </c>
      <c r="J147" s="57">
        <v>5.8000000000000003E-2</v>
      </c>
      <c r="L147">
        <v>50093304</v>
      </c>
      <c r="M147" t="s">
        <v>1727</v>
      </c>
      <c r="N147">
        <v>50082177</v>
      </c>
      <c r="O147" t="s">
        <v>718</v>
      </c>
      <c r="U147">
        <v>50100016</v>
      </c>
      <c r="V147" t="s">
        <v>1733</v>
      </c>
      <c r="W147">
        <v>50082180</v>
      </c>
      <c r="X147" t="s">
        <v>721</v>
      </c>
      <c r="Y147">
        <f>VLOOKUP(W147,Sheet2!A:D,3,0)</f>
        <v>50082181</v>
      </c>
      <c r="Z147" t="str">
        <f>VLOOKUP(W147,Sheet2!A:D,4,0)</f>
        <v>PPHP: COPYLENE CH120LN</v>
      </c>
    </row>
    <row r="148" spans="1:26" ht="15">
      <c r="A148" s="57">
        <v>50102190</v>
      </c>
      <c r="B148" s="57" t="s">
        <v>1504</v>
      </c>
      <c r="C148" s="57">
        <v>50102188</v>
      </c>
      <c r="D148" s="57" t="s">
        <v>1503</v>
      </c>
      <c r="E148" s="57">
        <v>50108558</v>
      </c>
      <c r="F148" s="57" t="s">
        <v>875</v>
      </c>
      <c r="G148" s="57">
        <v>2.8420000000000001</v>
      </c>
      <c r="H148" s="57">
        <v>50082194</v>
      </c>
      <c r="I148" s="57" t="s">
        <v>1365</v>
      </c>
      <c r="J148" s="57">
        <v>5.8000000000000003E-2</v>
      </c>
      <c r="L148">
        <v>50093371</v>
      </c>
      <c r="M148" t="s">
        <v>1728</v>
      </c>
      <c r="N148">
        <v>50082145</v>
      </c>
      <c r="O148" t="s">
        <v>710</v>
      </c>
      <c r="U148">
        <v>50100189</v>
      </c>
      <c r="V148" t="s">
        <v>1734</v>
      </c>
      <c r="W148">
        <v>50082179</v>
      </c>
      <c r="X148" t="s">
        <v>720</v>
      </c>
      <c r="Y148">
        <f>VLOOKUP(W148,Sheet2!A:D,3,0)</f>
        <v>50082181</v>
      </c>
      <c r="Z148" t="str">
        <f>VLOOKUP(W148,Sheet2!A:D,4,0)</f>
        <v>PPHP: COPYLENE CH120LN</v>
      </c>
    </row>
    <row r="149" spans="1:26" ht="15">
      <c r="A149" s="57">
        <v>50102192</v>
      </c>
      <c r="B149" s="57" t="s">
        <v>1505</v>
      </c>
      <c r="C149" s="57">
        <v>50102191</v>
      </c>
      <c r="D149" s="57" t="s">
        <v>1506</v>
      </c>
      <c r="E149" s="57">
        <v>50108558</v>
      </c>
      <c r="F149" s="57" t="s">
        <v>875</v>
      </c>
      <c r="G149" s="57">
        <v>2.8</v>
      </c>
      <c r="H149" s="57" t="s">
        <v>1359</v>
      </c>
      <c r="I149" s="57" t="s">
        <v>1359</v>
      </c>
      <c r="J149" s="57" t="s">
        <v>1359</v>
      </c>
      <c r="L149">
        <v>50093371</v>
      </c>
      <c r="M149" t="s">
        <v>1728</v>
      </c>
      <c r="N149">
        <v>50082178</v>
      </c>
      <c r="O149" t="s">
        <v>719</v>
      </c>
      <c r="U149">
        <v>50100189</v>
      </c>
      <c r="V149" t="s">
        <v>1734</v>
      </c>
      <c r="W149">
        <v>50082180</v>
      </c>
      <c r="X149" t="s">
        <v>721</v>
      </c>
      <c r="Y149">
        <f>VLOOKUP(W149,Sheet2!A:D,3,0)</f>
        <v>50082181</v>
      </c>
      <c r="Z149" t="str">
        <f>VLOOKUP(W149,Sheet2!A:D,4,0)</f>
        <v>PPHP: COPYLENE CH120LN</v>
      </c>
    </row>
    <row r="150" spans="1:26" ht="15">
      <c r="A150" s="57">
        <v>50102193</v>
      </c>
      <c r="B150" s="57" t="s">
        <v>1507</v>
      </c>
      <c r="C150" s="57">
        <v>50102191</v>
      </c>
      <c r="D150" s="57" t="s">
        <v>1506</v>
      </c>
      <c r="E150" s="57">
        <v>50108558</v>
      </c>
      <c r="F150" s="57" t="s">
        <v>875</v>
      </c>
      <c r="G150" s="57">
        <v>2.8</v>
      </c>
      <c r="H150" s="57" t="s">
        <v>1359</v>
      </c>
      <c r="I150" s="57" t="s">
        <v>1359</v>
      </c>
      <c r="J150" s="57" t="s">
        <v>1359</v>
      </c>
      <c r="L150">
        <v>50096967</v>
      </c>
      <c r="M150" t="s">
        <v>1729</v>
      </c>
      <c r="N150">
        <v>50082179</v>
      </c>
      <c r="O150" t="s">
        <v>720</v>
      </c>
      <c r="U150">
        <v>50100252</v>
      </c>
      <c r="V150" t="s">
        <v>1735</v>
      </c>
      <c r="W150">
        <v>50099204</v>
      </c>
      <c r="X150" t="s">
        <v>847</v>
      </c>
      <c r="Y150">
        <f>VLOOKUP(W150,Sheet2!A:D,3,0)</f>
        <v>50097522</v>
      </c>
      <c r="Z150" t="str">
        <f>VLOOKUP(W150,Sheet2!A:D,4,0)</f>
        <v>PPHP: REPOL H110MAS</v>
      </c>
    </row>
    <row r="151" spans="1:26" ht="15">
      <c r="A151" s="57">
        <v>50102195</v>
      </c>
      <c r="B151" s="57" t="s">
        <v>1508</v>
      </c>
      <c r="C151" s="57">
        <v>50102194</v>
      </c>
      <c r="D151" s="57" t="s">
        <v>902</v>
      </c>
      <c r="E151" s="57">
        <v>50108558</v>
      </c>
      <c r="F151" s="57" t="s">
        <v>875</v>
      </c>
      <c r="G151" s="57">
        <v>0.5595</v>
      </c>
      <c r="H151" s="57" t="s">
        <v>1359</v>
      </c>
      <c r="I151" s="57" t="s">
        <v>1359</v>
      </c>
      <c r="J151" s="57" t="s">
        <v>1359</v>
      </c>
      <c r="L151">
        <v>50096967</v>
      </c>
      <c r="M151" t="s">
        <v>1729</v>
      </c>
      <c r="N151">
        <v>50082180</v>
      </c>
      <c r="O151" t="s">
        <v>721</v>
      </c>
      <c r="U151">
        <v>50100252</v>
      </c>
      <c r="V151" t="s">
        <v>1735</v>
      </c>
      <c r="W151">
        <v>50099333</v>
      </c>
      <c r="X151" t="s">
        <v>853</v>
      </c>
      <c r="Y151">
        <f>VLOOKUP(W151,Sheet2!A:D,3,0)</f>
        <v>50097522</v>
      </c>
      <c r="Z151" t="str">
        <f>VLOOKUP(W151,Sheet2!A:D,4,0)</f>
        <v>PPHP: REPOL H110MAS</v>
      </c>
    </row>
    <row r="152" spans="1:26" ht="15">
      <c r="A152" s="57">
        <v>50102196</v>
      </c>
      <c r="B152" s="57" t="s">
        <v>1509</v>
      </c>
      <c r="C152" s="57">
        <v>50102194</v>
      </c>
      <c r="D152" s="57" t="s">
        <v>902</v>
      </c>
      <c r="E152" s="57">
        <v>50108558</v>
      </c>
      <c r="F152" s="57" t="s">
        <v>875</v>
      </c>
      <c r="G152" s="57">
        <v>0.5595</v>
      </c>
      <c r="H152" s="57" t="s">
        <v>1359</v>
      </c>
      <c r="I152" s="57" t="s">
        <v>1359</v>
      </c>
      <c r="J152" s="57" t="s">
        <v>1359</v>
      </c>
      <c r="L152">
        <v>50096994</v>
      </c>
      <c r="M152" t="s">
        <v>1730</v>
      </c>
      <c r="N152">
        <v>50082179</v>
      </c>
      <c r="O152" t="s">
        <v>720</v>
      </c>
      <c r="U152">
        <v>50100253</v>
      </c>
      <c r="V152" t="s">
        <v>1736</v>
      </c>
      <c r="W152">
        <v>50099205</v>
      </c>
      <c r="X152" t="s">
        <v>848</v>
      </c>
      <c r="Y152">
        <f>VLOOKUP(W152,Sheet2!A:D,3,0)</f>
        <v>50097522</v>
      </c>
      <c r="Z152" t="str">
        <f>VLOOKUP(W152,Sheet2!A:D,4,0)</f>
        <v>PPHP: REPOL H110MAS</v>
      </c>
    </row>
    <row r="153" spans="1:26" ht="15">
      <c r="A153" s="57">
        <v>50102198</v>
      </c>
      <c r="B153" s="57" t="s">
        <v>1510</v>
      </c>
      <c r="C153" s="57">
        <v>50102197</v>
      </c>
      <c r="D153" s="57" t="s">
        <v>903</v>
      </c>
      <c r="E153" s="57">
        <v>50108558</v>
      </c>
      <c r="F153" s="57" t="s">
        <v>875</v>
      </c>
      <c r="G153" s="57">
        <v>0.54879999999999995</v>
      </c>
      <c r="H153" s="57">
        <v>50082194</v>
      </c>
      <c r="I153" s="57" t="s">
        <v>1365</v>
      </c>
      <c r="J153" s="57">
        <v>1.12E-2</v>
      </c>
      <c r="L153">
        <v>50096994</v>
      </c>
      <c r="M153" t="s">
        <v>1730</v>
      </c>
      <c r="N153">
        <v>50082180</v>
      </c>
      <c r="O153" t="s">
        <v>721</v>
      </c>
      <c r="U153">
        <v>50100253</v>
      </c>
      <c r="V153" t="s">
        <v>1736</v>
      </c>
      <c r="W153">
        <v>50099334</v>
      </c>
      <c r="X153" t="s">
        <v>854</v>
      </c>
      <c r="Y153">
        <f>VLOOKUP(W153,Sheet2!A:D,3,0)</f>
        <v>50097522</v>
      </c>
      <c r="Z153" t="str">
        <f>VLOOKUP(W153,Sheet2!A:D,4,0)</f>
        <v>PPHP: REPOL H110MAS</v>
      </c>
    </row>
    <row r="154" spans="1:26" ht="15">
      <c r="A154" s="57">
        <v>50102199</v>
      </c>
      <c r="B154" s="57" t="s">
        <v>1511</v>
      </c>
      <c r="C154" s="57">
        <v>50102197</v>
      </c>
      <c r="D154" s="57" t="s">
        <v>903</v>
      </c>
      <c r="E154" s="57">
        <v>50108558</v>
      </c>
      <c r="F154" s="57" t="s">
        <v>875</v>
      </c>
      <c r="G154" s="57">
        <v>0.54879999999999995</v>
      </c>
      <c r="H154" s="57">
        <v>50082194</v>
      </c>
      <c r="I154" s="57" t="s">
        <v>1365</v>
      </c>
      <c r="J154" s="57">
        <v>1.12E-2</v>
      </c>
      <c r="L154">
        <v>50097506</v>
      </c>
      <c r="M154" t="s">
        <v>1728</v>
      </c>
      <c r="N154">
        <v>50082145</v>
      </c>
      <c r="O154" t="s">
        <v>710</v>
      </c>
      <c r="U154">
        <v>50100287</v>
      </c>
      <c r="V154" t="s">
        <v>1737</v>
      </c>
      <c r="W154">
        <v>50082179</v>
      </c>
      <c r="X154" t="s">
        <v>720</v>
      </c>
      <c r="Y154">
        <f>VLOOKUP(W154,Sheet2!A:D,3,0)</f>
        <v>50082181</v>
      </c>
      <c r="Z154" t="str">
        <f>VLOOKUP(W154,Sheet2!A:D,4,0)</f>
        <v>PPHP: COPYLENE CH120LN</v>
      </c>
    </row>
    <row r="155" spans="1:26" ht="15">
      <c r="A155" s="57">
        <v>50102339</v>
      </c>
      <c r="B155" s="57" t="s">
        <v>1512</v>
      </c>
      <c r="C155" s="57">
        <v>50102338</v>
      </c>
      <c r="D155" s="57" t="s">
        <v>904</v>
      </c>
      <c r="E155" s="57">
        <v>50108558</v>
      </c>
      <c r="F155" s="57" t="s">
        <v>875</v>
      </c>
      <c r="G155" s="57">
        <v>3.65</v>
      </c>
      <c r="H155" s="57" t="s">
        <v>1359</v>
      </c>
      <c r="I155" s="57" t="s">
        <v>1359</v>
      </c>
      <c r="J155" s="57" t="s">
        <v>1359</v>
      </c>
      <c r="L155">
        <v>50097506</v>
      </c>
      <c r="M155" t="s">
        <v>1728</v>
      </c>
      <c r="N155">
        <v>50082178</v>
      </c>
      <c r="O155" t="s">
        <v>719</v>
      </c>
      <c r="U155">
        <v>50100287</v>
      </c>
      <c r="V155" t="s">
        <v>1737</v>
      </c>
      <c r="W155">
        <v>50082180</v>
      </c>
      <c r="X155" t="s">
        <v>721</v>
      </c>
      <c r="Y155">
        <f>VLOOKUP(W155,Sheet2!A:D,3,0)</f>
        <v>50082181</v>
      </c>
      <c r="Z155" t="str">
        <f>VLOOKUP(W155,Sheet2!A:D,4,0)</f>
        <v>PPHP: COPYLENE CH120LN</v>
      </c>
    </row>
    <row r="156" spans="1:26" ht="15">
      <c r="A156" s="57">
        <v>50102340</v>
      </c>
      <c r="B156" s="57" t="s">
        <v>1513</v>
      </c>
      <c r="C156" s="57">
        <v>50102338</v>
      </c>
      <c r="D156" s="57" t="s">
        <v>904</v>
      </c>
      <c r="E156" s="57">
        <v>50108558</v>
      </c>
      <c r="F156" s="57" t="s">
        <v>875</v>
      </c>
      <c r="G156" s="57">
        <v>3.65</v>
      </c>
      <c r="H156" s="57" t="s">
        <v>1359</v>
      </c>
      <c r="I156" s="57" t="s">
        <v>1359</v>
      </c>
      <c r="J156" s="57" t="s">
        <v>1359</v>
      </c>
      <c r="L156">
        <v>50097624</v>
      </c>
      <c r="M156" t="s">
        <v>1731</v>
      </c>
      <c r="N156">
        <v>50097622</v>
      </c>
      <c r="O156" t="s">
        <v>827</v>
      </c>
      <c r="U156">
        <v>50100365</v>
      </c>
      <c r="V156" t="s">
        <v>1738</v>
      </c>
      <c r="W156">
        <v>50082179</v>
      </c>
      <c r="X156" t="s">
        <v>720</v>
      </c>
      <c r="Y156">
        <f>VLOOKUP(W156,Sheet2!A:D,3,0)</f>
        <v>50082181</v>
      </c>
      <c r="Z156" t="str">
        <f>VLOOKUP(W156,Sheet2!A:D,4,0)</f>
        <v>PPHP: COPYLENE CH120LN</v>
      </c>
    </row>
    <row r="157" spans="1:26" ht="15">
      <c r="A157" s="57">
        <v>50102342</v>
      </c>
      <c r="B157" s="57" t="s">
        <v>1514</v>
      </c>
      <c r="C157" s="57">
        <v>50102341</v>
      </c>
      <c r="D157" s="57" t="s">
        <v>905</v>
      </c>
      <c r="E157" s="57">
        <v>50108558</v>
      </c>
      <c r="F157" s="57" t="s">
        <v>875</v>
      </c>
      <c r="G157" s="57">
        <v>3.577</v>
      </c>
      <c r="H157" s="57">
        <v>50082194</v>
      </c>
      <c r="I157" s="57" t="s">
        <v>1365</v>
      </c>
      <c r="J157" s="57">
        <v>7.2999999999999995E-2</v>
      </c>
      <c r="L157">
        <v>50097624</v>
      </c>
      <c r="M157" t="s">
        <v>1731</v>
      </c>
      <c r="N157">
        <v>50097623</v>
      </c>
      <c r="O157" t="s">
        <v>828</v>
      </c>
      <c r="U157">
        <v>50100365</v>
      </c>
      <c r="V157" t="s">
        <v>1738</v>
      </c>
      <c r="W157">
        <v>50082180</v>
      </c>
      <c r="X157" t="s">
        <v>721</v>
      </c>
      <c r="Y157">
        <f>VLOOKUP(W157,Sheet2!A:D,3,0)</f>
        <v>50082181</v>
      </c>
      <c r="Z157" t="str">
        <f>VLOOKUP(W157,Sheet2!A:D,4,0)</f>
        <v>PPHP: COPYLENE CH120LN</v>
      </c>
    </row>
    <row r="158" spans="1:26" ht="15">
      <c r="A158" s="57">
        <v>50102343</v>
      </c>
      <c r="B158" s="57" t="s">
        <v>1515</v>
      </c>
      <c r="C158" s="57">
        <v>50102341</v>
      </c>
      <c r="D158" s="57" t="s">
        <v>905</v>
      </c>
      <c r="E158" s="57">
        <v>50108558</v>
      </c>
      <c r="F158" s="57" t="s">
        <v>875</v>
      </c>
      <c r="G158" s="57">
        <v>3.577</v>
      </c>
      <c r="H158" s="57">
        <v>50082194</v>
      </c>
      <c r="I158" s="57" t="s">
        <v>1365</v>
      </c>
      <c r="J158" s="57">
        <v>7.2999999999999995E-2</v>
      </c>
      <c r="L158">
        <v>50099232</v>
      </c>
      <c r="M158" t="s">
        <v>1732</v>
      </c>
      <c r="N158">
        <v>50082179</v>
      </c>
      <c r="O158" t="s">
        <v>720</v>
      </c>
      <c r="U158">
        <v>50100488</v>
      </c>
      <c r="V158" t="s">
        <v>1739</v>
      </c>
      <c r="W158">
        <v>50081997</v>
      </c>
      <c r="X158" t="s">
        <v>664</v>
      </c>
      <c r="Y158">
        <f>VLOOKUP(W158,Sheet2!A:D,3,0)</f>
        <v>50082181</v>
      </c>
      <c r="Z158" t="str">
        <f>VLOOKUP(W158,Sheet2!A:D,4,0)</f>
        <v>PPHP: COPYLENE CH120LN</v>
      </c>
    </row>
    <row r="159" spans="1:26" ht="15">
      <c r="A159" s="57">
        <v>50102345</v>
      </c>
      <c r="B159" s="57" t="s">
        <v>1516</v>
      </c>
      <c r="C159" s="57">
        <v>50102344</v>
      </c>
      <c r="D159" s="57" t="s">
        <v>1517</v>
      </c>
      <c r="E159" s="57">
        <v>50108558</v>
      </c>
      <c r="F159" s="57" t="s">
        <v>875</v>
      </c>
      <c r="G159" s="57">
        <v>4.3704999999999998</v>
      </c>
      <c r="H159" s="57" t="s">
        <v>1359</v>
      </c>
      <c r="I159" s="57" t="s">
        <v>1359</v>
      </c>
      <c r="J159" s="57" t="s">
        <v>1359</v>
      </c>
      <c r="L159">
        <v>50099232</v>
      </c>
      <c r="M159" t="s">
        <v>1732</v>
      </c>
      <c r="N159">
        <v>50082180</v>
      </c>
      <c r="O159" t="s">
        <v>721</v>
      </c>
      <c r="U159">
        <v>50100488</v>
      </c>
      <c r="V159" t="s">
        <v>1739</v>
      </c>
      <c r="W159">
        <v>50082145</v>
      </c>
      <c r="X159" t="s">
        <v>710</v>
      </c>
      <c r="Y159">
        <f>VLOOKUP(W159,Sheet2!A:D,3,0)</f>
        <v>50082181</v>
      </c>
      <c r="Z159" t="str">
        <f>VLOOKUP(W159,Sheet2!A:D,4,0)</f>
        <v>PPHP: COPYLENE CH120LN</v>
      </c>
    </row>
    <row r="160" spans="1:26" ht="15">
      <c r="A160" s="57">
        <v>50102346</v>
      </c>
      <c r="B160" s="57" t="s">
        <v>1518</v>
      </c>
      <c r="C160" s="57">
        <v>50102344</v>
      </c>
      <c r="D160" s="57" t="s">
        <v>1517</v>
      </c>
      <c r="E160" s="57">
        <v>50108558</v>
      </c>
      <c r="F160" s="57" t="s">
        <v>875</v>
      </c>
      <c r="G160" s="57">
        <v>4.3704999999999998</v>
      </c>
      <c r="H160" s="57" t="s">
        <v>1359</v>
      </c>
      <c r="I160" s="57" t="s">
        <v>1359</v>
      </c>
      <c r="J160" s="57" t="s">
        <v>1359</v>
      </c>
      <c r="L160">
        <v>50100016</v>
      </c>
      <c r="M160" t="s">
        <v>1733</v>
      </c>
      <c r="N160">
        <v>50082179</v>
      </c>
      <c r="O160" t="s">
        <v>720</v>
      </c>
      <c r="U160">
        <v>50100489</v>
      </c>
      <c r="V160" t="s">
        <v>1740</v>
      </c>
      <c r="W160">
        <v>50081995</v>
      </c>
      <c r="X160" t="s">
        <v>662</v>
      </c>
      <c r="Y160">
        <f>VLOOKUP(W160,Sheet2!A:D,3,0)</f>
        <v>50082181</v>
      </c>
      <c r="Z160" t="str">
        <f>VLOOKUP(W160,Sheet2!A:D,4,0)</f>
        <v>PPHP: COPYLENE CH120LN</v>
      </c>
    </row>
    <row r="161" spans="1:26" ht="15">
      <c r="A161" s="57">
        <v>50102348</v>
      </c>
      <c r="B161" s="57" t="s">
        <v>1519</v>
      </c>
      <c r="C161" s="57">
        <v>50102347</v>
      </c>
      <c r="D161" s="57" t="s">
        <v>1520</v>
      </c>
      <c r="E161" s="57">
        <v>50108558</v>
      </c>
      <c r="F161" s="57" t="s">
        <v>875</v>
      </c>
      <c r="G161" s="57">
        <v>4.3864999999999998</v>
      </c>
      <c r="H161" s="57">
        <v>50082194</v>
      </c>
      <c r="I161" s="57" t="s">
        <v>1365</v>
      </c>
      <c r="J161" s="57">
        <v>8.9499999999999996E-2</v>
      </c>
      <c r="L161">
        <v>50100016</v>
      </c>
      <c r="M161" t="s">
        <v>1733</v>
      </c>
      <c r="N161">
        <v>50082180</v>
      </c>
      <c r="O161" t="s">
        <v>721</v>
      </c>
      <c r="U161">
        <v>50100489</v>
      </c>
      <c r="V161" t="s">
        <v>1740</v>
      </c>
      <c r="W161">
        <v>50082144</v>
      </c>
      <c r="X161" t="s">
        <v>709</v>
      </c>
      <c r="Y161">
        <f>VLOOKUP(W161,Sheet2!A:D,3,0)</f>
        <v>50082181</v>
      </c>
      <c r="Z161" t="str">
        <f>VLOOKUP(W161,Sheet2!A:D,4,0)</f>
        <v>PPHP: COPYLENE CH120LN</v>
      </c>
    </row>
    <row r="162" spans="1:26" ht="15">
      <c r="A162" s="57">
        <v>50102349</v>
      </c>
      <c r="B162" s="57" t="s">
        <v>1521</v>
      </c>
      <c r="C162" s="57">
        <v>50102347</v>
      </c>
      <c r="D162" s="57" t="s">
        <v>1520</v>
      </c>
      <c r="E162" s="57">
        <v>50108558</v>
      </c>
      <c r="F162" s="57" t="s">
        <v>875</v>
      </c>
      <c r="G162" s="57">
        <v>4.3864999999999998</v>
      </c>
      <c r="H162" s="57">
        <v>50082194</v>
      </c>
      <c r="I162" s="57" t="s">
        <v>1365</v>
      </c>
      <c r="J162" s="57">
        <v>8.9499999999999996E-2</v>
      </c>
      <c r="L162">
        <v>50100189</v>
      </c>
      <c r="M162" t="s">
        <v>1734</v>
      </c>
      <c r="N162">
        <v>50082179</v>
      </c>
      <c r="O162" t="s">
        <v>720</v>
      </c>
      <c r="U162">
        <v>50101059</v>
      </c>
      <c r="V162" t="s">
        <v>1741</v>
      </c>
      <c r="W162">
        <v>50082179</v>
      </c>
      <c r="X162" t="s">
        <v>720</v>
      </c>
      <c r="Y162">
        <f>VLOOKUP(W162,Sheet2!A:D,3,0)</f>
        <v>50082181</v>
      </c>
      <c r="Z162" t="str">
        <f>VLOOKUP(W162,Sheet2!A:D,4,0)</f>
        <v>PPHP: COPYLENE CH120LN</v>
      </c>
    </row>
    <row r="163" spans="1:26" ht="15">
      <c r="A163" s="57">
        <v>50102351</v>
      </c>
      <c r="B163" s="57" t="s">
        <v>1522</v>
      </c>
      <c r="C163" s="57">
        <v>50102350</v>
      </c>
      <c r="D163" s="57" t="s">
        <v>1523</v>
      </c>
      <c r="E163" s="57">
        <v>50108558</v>
      </c>
      <c r="F163" s="57" t="s">
        <v>875</v>
      </c>
      <c r="G163" s="57">
        <v>3.4373999999999998</v>
      </c>
      <c r="H163" s="57">
        <v>50082152</v>
      </c>
      <c r="I163" s="57" t="s">
        <v>1390</v>
      </c>
      <c r="J163" s="57">
        <v>7.0199999999999999E-2</v>
      </c>
      <c r="L163">
        <v>50100189</v>
      </c>
      <c r="M163" t="s">
        <v>1734</v>
      </c>
      <c r="N163">
        <v>50082180</v>
      </c>
      <c r="O163" t="s">
        <v>721</v>
      </c>
      <c r="U163">
        <v>50101059</v>
      </c>
      <c r="V163" t="s">
        <v>1741</v>
      </c>
      <c r="W163">
        <v>50082180</v>
      </c>
      <c r="X163" t="s">
        <v>721</v>
      </c>
      <c r="Y163">
        <f>VLOOKUP(W163,Sheet2!A:D,3,0)</f>
        <v>50082181</v>
      </c>
      <c r="Z163" t="str">
        <f>VLOOKUP(W163,Sheet2!A:D,4,0)</f>
        <v>PPHP: COPYLENE CH120LN</v>
      </c>
    </row>
    <row r="164" spans="1:26" ht="15">
      <c r="A164" s="57">
        <v>50102352</v>
      </c>
      <c r="B164" s="57" t="s">
        <v>1524</v>
      </c>
      <c r="C164" s="57">
        <v>50102350</v>
      </c>
      <c r="D164" s="57" t="s">
        <v>1523</v>
      </c>
      <c r="E164" s="57">
        <v>50108558</v>
      </c>
      <c r="F164" s="57" t="s">
        <v>875</v>
      </c>
      <c r="G164" s="57">
        <v>3.4373999999999998</v>
      </c>
      <c r="H164" s="57">
        <v>50082152</v>
      </c>
      <c r="I164" s="57" t="s">
        <v>1390</v>
      </c>
      <c r="J164" s="57">
        <v>7.0199999999999999E-2</v>
      </c>
      <c r="L164">
        <v>50100252</v>
      </c>
      <c r="M164" t="s">
        <v>1735</v>
      </c>
      <c r="N164">
        <v>50099204</v>
      </c>
      <c r="O164" t="s">
        <v>847</v>
      </c>
      <c r="U164">
        <v>50101131</v>
      </c>
      <c r="V164" t="s">
        <v>1742</v>
      </c>
      <c r="W164">
        <v>50099204</v>
      </c>
      <c r="X164" t="s">
        <v>847</v>
      </c>
      <c r="Y164">
        <f>VLOOKUP(W164,Sheet2!A:D,3,0)</f>
        <v>50097522</v>
      </c>
      <c r="Z164" t="str">
        <f>VLOOKUP(W164,Sheet2!A:D,4,0)</f>
        <v>PPHP: REPOL H110MAS</v>
      </c>
    </row>
    <row r="165" spans="1:26" ht="15">
      <c r="A165" s="57">
        <v>50102374</v>
      </c>
      <c r="B165" s="57" t="s">
        <v>1525</v>
      </c>
      <c r="C165" s="57">
        <v>50102373</v>
      </c>
      <c r="D165" s="57" t="s">
        <v>1526</v>
      </c>
      <c r="E165" s="57">
        <v>50108558</v>
      </c>
      <c r="F165" s="57" t="s">
        <v>875</v>
      </c>
      <c r="G165" s="57">
        <v>0.60860000000000003</v>
      </c>
      <c r="H165" s="57">
        <v>50082152</v>
      </c>
      <c r="I165" s="57" t="s">
        <v>1390</v>
      </c>
      <c r="J165" s="57">
        <v>1.24E-2</v>
      </c>
      <c r="L165">
        <v>50100252</v>
      </c>
      <c r="M165" t="s">
        <v>1735</v>
      </c>
      <c r="N165">
        <v>50099333</v>
      </c>
      <c r="O165" t="s">
        <v>853</v>
      </c>
      <c r="U165">
        <v>50101131</v>
      </c>
      <c r="V165" t="s">
        <v>1742</v>
      </c>
      <c r="W165">
        <v>50099333</v>
      </c>
      <c r="X165" t="s">
        <v>853</v>
      </c>
      <c r="Y165">
        <f>VLOOKUP(W165,Sheet2!A:D,3,0)</f>
        <v>50097522</v>
      </c>
      <c r="Z165" t="str">
        <f>VLOOKUP(W165,Sheet2!A:D,4,0)</f>
        <v>PPHP: REPOL H110MAS</v>
      </c>
    </row>
    <row r="166" spans="1:26" ht="15">
      <c r="A166" s="57">
        <v>50102375</v>
      </c>
      <c r="B166" s="57" t="s">
        <v>1527</v>
      </c>
      <c r="C166" s="57">
        <v>50102373</v>
      </c>
      <c r="D166" s="57" t="s">
        <v>1526</v>
      </c>
      <c r="E166" s="57">
        <v>50108558</v>
      </c>
      <c r="F166" s="57" t="s">
        <v>875</v>
      </c>
      <c r="G166" s="57">
        <v>0.60860000000000003</v>
      </c>
      <c r="H166" s="57">
        <v>50082152</v>
      </c>
      <c r="I166" s="57" t="s">
        <v>1390</v>
      </c>
      <c r="J166" s="57">
        <v>1.24E-2</v>
      </c>
      <c r="L166">
        <v>50100253</v>
      </c>
      <c r="M166" t="s">
        <v>1736</v>
      </c>
      <c r="N166">
        <v>50099205</v>
      </c>
      <c r="O166" t="s">
        <v>848</v>
      </c>
      <c r="U166">
        <v>50101132</v>
      </c>
      <c r="V166" t="s">
        <v>1743</v>
      </c>
      <c r="W166">
        <v>50099205</v>
      </c>
      <c r="X166" t="s">
        <v>848</v>
      </c>
      <c r="Y166">
        <f>VLOOKUP(W166,Sheet2!A:D,3,0)</f>
        <v>50097522</v>
      </c>
      <c r="Z166" t="str">
        <f>VLOOKUP(W166,Sheet2!A:D,4,0)</f>
        <v>PPHP: REPOL H110MAS</v>
      </c>
    </row>
    <row r="167" spans="1:26" ht="15">
      <c r="A167" s="57">
        <v>50102377</v>
      </c>
      <c r="B167" s="57" t="s">
        <v>1528</v>
      </c>
      <c r="C167" s="57">
        <v>50102376</v>
      </c>
      <c r="D167" s="57" t="s">
        <v>1529</v>
      </c>
      <c r="E167" s="57">
        <v>50108558</v>
      </c>
      <c r="F167" s="57" t="s">
        <v>875</v>
      </c>
      <c r="G167" s="57">
        <v>8</v>
      </c>
      <c r="H167" s="57" t="s">
        <v>1359</v>
      </c>
      <c r="I167" s="57" t="s">
        <v>1359</v>
      </c>
      <c r="J167" s="57" t="s">
        <v>1359</v>
      </c>
      <c r="L167">
        <v>50100253</v>
      </c>
      <c r="M167" t="s">
        <v>1736</v>
      </c>
      <c r="N167">
        <v>50099334</v>
      </c>
      <c r="O167" t="s">
        <v>854</v>
      </c>
      <c r="U167">
        <v>50101132</v>
      </c>
      <c r="V167" t="s">
        <v>1743</v>
      </c>
      <c r="W167">
        <v>50099334</v>
      </c>
      <c r="X167" t="s">
        <v>854</v>
      </c>
      <c r="Y167">
        <f>VLOOKUP(W167,Sheet2!A:D,3,0)</f>
        <v>50097522</v>
      </c>
      <c r="Z167" t="str">
        <f>VLOOKUP(W167,Sheet2!A:D,4,0)</f>
        <v>PPHP: REPOL H110MAS</v>
      </c>
    </row>
    <row r="168" spans="1:26" ht="15">
      <c r="A168" s="57">
        <v>50102378</v>
      </c>
      <c r="B168" s="57" t="s">
        <v>1530</v>
      </c>
      <c r="C168" s="57">
        <v>50102376</v>
      </c>
      <c r="D168" s="57" t="s">
        <v>1529</v>
      </c>
      <c r="E168" s="57">
        <v>50108558</v>
      </c>
      <c r="F168" s="57" t="s">
        <v>875</v>
      </c>
      <c r="G168" s="57">
        <v>8</v>
      </c>
      <c r="H168" s="57" t="s">
        <v>1359</v>
      </c>
      <c r="I168" s="57" t="s">
        <v>1359</v>
      </c>
      <c r="J168" s="57" t="s">
        <v>1359</v>
      </c>
      <c r="L168">
        <v>50100287</v>
      </c>
      <c r="M168" t="s">
        <v>1737</v>
      </c>
      <c r="N168">
        <v>50082179</v>
      </c>
      <c r="O168" t="s">
        <v>720</v>
      </c>
      <c r="U168">
        <v>50101133</v>
      </c>
      <c r="V168" t="s">
        <v>6</v>
      </c>
      <c r="W168">
        <v>50099204</v>
      </c>
      <c r="X168" t="s">
        <v>847</v>
      </c>
      <c r="Y168">
        <f>VLOOKUP(W168,Sheet2!A:D,3,0)</f>
        <v>50097522</v>
      </c>
      <c r="Z168" t="str">
        <f>VLOOKUP(W168,Sheet2!A:D,4,0)</f>
        <v>PPHP: REPOL H110MAS</v>
      </c>
    </row>
    <row r="169" spans="1:26" ht="15">
      <c r="A169" s="57">
        <v>50102380</v>
      </c>
      <c r="B169" s="57" t="s">
        <v>1531</v>
      </c>
      <c r="C169" s="57">
        <v>50102379</v>
      </c>
      <c r="D169" s="57" t="s">
        <v>1532</v>
      </c>
      <c r="E169" s="57">
        <v>50108558</v>
      </c>
      <c r="F169" s="57" t="s">
        <v>875</v>
      </c>
      <c r="G169" s="57">
        <v>7.6729000000000003</v>
      </c>
      <c r="H169" s="57">
        <v>50082194</v>
      </c>
      <c r="I169" s="57" t="s">
        <v>1365</v>
      </c>
      <c r="J169" s="57">
        <v>0.15659999999999999</v>
      </c>
      <c r="L169">
        <v>50100287</v>
      </c>
      <c r="M169" t="s">
        <v>1737</v>
      </c>
      <c r="N169">
        <v>50082180</v>
      </c>
      <c r="O169" t="s">
        <v>721</v>
      </c>
      <c r="U169">
        <v>50101133</v>
      </c>
      <c r="V169" t="s">
        <v>6</v>
      </c>
      <c r="W169">
        <v>50099333</v>
      </c>
      <c r="X169" t="s">
        <v>853</v>
      </c>
      <c r="Y169">
        <f>VLOOKUP(W169,Sheet2!A:D,3,0)</f>
        <v>50097522</v>
      </c>
      <c r="Z169" t="str">
        <f>VLOOKUP(W169,Sheet2!A:D,4,0)</f>
        <v>PPHP: REPOL H110MAS</v>
      </c>
    </row>
    <row r="170" spans="1:26" ht="15">
      <c r="A170" s="57">
        <v>50102381</v>
      </c>
      <c r="B170" s="57" t="s">
        <v>1533</v>
      </c>
      <c r="C170" s="57">
        <v>50102379</v>
      </c>
      <c r="D170" s="57" t="s">
        <v>1532</v>
      </c>
      <c r="E170" s="57">
        <v>50108558</v>
      </c>
      <c r="F170" s="57" t="s">
        <v>875</v>
      </c>
      <c r="G170" s="57">
        <v>7.6729000000000003</v>
      </c>
      <c r="H170" s="57">
        <v>50082194</v>
      </c>
      <c r="I170" s="57" t="s">
        <v>1365</v>
      </c>
      <c r="J170" s="57">
        <v>0.15659999999999999</v>
      </c>
      <c r="L170">
        <v>50100365</v>
      </c>
      <c r="M170" t="s">
        <v>1738</v>
      </c>
      <c r="N170">
        <v>50082179</v>
      </c>
      <c r="O170" t="s">
        <v>720</v>
      </c>
      <c r="U170">
        <v>50101134</v>
      </c>
      <c r="V170" t="s">
        <v>27</v>
      </c>
      <c r="W170">
        <v>50099205</v>
      </c>
      <c r="X170" t="s">
        <v>848</v>
      </c>
      <c r="Y170">
        <f>VLOOKUP(W170,Sheet2!A:D,3,0)</f>
        <v>50097522</v>
      </c>
      <c r="Z170" t="str">
        <f>VLOOKUP(W170,Sheet2!A:D,4,0)</f>
        <v>PPHP: REPOL H110MAS</v>
      </c>
    </row>
    <row r="171" spans="1:26" ht="15">
      <c r="A171" s="57">
        <v>50102385</v>
      </c>
      <c r="B171" s="57" t="s">
        <v>1534</v>
      </c>
      <c r="C171" s="57">
        <v>50102384</v>
      </c>
      <c r="D171" s="57" t="s">
        <v>1535</v>
      </c>
      <c r="E171" s="57">
        <v>50108558</v>
      </c>
      <c r="F171" s="57" t="s">
        <v>875</v>
      </c>
      <c r="G171" s="57">
        <v>3.4624999999999999</v>
      </c>
      <c r="H171" s="57" t="s">
        <v>1359</v>
      </c>
      <c r="I171" s="57" t="s">
        <v>1359</v>
      </c>
      <c r="J171" s="57" t="s">
        <v>1359</v>
      </c>
      <c r="L171">
        <v>50100365</v>
      </c>
      <c r="M171" t="s">
        <v>1738</v>
      </c>
      <c r="N171">
        <v>50082180</v>
      </c>
      <c r="O171" t="s">
        <v>721</v>
      </c>
      <c r="U171">
        <v>50101134</v>
      </c>
      <c r="V171" t="s">
        <v>27</v>
      </c>
      <c r="W171">
        <v>50099334</v>
      </c>
      <c r="X171" t="s">
        <v>854</v>
      </c>
      <c r="Y171">
        <f>VLOOKUP(W171,Sheet2!A:D,3,0)</f>
        <v>50097522</v>
      </c>
      <c r="Z171" t="str">
        <f>VLOOKUP(W171,Sheet2!A:D,4,0)</f>
        <v>PPHP: REPOL H110MAS</v>
      </c>
    </row>
    <row r="172" spans="1:26" ht="15">
      <c r="A172" s="57">
        <v>50102386</v>
      </c>
      <c r="B172" s="57" t="s">
        <v>1536</v>
      </c>
      <c r="C172" s="57">
        <v>50102384</v>
      </c>
      <c r="D172" s="57" t="s">
        <v>1535</v>
      </c>
      <c r="E172" s="57">
        <v>50108558</v>
      </c>
      <c r="F172" s="57" t="s">
        <v>875</v>
      </c>
      <c r="G172" s="57">
        <v>3.4624999999999999</v>
      </c>
      <c r="H172" s="57" t="s">
        <v>1359</v>
      </c>
      <c r="I172" s="57" t="s">
        <v>1359</v>
      </c>
      <c r="J172" s="57" t="s">
        <v>1359</v>
      </c>
      <c r="L172">
        <v>50100488</v>
      </c>
      <c r="M172" t="s">
        <v>1739</v>
      </c>
      <c r="N172">
        <v>50081997</v>
      </c>
      <c r="O172" t="s">
        <v>664</v>
      </c>
      <c r="U172">
        <v>50101135</v>
      </c>
      <c r="V172" t="s">
        <v>1744</v>
      </c>
      <c r="W172">
        <v>50099204</v>
      </c>
      <c r="X172" t="s">
        <v>847</v>
      </c>
      <c r="Y172">
        <f>VLOOKUP(W172,Sheet2!A:D,3,0)</f>
        <v>50097522</v>
      </c>
      <c r="Z172" t="str">
        <f>VLOOKUP(W172,Sheet2!A:D,4,0)</f>
        <v>PPHP: REPOL H110MAS</v>
      </c>
    </row>
    <row r="173" spans="1:26" ht="15">
      <c r="A173" s="57">
        <v>50102388</v>
      </c>
      <c r="B173" s="57" t="s">
        <v>1537</v>
      </c>
      <c r="C173" s="57">
        <v>50102387</v>
      </c>
      <c r="D173" s="57" t="s">
        <v>1538</v>
      </c>
      <c r="E173" s="57">
        <v>50108558</v>
      </c>
      <c r="F173" s="57" t="s">
        <v>875</v>
      </c>
      <c r="G173" s="57">
        <v>4.5999999999999996</v>
      </c>
      <c r="H173" s="57" t="s">
        <v>1359</v>
      </c>
      <c r="I173" s="57" t="s">
        <v>1359</v>
      </c>
      <c r="J173" s="57" t="s">
        <v>1359</v>
      </c>
      <c r="L173">
        <v>50100488</v>
      </c>
      <c r="M173" t="s">
        <v>1739</v>
      </c>
      <c r="N173">
        <v>50082145</v>
      </c>
      <c r="O173" t="s">
        <v>710</v>
      </c>
      <c r="U173">
        <v>50101135</v>
      </c>
      <c r="V173" t="s">
        <v>1744</v>
      </c>
      <c r="W173">
        <v>50099333</v>
      </c>
      <c r="X173" t="s">
        <v>853</v>
      </c>
      <c r="Y173">
        <f>VLOOKUP(W173,Sheet2!A:D,3,0)</f>
        <v>50097522</v>
      </c>
      <c r="Z173" t="str">
        <f>VLOOKUP(W173,Sheet2!A:D,4,0)</f>
        <v>PPHP: REPOL H110MAS</v>
      </c>
    </row>
    <row r="174" spans="1:26" ht="15">
      <c r="A174" s="57">
        <v>50102389</v>
      </c>
      <c r="B174" s="57" t="s">
        <v>1539</v>
      </c>
      <c r="C174" s="57">
        <v>50102387</v>
      </c>
      <c r="D174" s="57" t="s">
        <v>1538</v>
      </c>
      <c r="E174" s="57">
        <v>50108558</v>
      </c>
      <c r="F174" s="57" t="s">
        <v>875</v>
      </c>
      <c r="G174" s="57">
        <v>4.5999999999999996</v>
      </c>
      <c r="H174" s="57" t="s">
        <v>1359</v>
      </c>
      <c r="I174" s="57" t="s">
        <v>1359</v>
      </c>
      <c r="J174" s="57" t="s">
        <v>1359</v>
      </c>
      <c r="L174">
        <v>50100489</v>
      </c>
      <c r="M174" t="s">
        <v>1740</v>
      </c>
      <c r="N174">
        <v>50081995</v>
      </c>
      <c r="O174" t="s">
        <v>662</v>
      </c>
      <c r="U174">
        <v>50101137</v>
      </c>
      <c r="V174" t="s">
        <v>1745</v>
      </c>
      <c r="W174">
        <v>50099204</v>
      </c>
      <c r="X174" t="s">
        <v>847</v>
      </c>
      <c r="Y174">
        <f>VLOOKUP(W174,Sheet2!A:D,3,0)</f>
        <v>50097522</v>
      </c>
      <c r="Z174" t="str">
        <f>VLOOKUP(W174,Sheet2!A:D,4,0)</f>
        <v>PPHP: REPOL H110MAS</v>
      </c>
    </row>
    <row r="175" spans="1:26" ht="15">
      <c r="A175" s="57">
        <v>50102391</v>
      </c>
      <c r="B175" s="57" t="s">
        <v>1540</v>
      </c>
      <c r="C175" s="57">
        <v>50102390</v>
      </c>
      <c r="D175" s="57" t="s">
        <v>1541</v>
      </c>
      <c r="E175" s="57">
        <v>50108558</v>
      </c>
      <c r="F175" s="57" t="s">
        <v>875</v>
      </c>
      <c r="G175" s="57">
        <v>4.41</v>
      </c>
      <c r="H175" s="57">
        <v>50082194</v>
      </c>
      <c r="I175" s="57" t="s">
        <v>1365</v>
      </c>
      <c r="J175" s="57">
        <v>0.09</v>
      </c>
      <c r="L175">
        <v>50100489</v>
      </c>
      <c r="M175" t="s">
        <v>1740</v>
      </c>
      <c r="N175">
        <v>50082144</v>
      </c>
      <c r="O175" t="s">
        <v>709</v>
      </c>
      <c r="U175">
        <v>50101137</v>
      </c>
      <c r="V175" t="s">
        <v>1745</v>
      </c>
      <c r="W175">
        <v>50099333</v>
      </c>
      <c r="X175" t="s">
        <v>853</v>
      </c>
      <c r="Y175">
        <f>VLOOKUP(W175,Sheet2!A:D,3,0)</f>
        <v>50097522</v>
      </c>
      <c r="Z175" t="str">
        <f>VLOOKUP(W175,Sheet2!A:D,4,0)</f>
        <v>PPHP: REPOL H110MAS</v>
      </c>
    </row>
    <row r="176" spans="1:26" ht="15">
      <c r="A176" s="57">
        <v>50102392</v>
      </c>
      <c r="B176" s="57" t="s">
        <v>1542</v>
      </c>
      <c r="C176" s="57">
        <v>50102390</v>
      </c>
      <c r="D176" s="57" t="s">
        <v>1541</v>
      </c>
      <c r="E176" s="57">
        <v>50108558</v>
      </c>
      <c r="F176" s="57" t="s">
        <v>875</v>
      </c>
      <c r="G176" s="57">
        <v>4.41</v>
      </c>
      <c r="H176" s="57">
        <v>50082194</v>
      </c>
      <c r="I176" s="57" t="s">
        <v>1365</v>
      </c>
      <c r="J176" s="57">
        <v>0.09</v>
      </c>
      <c r="L176">
        <v>50101059</v>
      </c>
      <c r="M176" t="s">
        <v>1741</v>
      </c>
      <c r="N176">
        <v>50082179</v>
      </c>
      <c r="O176" t="s">
        <v>720</v>
      </c>
      <c r="U176">
        <v>50101138</v>
      </c>
      <c r="V176" t="s">
        <v>9</v>
      </c>
      <c r="W176">
        <v>50099205</v>
      </c>
      <c r="X176" t="s">
        <v>848</v>
      </c>
      <c r="Y176">
        <f>VLOOKUP(W176,Sheet2!A:D,3,0)</f>
        <v>50097522</v>
      </c>
      <c r="Z176" t="str">
        <f>VLOOKUP(W176,Sheet2!A:D,4,0)</f>
        <v>PPHP: REPOL H110MAS</v>
      </c>
    </row>
    <row r="177" spans="1:26" ht="15">
      <c r="A177" s="57">
        <v>50102487</v>
      </c>
      <c r="B177" s="57" t="s">
        <v>1543</v>
      </c>
      <c r="C177" s="57">
        <v>50102486</v>
      </c>
      <c r="D177" s="57" t="s">
        <v>271</v>
      </c>
      <c r="E177" s="57">
        <v>50082198</v>
      </c>
      <c r="F177" s="57" t="s">
        <v>1358</v>
      </c>
      <c r="G177" s="57">
        <v>3.4373999999999998</v>
      </c>
      <c r="H177" s="57">
        <v>50082152</v>
      </c>
      <c r="I177" s="57" t="s">
        <v>1390</v>
      </c>
      <c r="J177" s="57">
        <v>7.0199999999999999E-2</v>
      </c>
      <c r="L177">
        <v>50101059</v>
      </c>
      <c r="M177" t="s">
        <v>1741</v>
      </c>
      <c r="N177">
        <v>50082180</v>
      </c>
      <c r="O177" t="s">
        <v>721</v>
      </c>
      <c r="U177">
        <v>50101138</v>
      </c>
      <c r="V177" t="s">
        <v>9</v>
      </c>
      <c r="W177">
        <v>50099334</v>
      </c>
      <c r="X177" t="s">
        <v>854</v>
      </c>
      <c r="Y177">
        <f>VLOOKUP(W177,Sheet2!A:D,3,0)</f>
        <v>50097522</v>
      </c>
      <c r="Z177" t="str">
        <f>VLOOKUP(W177,Sheet2!A:D,4,0)</f>
        <v>PPHP: REPOL H110MAS</v>
      </c>
    </row>
    <row r="178" spans="1:26" ht="15">
      <c r="A178" s="57">
        <v>50102488</v>
      </c>
      <c r="B178" s="57" t="s">
        <v>1544</v>
      </c>
      <c r="C178" s="57">
        <v>50102486</v>
      </c>
      <c r="D178" s="57" t="s">
        <v>271</v>
      </c>
      <c r="E178" s="57">
        <v>50082198</v>
      </c>
      <c r="F178" s="57" t="s">
        <v>1358</v>
      </c>
      <c r="G178" s="57">
        <v>3.4373999999999998</v>
      </c>
      <c r="H178" s="57">
        <v>50082152</v>
      </c>
      <c r="I178" s="57" t="s">
        <v>1390</v>
      </c>
      <c r="J178" s="57">
        <v>7.0199999999999999E-2</v>
      </c>
      <c r="L178">
        <v>50101131</v>
      </c>
      <c r="M178" t="s">
        <v>1742</v>
      </c>
      <c r="N178">
        <v>50099204</v>
      </c>
      <c r="O178" t="s">
        <v>847</v>
      </c>
      <c r="U178">
        <v>50101139</v>
      </c>
      <c r="V178" t="s">
        <v>257</v>
      </c>
      <c r="W178">
        <v>50099204</v>
      </c>
      <c r="X178" t="s">
        <v>847</v>
      </c>
      <c r="Y178">
        <f>VLOOKUP(W178,Sheet2!A:D,3,0)</f>
        <v>50097522</v>
      </c>
      <c r="Z178" t="str">
        <f>VLOOKUP(W178,Sheet2!A:D,4,0)</f>
        <v>PPHP: REPOL H110MAS</v>
      </c>
    </row>
    <row r="179" spans="1:26" ht="15">
      <c r="A179" s="57">
        <v>50102490</v>
      </c>
      <c r="B179" s="57" t="s">
        <v>1545</v>
      </c>
      <c r="C179" s="57">
        <v>50102489</v>
      </c>
      <c r="D179" s="57" t="s">
        <v>1546</v>
      </c>
      <c r="E179" s="57">
        <v>50082198</v>
      </c>
      <c r="F179" s="57" t="s">
        <v>1358</v>
      </c>
      <c r="G179" s="57">
        <v>0.60860000000000003</v>
      </c>
      <c r="H179" s="57">
        <v>50082152</v>
      </c>
      <c r="I179" s="57" t="s">
        <v>1390</v>
      </c>
      <c r="J179" s="57">
        <v>1.24E-2</v>
      </c>
      <c r="L179">
        <v>50101131</v>
      </c>
      <c r="M179" t="s">
        <v>1742</v>
      </c>
      <c r="N179">
        <v>50099333</v>
      </c>
      <c r="O179" t="s">
        <v>853</v>
      </c>
      <c r="U179">
        <v>50101139</v>
      </c>
      <c r="V179" t="s">
        <v>257</v>
      </c>
      <c r="W179">
        <v>50099333</v>
      </c>
      <c r="X179" t="s">
        <v>853</v>
      </c>
      <c r="Y179">
        <f>VLOOKUP(W179,Sheet2!A:D,3,0)</f>
        <v>50097522</v>
      </c>
      <c r="Z179" t="str">
        <f>VLOOKUP(W179,Sheet2!A:D,4,0)</f>
        <v>PPHP: REPOL H110MAS</v>
      </c>
    </row>
    <row r="180" spans="1:26" ht="15">
      <c r="A180" s="57">
        <v>50102491</v>
      </c>
      <c r="B180" s="57" t="s">
        <v>1547</v>
      </c>
      <c r="C180" s="57">
        <v>50102489</v>
      </c>
      <c r="D180" s="57" t="s">
        <v>1546</v>
      </c>
      <c r="E180" s="57">
        <v>50082198</v>
      </c>
      <c r="F180" s="57" t="s">
        <v>1358</v>
      </c>
      <c r="G180" s="57">
        <v>0.60860000000000003</v>
      </c>
      <c r="H180" s="57">
        <v>50082152</v>
      </c>
      <c r="I180" s="57" t="s">
        <v>1390</v>
      </c>
      <c r="J180" s="57">
        <v>1.24E-2</v>
      </c>
      <c r="L180">
        <v>50101132</v>
      </c>
      <c r="M180" t="s">
        <v>1743</v>
      </c>
      <c r="N180">
        <v>50099205</v>
      </c>
      <c r="O180" t="s">
        <v>848</v>
      </c>
      <c r="U180">
        <v>50101140</v>
      </c>
      <c r="V180" t="s">
        <v>46</v>
      </c>
      <c r="W180">
        <v>50099205</v>
      </c>
      <c r="X180" t="s">
        <v>848</v>
      </c>
      <c r="Y180">
        <f>VLOOKUP(W180,Sheet2!A:D,3,0)</f>
        <v>50097522</v>
      </c>
      <c r="Z180" t="str">
        <f>VLOOKUP(W180,Sheet2!A:D,4,0)</f>
        <v>PPHP: REPOL H110MAS</v>
      </c>
    </row>
    <row r="181" spans="1:26" ht="15">
      <c r="A181" s="57">
        <v>50102576</v>
      </c>
      <c r="B181" s="57" t="s">
        <v>1548</v>
      </c>
      <c r="C181" s="57">
        <v>50102575</v>
      </c>
      <c r="D181" s="57" t="s">
        <v>1549</v>
      </c>
      <c r="E181" s="57">
        <v>50082198</v>
      </c>
      <c r="F181" s="57" t="s">
        <v>1358</v>
      </c>
      <c r="G181" s="57">
        <v>0.54879999999999995</v>
      </c>
      <c r="H181" s="57">
        <v>50082194</v>
      </c>
      <c r="I181" s="57" t="s">
        <v>1365</v>
      </c>
      <c r="J181" s="57">
        <v>1.12E-2</v>
      </c>
      <c r="L181">
        <v>50101132</v>
      </c>
      <c r="M181" t="s">
        <v>1743</v>
      </c>
      <c r="N181">
        <v>50099334</v>
      </c>
      <c r="O181" t="s">
        <v>854</v>
      </c>
      <c r="U181">
        <v>50101140</v>
      </c>
      <c r="V181" t="s">
        <v>46</v>
      </c>
      <c r="W181">
        <v>50099334</v>
      </c>
      <c r="X181" t="s">
        <v>854</v>
      </c>
      <c r="Y181">
        <f>VLOOKUP(W181,Sheet2!A:D,3,0)</f>
        <v>50097522</v>
      </c>
      <c r="Z181" t="str">
        <f>VLOOKUP(W181,Sheet2!A:D,4,0)</f>
        <v>PPHP: REPOL H110MAS</v>
      </c>
    </row>
    <row r="182" spans="1:26" ht="15">
      <c r="A182" s="57">
        <v>50102577</v>
      </c>
      <c r="B182" s="57" t="s">
        <v>1550</v>
      </c>
      <c r="C182" s="57">
        <v>50102575</v>
      </c>
      <c r="D182" s="57" t="s">
        <v>1549</v>
      </c>
      <c r="E182" s="57">
        <v>50082198</v>
      </c>
      <c r="F182" s="57" t="s">
        <v>1358</v>
      </c>
      <c r="G182" s="57">
        <v>0.54879999999999995</v>
      </c>
      <c r="H182" s="57">
        <v>50082194</v>
      </c>
      <c r="I182" s="57" t="s">
        <v>1365</v>
      </c>
      <c r="J182" s="57">
        <v>1.12E-2</v>
      </c>
      <c r="L182">
        <v>50101133</v>
      </c>
      <c r="M182" t="s">
        <v>6</v>
      </c>
      <c r="N182">
        <v>50099204</v>
      </c>
      <c r="O182" t="s">
        <v>847</v>
      </c>
      <c r="U182">
        <v>50101141</v>
      </c>
      <c r="V182" t="s">
        <v>1746</v>
      </c>
      <c r="W182">
        <v>50099204</v>
      </c>
      <c r="X182" t="s">
        <v>847</v>
      </c>
      <c r="Y182">
        <f>VLOOKUP(W182,Sheet2!A:D,3,0)</f>
        <v>50097522</v>
      </c>
      <c r="Z182" t="str">
        <f>VLOOKUP(W182,Sheet2!A:D,4,0)</f>
        <v>PPHP: REPOL H110MAS</v>
      </c>
    </row>
    <row r="183" spans="1:26" ht="15">
      <c r="A183" s="57">
        <v>50102766</v>
      </c>
      <c r="B183" s="57" t="s">
        <v>1551</v>
      </c>
      <c r="C183" s="57">
        <v>50102765</v>
      </c>
      <c r="D183" s="57" t="s">
        <v>1552</v>
      </c>
      <c r="E183" s="57">
        <v>50082198</v>
      </c>
      <c r="F183" s="57" t="s">
        <v>1358</v>
      </c>
      <c r="G183" s="57">
        <v>0.57089999999999996</v>
      </c>
      <c r="H183" s="57">
        <v>50082194</v>
      </c>
      <c r="I183" s="57" t="s">
        <v>1365</v>
      </c>
      <c r="J183" s="57">
        <v>1.17E-2</v>
      </c>
      <c r="L183">
        <v>50101133</v>
      </c>
      <c r="M183" t="s">
        <v>6</v>
      </c>
      <c r="N183">
        <v>50099333</v>
      </c>
      <c r="O183" t="s">
        <v>853</v>
      </c>
      <c r="U183">
        <v>50101141</v>
      </c>
      <c r="V183" t="s">
        <v>1746</v>
      </c>
      <c r="W183">
        <v>50099333</v>
      </c>
      <c r="X183" t="s">
        <v>853</v>
      </c>
      <c r="Y183">
        <f>VLOOKUP(W183,Sheet2!A:D,3,0)</f>
        <v>50097522</v>
      </c>
      <c r="Z183" t="str">
        <f>VLOOKUP(W183,Sheet2!A:D,4,0)</f>
        <v>PPHP: REPOL H110MAS</v>
      </c>
    </row>
    <row r="184" spans="1:26" ht="15">
      <c r="A184" s="57">
        <v>50102767</v>
      </c>
      <c r="B184" s="57" t="s">
        <v>1553</v>
      </c>
      <c r="C184" s="57">
        <v>50102765</v>
      </c>
      <c r="D184" s="57" t="s">
        <v>1552</v>
      </c>
      <c r="E184" s="57">
        <v>50082198</v>
      </c>
      <c r="F184" s="57" t="s">
        <v>1358</v>
      </c>
      <c r="G184" s="57">
        <v>0.57089999999999996</v>
      </c>
      <c r="H184" s="57">
        <v>50082194</v>
      </c>
      <c r="I184" s="57" t="s">
        <v>1365</v>
      </c>
      <c r="J184" s="57">
        <v>1.17E-2</v>
      </c>
      <c r="L184">
        <v>50101134</v>
      </c>
      <c r="M184" t="s">
        <v>27</v>
      </c>
      <c r="N184">
        <v>50099205</v>
      </c>
      <c r="O184" t="s">
        <v>848</v>
      </c>
      <c r="U184">
        <v>50101142</v>
      </c>
      <c r="V184" t="s">
        <v>1747</v>
      </c>
      <c r="W184">
        <v>50099205</v>
      </c>
      <c r="X184" t="s">
        <v>848</v>
      </c>
      <c r="Y184">
        <f>VLOOKUP(W184,Sheet2!A:D,3,0)</f>
        <v>50097522</v>
      </c>
      <c r="Z184" t="str">
        <f>VLOOKUP(W184,Sheet2!A:D,4,0)</f>
        <v>PPHP: REPOL H110MAS</v>
      </c>
    </row>
    <row r="185" spans="1:26" ht="15">
      <c r="A185" s="57">
        <v>50102909</v>
      </c>
      <c r="B185" s="57" t="s">
        <v>1554</v>
      </c>
      <c r="C185" s="57">
        <v>50102908</v>
      </c>
      <c r="D185" s="57" t="s">
        <v>1555</v>
      </c>
      <c r="E185" s="57">
        <v>50082198</v>
      </c>
      <c r="F185" s="57" t="s">
        <v>1358</v>
      </c>
      <c r="G185" s="57">
        <v>0.54879999999999995</v>
      </c>
      <c r="H185" s="57">
        <v>50082152</v>
      </c>
      <c r="I185" s="57" t="s">
        <v>1390</v>
      </c>
      <c r="J185" s="57">
        <v>1.12E-2</v>
      </c>
      <c r="L185">
        <v>50101134</v>
      </c>
      <c r="M185" t="s">
        <v>27</v>
      </c>
      <c r="N185">
        <v>50099334</v>
      </c>
      <c r="O185" t="s">
        <v>854</v>
      </c>
      <c r="U185">
        <v>50101142</v>
      </c>
      <c r="V185" t="s">
        <v>1747</v>
      </c>
      <c r="W185">
        <v>50099334</v>
      </c>
      <c r="X185" t="s">
        <v>854</v>
      </c>
      <c r="Y185">
        <f>VLOOKUP(W185,Sheet2!A:D,3,0)</f>
        <v>50097522</v>
      </c>
      <c r="Z185" t="str">
        <f>VLOOKUP(W185,Sheet2!A:D,4,0)</f>
        <v>PPHP: REPOL H110MAS</v>
      </c>
    </row>
    <row r="186" spans="1:26" ht="15">
      <c r="A186" s="57">
        <v>50102910</v>
      </c>
      <c r="B186" s="57" t="s">
        <v>1556</v>
      </c>
      <c r="C186" s="57">
        <v>50102908</v>
      </c>
      <c r="D186" s="57" t="s">
        <v>1555</v>
      </c>
      <c r="E186" s="57">
        <v>50082198</v>
      </c>
      <c r="F186" s="57" t="s">
        <v>1358</v>
      </c>
      <c r="G186" s="57">
        <v>0.54879999999999995</v>
      </c>
      <c r="H186" s="57">
        <v>50082152</v>
      </c>
      <c r="I186" s="57" t="s">
        <v>1390</v>
      </c>
      <c r="J186" s="57">
        <v>1.12E-2</v>
      </c>
      <c r="L186">
        <v>50101135</v>
      </c>
      <c r="M186" t="s">
        <v>1744</v>
      </c>
      <c r="N186">
        <v>50099204</v>
      </c>
      <c r="O186" t="s">
        <v>847</v>
      </c>
      <c r="U186">
        <v>50101143</v>
      </c>
      <c r="V186" t="s">
        <v>1748</v>
      </c>
      <c r="W186">
        <v>50099204</v>
      </c>
      <c r="X186" t="s">
        <v>847</v>
      </c>
      <c r="Y186">
        <f>VLOOKUP(W186,Sheet2!A:D,3,0)</f>
        <v>50097522</v>
      </c>
      <c r="Z186" t="str">
        <f>VLOOKUP(W186,Sheet2!A:D,4,0)</f>
        <v>PPHP: REPOL H110MAS</v>
      </c>
    </row>
    <row r="187" spans="1:26" ht="15">
      <c r="A187" s="57">
        <v>50102919</v>
      </c>
      <c r="B187" s="57" t="s">
        <v>1557</v>
      </c>
      <c r="C187" s="57">
        <v>50102918</v>
      </c>
      <c r="D187" s="57" t="s">
        <v>913</v>
      </c>
      <c r="E187" s="57">
        <v>50082183</v>
      </c>
      <c r="F187" s="57" t="s">
        <v>515</v>
      </c>
      <c r="G187" s="57">
        <v>3.552</v>
      </c>
      <c r="H187" s="57" t="s">
        <v>1359</v>
      </c>
      <c r="I187" s="57" t="s">
        <v>1359</v>
      </c>
      <c r="J187" s="57" t="s">
        <v>1359</v>
      </c>
      <c r="L187">
        <v>50101135</v>
      </c>
      <c r="M187" t="s">
        <v>1744</v>
      </c>
      <c r="N187">
        <v>50099333</v>
      </c>
      <c r="O187" t="s">
        <v>853</v>
      </c>
      <c r="U187">
        <v>50101143</v>
      </c>
      <c r="V187" t="s">
        <v>1748</v>
      </c>
      <c r="W187">
        <v>50099333</v>
      </c>
      <c r="X187" t="s">
        <v>853</v>
      </c>
      <c r="Y187">
        <f>VLOOKUP(W187,Sheet2!A:D,3,0)</f>
        <v>50097522</v>
      </c>
      <c r="Z187" t="str">
        <f>VLOOKUP(W187,Sheet2!A:D,4,0)</f>
        <v>PPHP: REPOL H110MAS</v>
      </c>
    </row>
    <row r="188" spans="1:26" ht="15">
      <c r="A188" s="57">
        <v>50102920</v>
      </c>
      <c r="B188" s="57" t="s">
        <v>1558</v>
      </c>
      <c r="C188" s="57">
        <v>50102918</v>
      </c>
      <c r="D188" s="57" t="s">
        <v>913</v>
      </c>
      <c r="E188" s="57">
        <v>50082183</v>
      </c>
      <c r="F188" s="57" t="s">
        <v>515</v>
      </c>
      <c r="G188" s="57">
        <v>3.552</v>
      </c>
      <c r="H188" s="57" t="s">
        <v>1359</v>
      </c>
      <c r="I188" s="57" t="s">
        <v>1359</v>
      </c>
      <c r="J188" s="57" t="s">
        <v>1359</v>
      </c>
      <c r="L188">
        <v>50101137</v>
      </c>
      <c r="M188" t="s">
        <v>1745</v>
      </c>
      <c r="N188">
        <v>50099204</v>
      </c>
      <c r="O188" t="s">
        <v>847</v>
      </c>
      <c r="U188">
        <v>50101144</v>
      </c>
      <c r="V188" t="s">
        <v>182</v>
      </c>
      <c r="W188">
        <v>50099205</v>
      </c>
      <c r="X188" t="s">
        <v>848</v>
      </c>
      <c r="Y188">
        <f>VLOOKUP(W188,Sheet2!A:D,3,0)</f>
        <v>50097522</v>
      </c>
      <c r="Z188" t="str">
        <f>VLOOKUP(W188,Sheet2!A:D,4,0)</f>
        <v>PPHP: REPOL H110MAS</v>
      </c>
    </row>
    <row r="189" spans="1:26" ht="15">
      <c r="A189" s="57">
        <v>50103021</v>
      </c>
      <c r="B189" s="57" t="s">
        <v>1559</v>
      </c>
      <c r="C189" s="57">
        <v>50103020</v>
      </c>
      <c r="D189" s="57" t="s">
        <v>1560</v>
      </c>
      <c r="E189" s="57">
        <v>50082198</v>
      </c>
      <c r="F189" s="57" t="s">
        <v>1358</v>
      </c>
      <c r="G189" s="57">
        <v>0.57089999999999996</v>
      </c>
      <c r="H189" s="57">
        <v>50081598</v>
      </c>
      <c r="I189" s="57" t="s">
        <v>1469</v>
      </c>
      <c r="J189" s="57">
        <v>1.17E-2</v>
      </c>
      <c r="L189">
        <v>50101137</v>
      </c>
      <c r="M189" t="s">
        <v>1745</v>
      </c>
      <c r="N189">
        <v>50099333</v>
      </c>
      <c r="O189" t="s">
        <v>853</v>
      </c>
      <c r="U189">
        <v>50101144</v>
      </c>
      <c r="V189" t="s">
        <v>182</v>
      </c>
      <c r="W189">
        <v>50099334</v>
      </c>
      <c r="X189" t="s">
        <v>854</v>
      </c>
      <c r="Y189">
        <f>VLOOKUP(W189,Sheet2!A:D,3,0)</f>
        <v>50097522</v>
      </c>
      <c r="Z189" t="str">
        <f>VLOOKUP(W189,Sheet2!A:D,4,0)</f>
        <v>PPHP: REPOL H110MAS</v>
      </c>
    </row>
    <row r="190" spans="1:26" ht="15">
      <c r="A190" s="57">
        <v>50103022</v>
      </c>
      <c r="B190" s="57" t="s">
        <v>1561</v>
      </c>
      <c r="C190" s="57">
        <v>50103020</v>
      </c>
      <c r="D190" s="57" t="s">
        <v>1560</v>
      </c>
      <c r="E190" s="57">
        <v>50082198</v>
      </c>
      <c r="F190" s="57" t="s">
        <v>1358</v>
      </c>
      <c r="G190" s="57">
        <v>0.57089999999999996</v>
      </c>
      <c r="H190" s="57">
        <v>50081598</v>
      </c>
      <c r="I190" s="57" t="s">
        <v>1469</v>
      </c>
      <c r="J190" s="57">
        <v>1.17E-2</v>
      </c>
      <c r="L190">
        <v>50101138</v>
      </c>
      <c r="M190" t="s">
        <v>9</v>
      </c>
      <c r="N190">
        <v>50099205</v>
      </c>
      <c r="O190" t="s">
        <v>848</v>
      </c>
      <c r="U190">
        <v>50101260</v>
      </c>
      <c r="V190" t="s">
        <v>1749</v>
      </c>
      <c r="W190">
        <v>50081997</v>
      </c>
      <c r="X190" t="s">
        <v>664</v>
      </c>
      <c r="Y190">
        <f>VLOOKUP(W190,Sheet2!A:D,3,0)</f>
        <v>50082181</v>
      </c>
      <c r="Z190" t="str">
        <f>VLOOKUP(W190,Sheet2!A:D,4,0)</f>
        <v>PPHP: COPYLENE CH120LN</v>
      </c>
    </row>
    <row r="191" spans="1:26" ht="15">
      <c r="A191" s="57">
        <v>50103086</v>
      </c>
      <c r="B191" s="57" t="s">
        <v>1562</v>
      </c>
      <c r="C191" s="57">
        <v>50103085</v>
      </c>
      <c r="D191" s="57" t="s">
        <v>1563</v>
      </c>
      <c r="E191" s="57">
        <v>50082198</v>
      </c>
      <c r="F191" s="57" t="s">
        <v>1358</v>
      </c>
      <c r="G191" s="57">
        <v>4.41</v>
      </c>
      <c r="H191" s="57">
        <v>50082152</v>
      </c>
      <c r="I191" s="57" t="s">
        <v>1390</v>
      </c>
      <c r="J191" s="57">
        <v>0.09</v>
      </c>
      <c r="L191">
        <v>50101138</v>
      </c>
      <c r="M191" t="s">
        <v>9</v>
      </c>
      <c r="N191">
        <v>50099334</v>
      </c>
      <c r="O191" t="s">
        <v>854</v>
      </c>
      <c r="U191">
        <v>50101260</v>
      </c>
      <c r="V191" t="s">
        <v>1749</v>
      </c>
      <c r="W191">
        <v>50082145</v>
      </c>
      <c r="X191" t="s">
        <v>710</v>
      </c>
      <c r="Y191">
        <f>VLOOKUP(W191,Sheet2!A:D,3,0)</f>
        <v>50082181</v>
      </c>
      <c r="Z191" t="str">
        <f>VLOOKUP(W191,Sheet2!A:D,4,0)</f>
        <v>PPHP: COPYLENE CH120LN</v>
      </c>
    </row>
    <row r="192" spans="1:26" ht="15">
      <c r="A192" s="57">
        <v>50103087</v>
      </c>
      <c r="B192" s="57" t="s">
        <v>1564</v>
      </c>
      <c r="C192" s="57">
        <v>50103085</v>
      </c>
      <c r="D192" s="57" t="s">
        <v>1563</v>
      </c>
      <c r="E192" s="57">
        <v>50082198</v>
      </c>
      <c r="F192" s="57" t="s">
        <v>1358</v>
      </c>
      <c r="G192" s="57">
        <v>4.41</v>
      </c>
      <c r="H192" s="57">
        <v>50082152</v>
      </c>
      <c r="I192" s="57" t="s">
        <v>1390</v>
      </c>
      <c r="J192" s="57">
        <v>0.09</v>
      </c>
      <c r="L192">
        <v>50101139</v>
      </c>
      <c r="M192" t="s">
        <v>257</v>
      </c>
      <c r="N192">
        <v>50099204</v>
      </c>
      <c r="O192" t="s">
        <v>847</v>
      </c>
      <c r="U192">
        <v>50101261</v>
      </c>
      <c r="V192" t="s">
        <v>1750</v>
      </c>
      <c r="W192">
        <v>50081995</v>
      </c>
      <c r="X192" t="s">
        <v>662</v>
      </c>
      <c r="Y192">
        <f>VLOOKUP(W192,Sheet2!A:D,3,0)</f>
        <v>50082181</v>
      </c>
      <c r="Z192" t="str">
        <f>VLOOKUP(W192,Sheet2!A:D,4,0)</f>
        <v>PPHP: COPYLENE CH120LN</v>
      </c>
    </row>
    <row r="193" spans="1:26" ht="15">
      <c r="A193" s="57">
        <v>50103122</v>
      </c>
      <c r="B193" s="57" t="s">
        <v>1565</v>
      </c>
      <c r="C193" s="57">
        <v>50103121</v>
      </c>
      <c r="D193" s="57" t="s">
        <v>917</v>
      </c>
      <c r="E193" s="57">
        <v>50082183</v>
      </c>
      <c r="F193" s="57" t="s">
        <v>515</v>
      </c>
      <c r="G193" s="57">
        <v>3.552</v>
      </c>
      <c r="H193" s="57" t="s">
        <v>1359</v>
      </c>
      <c r="I193" s="57" t="s">
        <v>1359</v>
      </c>
      <c r="J193" s="57" t="s">
        <v>1359</v>
      </c>
      <c r="L193">
        <v>50101139</v>
      </c>
      <c r="M193" t="s">
        <v>257</v>
      </c>
      <c r="N193">
        <v>50099333</v>
      </c>
      <c r="O193" t="s">
        <v>853</v>
      </c>
      <c r="U193">
        <v>50101261</v>
      </c>
      <c r="V193" t="s">
        <v>1750</v>
      </c>
      <c r="W193">
        <v>50082144</v>
      </c>
      <c r="X193" t="s">
        <v>709</v>
      </c>
      <c r="Y193">
        <f>VLOOKUP(W193,Sheet2!A:D,3,0)</f>
        <v>50082181</v>
      </c>
      <c r="Z193" t="str">
        <f>VLOOKUP(W193,Sheet2!A:D,4,0)</f>
        <v>PPHP: COPYLENE CH120LN</v>
      </c>
    </row>
    <row r="194" spans="1:26" ht="15">
      <c r="A194" s="57">
        <v>50103123</v>
      </c>
      <c r="B194" s="57" t="s">
        <v>1566</v>
      </c>
      <c r="C194" s="57">
        <v>50103121</v>
      </c>
      <c r="D194" s="57" t="s">
        <v>917</v>
      </c>
      <c r="E194" s="57">
        <v>50082183</v>
      </c>
      <c r="F194" s="57" t="s">
        <v>515</v>
      </c>
      <c r="G194" s="57">
        <v>3.552</v>
      </c>
      <c r="H194" s="57" t="s">
        <v>1359</v>
      </c>
      <c r="I194" s="57" t="s">
        <v>1359</v>
      </c>
      <c r="J194" s="57" t="s">
        <v>1359</v>
      </c>
      <c r="L194">
        <v>50101140</v>
      </c>
      <c r="M194" t="s">
        <v>46</v>
      </c>
      <c r="N194">
        <v>50099205</v>
      </c>
      <c r="O194" t="s">
        <v>848</v>
      </c>
      <c r="U194">
        <v>50101361</v>
      </c>
      <c r="V194" t="s">
        <v>159</v>
      </c>
      <c r="W194">
        <v>50098871</v>
      </c>
      <c r="X194" t="s">
        <v>841</v>
      </c>
      <c r="Y194">
        <f>VLOOKUP(W194,Sheet2!A:D,3,0)</f>
        <v>50097522</v>
      </c>
      <c r="Z194" t="str">
        <f>VLOOKUP(W194,Sheet2!A:D,4,0)</f>
        <v>PPHP: REPOL H110MAS</v>
      </c>
    </row>
    <row r="195" spans="1:26" ht="15">
      <c r="A195" s="57">
        <v>50103558</v>
      </c>
      <c r="B195" s="57" t="s">
        <v>1567</v>
      </c>
      <c r="C195" s="57">
        <v>50103557</v>
      </c>
      <c r="D195" s="57" t="s">
        <v>1568</v>
      </c>
      <c r="E195" s="57">
        <v>50082198</v>
      </c>
      <c r="F195" s="57" t="s">
        <v>1358</v>
      </c>
      <c r="G195" s="57">
        <v>2.8239999999999998</v>
      </c>
      <c r="H195" s="57" t="s">
        <v>1359</v>
      </c>
      <c r="I195" s="57" t="s">
        <v>1359</v>
      </c>
      <c r="J195" s="57" t="s">
        <v>1359</v>
      </c>
      <c r="L195">
        <v>50101140</v>
      </c>
      <c r="M195" t="s">
        <v>46</v>
      </c>
      <c r="N195">
        <v>50099334</v>
      </c>
      <c r="O195" t="s">
        <v>854</v>
      </c>
      <c r="U195">
        <v>50101361</v>
      </c>
      <c r="V195" t="s">
        <v>159</v>
      </c>
      <c r="W195">
        <v>50099332</v>
      </c>
      <c r="X195" t="s">
        <v>852</v>
      </c>
      <c r="Y195">
        <f>VLOOKUP(W195,Sheet2!A:D,3,0)</f>
        <v>50097522</v>
      </c>
      <c r="Z195" t="str">
        <f>VLOOKUP(W195,Sheet2!A:D,4,0)</f>
        <v>PPHP: REPOL H110MAS</v>
      </c>
    </row>
    <row r="196" spans="1:26" ht="15">
      <c r="A196" s="57">
        <v>50103559</v>
      </c>
      <c r="B196" s="57" t="s">
        <v>1569</v>
      </c>
      <c r="C196" s="57">
        <v>50103557</v>
      </c>
      <c r="D196" s="57" t="s">
        <v>1568</v>
      </c>
      <c r="E196" s="57">
        <v>50082198</v>
      </c>
      <c r="F196" s="57" t="s">
        <v>1358</v>
      </c>
      <c r="G196" s="57">
        <v>2.8239999999999998</v>
      </c>
      <c r="H196" s="57" t="s">
        <v>1359</v>
      </c>
      <c r="I196" s="57" t="s">
        <v>1359</v>
      </c>
      <c r="J196" s="57" t="s">
        <v>1359</v>
      </c>
      <c r="L196">
        <v>50101141</v>
      </c>
      <c r="M196" t="s">
        <v>1746</v>
      </c>
      <c r="N196">
        <v>50099204</v>
      </c>
      <c r="O196" t="s">
        <v>847</v>
      </c>
      <c r="U196">
        <v>50101362</v>
      </c>
      <c r="V196" t="s">
        <v>8</v>
      </c>
      <c r="W196">
        <v>50098871</v>
      </c>
      <c r="X196" t="s">
        <v>841</v>
      </c>
      <c r="Y196">
        <f>VLOOKUP(W196,Sheet2!A:D,3,0)</f>
        <v>50097522</v>
      </c>
      <c r="Z196" t="str">
        <f>VLOOKUP(W196,Sheet2!A:D,4,0)</f>
        <v>PPHP: REPOL H110MAS</v>
      </c>
    </row>
    <row r="197" spans="1:26" ht="15">
      <c r="A197" s="57">
        <v>50104747</v>
      </c>
      <c r="B197" s="57" t="s">
        <v>1570</v>
      </c>
      <c r="C197" s="57">
        <v>50104746</v>
      </c>
      <c r="D197" s="57" t="s">
        <v>272</v>
      </c>
      <c r="E197" s="57">
        <v>50082198</v>
      </c>
      <c r="F197" s="57" t="s">
        <v>1358</v>
      </c>
      <c r="G197" s="57">
        <v>2.8714</v>
      </c>
      <c r="H197" s="57">
        <v>50082152</v>
      </c>
      <c r="I197" s="57" t="s">
        <v>1390</v>
      </c>
      <c r="J197" s="57">
        <v>5.8599999999999999E-2</v>
      </c>
      <c r="L197">
        <v>50101141</v>
      </c>
      <c r="M197" t="s">
        <v>1746</v>
      </c>
      <c r="N197">
        <v>50099333</v>
      </c>
      <c r="O197" t="s">
        <v>853</v>
      </c>
      <c r="U197">
        <v>50101362</v>
      </c>
      <c r="V197" t="s">
        <v>8</v>
      </c>
      <c r="W197">
        <v>50099332</v>
      </c>
      <c r="X197" t="s">
        <v>852</v>
      </c>
      <c r="Y197">
        <f>VLOOKUP(W197,Sheet2!A:D,3,0)</f>
        <v>50097522</v>
      </c>
      <c r="Z197" t="str">
        <f>VLOOKUP(W197,Sheet2!A:D,4,0)</f>
        <v>PPHP: REPOL H110MAS</v>
      </c>
    </row>
    <row r="198" spans="1:26" ht="15">
      <c r="A198" s="57">
        <v>50104748</v>
      </c>
      <c r="B198" s="57" t="s">
        <v>1571</v>
      </c>
      <c r="C198" s="57">
        <v>50104746</v>
      </c>
      <c r="D198" s="57" t="s">
        <v>272</v>
      </c>
      <c r="E198" s="57">
        <v>50082198</v>
      </c>
      <c r="F198" s="57" t="s">
        <v>1358</v>
      </c>
      <c r="G198" s="57">
        <v>2.8714</v>
      </c>
      <c r="H198" s="57">
        <v>50082152</v>
      </c>
      <c r="I198" s="57" t="s">
        <v>1390</v>
      </c>
      <c r="J198" s="57">
        <v>5.8599999999999999E-2</v>
      </c>
      <c r="L198">
        <v>50101142</v>
      </c>
      <c r="M198" t="s">
        <v>1747</v>
      </c>
      <c r="N198">
        <v>50099205</v>
      </c>
      <c r="O198" t="s">
        <v>848</v>
      </c>
      <c r="U198">
        <v>50102168</v>
      </c>
      <c r="V198" t="s">
        <v>132</v>
      </c>
      <c r="W198">
        <v>50099334</v>
      </c>
      <c r="X198" t="s">
        <v>854</v>
      </c>
      <c r="Y198">
        <f>VLOOKUP(W198,Sheet2!A:D,3,0)</f>
        <v>50097522</v>
      </c>
      <c r="Z198" t="str">
        <f>VLOOKUP(W198,Sheet2!A:D,4,0)</f>
        <v>PPHP: REPOL H110MAS</v>
      </c>
    </row>
    <row r="199" spans="1:26" ht="15">
      <c r="A199" s="57">
        <v>50104925</v>
      </c>
      <c r="B199" s="57" t="s">
        <v>381</v>
      </c>
      <c r="C199" s="57">
        <v>50104924</v>
      </c>
      <c r="D199" s="57" t="s">
        <v>936</v>
      </c>
      <c r="E199" s="57">
        <v>50082184</v>
      </c>
      <c r="F199" s="57" t="s">
        <v>517</v>
      </c>
      <c r="G199" s="57">
        <v>0.621</v>
      </c>
      <c r="H199" s="57" t="s">
        <v>1359</v>
      </c>
      <c r="I199" s="57" t="s">
        <v>1359</v>
      </c>
      <c r="J199" s="57" t="s">
        <v>1359</v>
      </c>
      <c r="L199">
        <v>50101142</v>
      </c>
      <c r="M199" t="s">
        <v>1747</v>
      </c>
      <c r="N199">
        <v>50099334</v>
      </c>
      <c r="O199" t="s">
        <v>854</v>
      </c>
      <c r="U199">
        <v>50102168</v>
      </c>
      <c r="V199" t="s">
        <v>132</v>
      </c>
      <c r="W199">
        <v>50102159</v>
      </c>
      <c r="X199" t="s">
        <v>899</v>
      </c>
      <c r="Y199">
        <f>VLOOKUP(W199,Sheet2!A:D,3,0)</f>
        <v>50097522</v>
      </c>
      <c r="Z199" t="str">
        <f>VLOOKUP(W199,Sheet2!A:D,4,0)</f>
        <v>PPHP: REPOL H110MAS</v>
      </c>
    </row>
    <row r="200" spans="1:26" ht="15">
      <c r="A200" s="57">
        <v>50104926</v>
      </c>
      <c r="B200" s="57" t="s">
        <v>1572</v>
      </c>
      <c r="C200" s="57">
        <v>50104924</v>
      </c>
      <c r="D200" s="57" t="s">
        <v>936</v>
      </c>
      <c r="E200" s="57">
        <v>50082184</v>
      </c>
      <c r="F200" s="57" t="s">
        <v>517</v>
      </c>
      <c r="G200" s="57">
        <v>0.621</v>
      </c>
      <c r="H200" s="57" t="s">
        <v>1359</v>
      </c>
      <c r="I200" s="57" t="s">
        <v>1359</v>
      </c>
      <c r="J200" s="57" t="s">
        <v>1359</v>
      </c>
      <c r="L200">
        <v>50101143</v>
      </c>
      <c r="M200" t="s">
        <v>1748</v>
      </c>
      <c r="N200">
        <v>50099204</v>
      </c>
      <c r="O200" t="s">
        <v>847</v>
      </c>
      <c r="U200">
        <v>50102169</v>
      </c>
      <c r="V200" t="s">
        <v>395</v>
      </c>
      <c r="W200">
        <v>50099205</v>
      </c>
      <c r="X200" t="s">
        <v>848</v>
      </c>
      <c r="Y200">
        <f>VLOOKUP(W200,Sheet2!A:D,3,0)</f>
        <v>50097522</v>
      </c>
      <c r="Z200" t="str">
        <f>VLOOKUP(W200,Sheet2!A:D,4,0)</f>
        <v>PPHP: REPOL H110MAS</v>
      </c>
    </row>
    <row r="201" spans="1:26" ht="15">
      <c r="A201" s="57">
        <v>50105010</v>
      </c>
      <c r="B201" s="57" t="s">
        <v>155</v>
      </c>
      <c r="C201" s="57">
        <v>50105009</v>
      </c>
      <c r="D201" s="57" t="s">
        <v>942</v>
      </c>
      <c r="E201" s="57">
        <v>50082184</v>
      </c>
      <c r="F201" s="57" t="s">
        <v>517</v>
      </c>
      <c r="G201" s="57">
        <v>0.52923799999999999</v>
      </c>
      <c r="H201" s="57">
        <v>50082194</v>
      </c>
      <c r="I201" s="57" t="s">
        <v>1365</v>
      </c>
      <c r="J201" s="57">
        <v>1.0762000000000001E-2</v>
      </c>
      <c r="L201">
        <v>50101143</v>
      </c>
      <c r="M201" t="s">
        <v>1748</v>
      </c>
      <c r="N201">
        <v>50099333</v>
      </c>
      <c r="O201" t="s">
        <v>853</v>
      </c>
      <c r="U201">
        <v>50102169</v>
      </c>
      <c r="V201" t="s">
        <v>395</v>
      </c>
      <c r="W201">
        <v>50099334</v>
      </c>
      <c r="X201" t="s">
        <v>854</v>
      </c>
      <c r="Y201">
        <f>VLOOKUP(W201,Sheet2!A:D,3,0)</f>
        <v>50097522</v>
      </c>
      <c r="Z201" t="str">
        <f>VLOOKUP(W201,Sheet2!A:D,4,0)</f>
        <v>PPHP: REPOL H110MAS</v>
      </c>
    </row>
    <row r="202" spans="1:26" ht="15">
      <c r="A202" s="57">
        <v>50105011</v>
      </c>
      <c r="B202" s="57" t="s">
        <v>282</v>
      </c>
      <c r="C202" s="57">
        <v>50105009</v>
      </c>
      <c r="D202" s="57" t="s">
        <v>942</v>
      </c>
      <c r="E202" s="57">
        <v>50082184</v>
      </c>
      <c r="F202" s="57" t="s">
        <v>517</v>
      </c>
      <c r="G202" s="57">
        <v>0.52923799999999999</v>
      </c>
      <c r="H202" s="57">
        <v>50082194</v>
      </c>
      <c r="I202" s="57" t="s">
        <v>1365</v>
      </c>
      <c r="J202" s="57">
        <v>1.0762000000000001E-2</v>
      </c>
      <c r="L202">
        <v>50101144</v>
      </c>
      <c r="M202" t="s">
        <v>182</v>
      </c>
      <c r="N202">
        <v>50099205</v>
      </c>
      <c r="O202" t="s">
        <v>848</v>
      </c>
      <c r="U202">
        <v>50102170</v>
      </c>
      <c r="V202" t="s">
        <v>240</v>
      </c>
      <c r="W202">
        <v>50099204</v>
      </c>
      <c r="X202" t="s">
        <v>847</v>
      </c>
      <c r="Y202">
        <f>VLOOKUP(W202,Sheet2!A:D,3,0)</f>
        <v>50097522</v>
      </c>
      <c r="Z202" t="str">
        <f>VLOOKUP(W202,Sheet2!A:D,4,0)</f>
        <v>PPHP: REPOL H110MAS</v>
      </c>
    </row>
    <row r="203" spans="1:26" ht="15">
      <c r="A203" s="57">
        <v>50105113</v>
      </c>
      <c r="B203" s="57" t="s">
        <v>1573</v>
      </c>
      <c r="C203" s="57">
        <v>50105111</v>
      </c>
      <c r="D203" s="57" t="s">
        <v>950</v>
      </c>
      <c r="E203" s="57">
        <v>50082183</v>
      </c>
      <c r="F203" s="57" t="s">
        <v>515</v>
      </c>
      <c r="G203" s="57">
        <v>0.56059999999999999</v>
      </c>
      <c r="H203" s="57">
        <v>50081420</v>
      </c>
      <c r="I203" s="57" t="s">
        <v>1397</v>
      </c>
      <c r="J203" s="57">
        <v>1.14E-2</v>
      </c>
      <c r="L203">
        <v>50101144</v>
      </c>
      <c r="M203" t="s">
        <v>182</v>
      </c>
      <c r="N203">
        <v>50099334</v>
      </c>
      <c r="O203" t="s">
        <v>854</v>
      </c>
      <c r="U203">
        <v>50102170</v>
      </c>
      <c r="V203" t="s">
        <v>240</v>
      </c>
      <c r="W203">
        <v>50099333</v>
      </c>
      <c r="X203" t="s">
        <v>853</v>
      </c>
      <c r="Y203">
        <f>VLOOKUP(W203,Sheet2!A:D,3,0)</f>
        <v>50097522</v>
      </c>
      <c r="Z203" t="str">
        <f>VLOOKUP(W203,Sheet2!A:D,4,0)</f>
        <v>PPHP: REPOL H110MAS</v>
      </c>
    </row>
    <row r="204" spans="1:26" ht="15">
      <c r="A204" s="57">
        <v>50105114</v>
      </c>
      <c r="B204" s="57" t="s">
        <v>1574</v>
      </c>
      <c r="C204" s="57">
        <v>50105111</v>
      </c>
      <c r="D204" s="57" t="s">
        <v>950</v>
      </c>
      <c r="E204" s="57">
        <v>50082183</v>
      </c>
      <c r="F204" s="57" t="s">
        <v>515</v>
      </c>
      <c r="G204" s="57">
        <v>0.56059999999999999</v>
      </c>
      <c r="H204" s="57">
        <v>50081420</v>
      </c>
      <c r="I204" s="57" t="s">
        <v>1397</v>
      </c>
      <c r="J204" s="57">
        <v>1.14E-2</v>
      </c>
      <c r="L204">
        <v>50101260</v>
      </c>
      <c r="M204" t="s">
        <v>1749</v>
      </c>
      <c r="N204">
        <v>50081997</v>
      </c>
      <c r="O204" t="s">
        <v>664</v>
      </c>
      <c r="U204">
        <v>50102171</v>
      </c>
      <c r="V204" t="s">
        <v>1751</v>
      </c>
      <c r="W204">
        <v>50099333</v>
      </c>
      <c r="X204" t="s">
        <v>853</v>
      </c>
      <c r="Y204">
        <f>VLOOKUP(W204,Sheet2!A:D,3,0)</f>
        <v>50097522</v>
      </c>
      <c r="Z204" t="str">
        <f>VLOOKUP(W204,Sheet2!A:D,4,0)</f>
        <v>PPHP: REPOL H110MAS</v>
      </c>
    </row>
    <row r="205" spans="1:26" ht="15">
      <c r="A205" s="57">
        <v>50105117</v>
      </c>
      <c r="B205" s="57" t="s">
        <v>1575</v>
      </c>
      <c r="C205" s="57">
        <v>50105115</v>
      </c>
      <c r="D205" s="57" t="s">
        <v>951</v>
      </c>
      <c r="E205" s="57">
        <v>50082183</v>
      </c>
      <c r="F205" s="57" t="s">
        <v>515</v>
      </c>
      <c r="G205" s="57">
        <v>2.8420000000000001</v>
      </c>
      <c r="H205" s="57">
        <v>50081420</v>
      </c>
      <c r="I205" s="57" t="s">
        <v>1397</v>
      </c>
      <c r="J205" s="57">
        <v>5.8000000000000003E-2</v>
      </c>
      <c r="L205">
        <v>50101260</v>
      </c>
      <c r="M205" t="s">
        <v>1749</v>
      </c>
      <c r="N205">
        <v>50082145</v>
      </c>
      <c r="O205" t="s">
        <v>710</v>
      </c>
      <c r="U205">
        <v>50102171</v>
      </c>
      <c r="V205" t="s">
        <v>1751</v>
      </c>
      <c r="W205">
        <v>50102160</v>
      </c>
      <c r="X205" t="s">
        <v>900</v>
      </c>
      <c r="Y205">
        <f>VLOOKUP(W205,Sheet2!A:D,3,0)</f>
        <v>50097522</v>
      </c>
      <c r="Z205" t="str">
        <f>VLOOKUP(W205,Sheet2!A:D,4,0)</f>
        <v>PPHP: REPOL H110MAS</v>
      </c>
    </row>
    <row r="206" spans="1:26" ht="15">
      <c r="A206" s="57">
        <v>50105119</v>
      </c>
      <c r="B206" s="57" t="s">
        <v>1576</v>
      </c>
      <c r="C206" s="57">
        <v>50105118</v>
      </c>
      <c r="D206" s="57" t="s">
        <v>952</v>
      </c>
      <c r="E206" s="57">
        <v>50082183</v>
      </c>
      <c r="F206" s="57" t="s">
        <v>515</v>
      </c>
      <c r="G206" s="57">
        <v>4.41</v>
      </c>
      <c r="H206" s="57">
        <v>50081420</v>
      </c>
      <c r="I206" s="57" t="s">
        <v>1397</v>
      </c>
      <c r="J206" s="57">
        <v>0.09</v>
      </c>
      <c r="L206">
        <v>50101261</v>
      </c>
      <c r="M206" t="s">
        <v>1750</v>
      </c>
      <c r="N206">
        <v>50081995</v>
      </c>
      <c r="O206" t="s">
        <v>662</v>
      </c>
      <c r="U206">
        <v>50102173</v>
      </c>
      <c r="V206" t="s">
        <v>1752</v>
      </c>
      <c r="W206">
        <v>50099334</v>
      </c>
      <c r="X206" t="s">
        <v>854</v>
      </c>
      <c r="Y206">
        <f>VLOOKUP(W206,Sheet2!A:D,3,0)</f>
        <v>50097522</v>
      </c>
      <c r="Z206" t="str">
        <f>VLOOKUP(W206,Sheet2!A:D,4,0)</f>
        <v>PPHP: REPOL H110MAS</v>
      </c>
    </row>
    <row r="207" spans="1:26" ht="15">
      <c r="A207" s="57">
        <v>50105120</v>
      </c>
      <c r="B207" s="57" t="s">
        <v>1577</v>
      </c>
      <c r="C207" s="57">
        <v>50105118</v>
      </c>
      <c r="D207" s="57" t="s">
        <v>952</v>
      </c>
      <c r="E207" s="57">
        <v>50082183</v>
      </c>
      <c r="F207" s="57" t="s">
        <v>515</v>
      </c>
      <c r="G207" s="57">
        <v>4.41</v>
      </c>
      <c r="H207" s="57">
        <v>50081420</v>
      </c>
      <c r="I207" s="57" t="s">
        <v>1397</v>
      </c>
      <c r="J207" s="57">
        <v>0.09</v>
      </c>
      <c r="L207">
        <v>50101261</v>
      </c>
      <c r="M207" t="s">
        <v>1750</v>
      </c>
      <c r="N207">
        <v>50082144</v>
      </c>
      <c r="O207" t="s">
        <v>709</v>
      </c>
      <c r="U207">
        <v>50102173</v>
      </c>
      <c r="V207" t="s">
        <v>1752</v>
      </c>
      <c r="W207">
        <v>50102172</v>
      </c>
      <c r="X207" t="s">
        <v>901</v>
      </c>
      <c r="Y207">
        <f>VLOOKUP(W207,Sheet2!A:D,3,0)</f>
        <v>50097522</v>
      </c>
      <c r="Z207" t="str">
        <f>VLOOKUP(W207,Sheet2!A:D,4,0)</f>
        <v>PPHP: REPOL H110MAS</v>
      </c>
    </row>
    <row r="208" spans="1:26" ht="15">
      <c r="A208" s="57">
        <v>50108251</v>
      </c>
      <c r="B208" s="57" t="s">
        <v>142</v>
      </c>
      <c r="C208" s="57">
        <v>50108250</v>
      </c>
      <c r="D208" s="57" t="s">
        <v>1008</v>
      </c>
      <c r="E208" s="57">
        <v>50082200</v>
      </c>
      <c r="F208" s="57" t="s">
        <v>521</v>
      </c>
      <c r="G208" s="57">
        <v>2.1325440000000002</v>
      </c>
      <c r="H208" s="57">
        <v>50108247</v>
      </c>
      <c r="I208" s="57" t="s">
        <v>1578</v>
      </c>
      <c r="J208" s="57">
        <v>8.8856000000000004E-2</v>
      </c>
      <c r="L208">
        <v>50101361</v>
      </c>
      <c r="M208" t="s">
        <v>159</v>
      </c>
      <c r="N208">
        <v>50098871</v>
      </c>
      <c r="O208" t="s">
        <v>841</v>
      </c>
      <c r="U208">
        <v>50102481</v>
      </c>
      <c r="V208" t="s">
        <v>1753</v>
      </c>
      <c r="W208">
        <v>50099204</v>
      </c>
      <c r="X208" t="s">
        <v>847</v>
      </c>
      <c r="Y208">
        <f>VLOOKUP(W208,Sheet2!A:D,3,0)</f>
        <v>50097522</v>
      </c>
      <c r="Z208" t="str">
        <f>VLOOKUP(W208,Sheet2!A:D,4,0)</f>
        <v>PPHP: REPOL H110MAS</v>
      </c>
    </row>
    <row r="209" spans="1:26" ht="15">
      <c r="A209" s="57">
        <v>50108252</v>
      </c>
      <c r="B209" s="57" t="s">
        <v>1579</v>
      </c>
      <c r="C209" s="57">
        <v>50108250</v>
      </c>
      <c r="D209" s="57" t="s">
        <v>1008</v>
      </c>
      <c r="E209" s="57">
        <v>50082200</v>
      </c>
      <c r="F209" s="57" t="s">
        <v>521</v>
      </c>
      <c r="G209" s="57">
        <v>2.1325440000000002</v>
      </c>
      <c r="H209" s="57">
        <v>50108247</v>
      </c>
      <c r="I209" s="57" t="s">
        <v>1578</v>
      </c>
      <c r="J209" s="57">
        <v>8.8856000000000004E-2</v>
      </c>
      <c r="L209">
        <v>50101361</v>
      </c>
      <c r="M209" t="s">
        <v>159</v>
      </c>
      <c r="N209">
        <v>50099332</v>
      </c>
      <c r="O209" t="s">
        <v>852</v>
      </c>
      <c r="U209">
        <v>50102481</v>
      </c>
      <c r="V209" t="s">
        <v>1753</v>
      </c>
      <c r="W209">
        <v>50099333</v>
      </c>
      <c r="X209" t="s">
        <v>853</v>
      </c>
      <c r="Y209">
        <f>VLOOKUP(W209,Sheet2!A:D,3,0)</f>
        <v>50097522</v>
      </c>
      <c r="Z209" t="str">
        <f>VLOOKUP(W209,Sheet2!A:D,4,0)</f>
        <v>PPHP: REPOL H110MAS</v>
      </c>
    </row>
    <row r="210" spans="1:26" ht="15">
      <c r="A210" s="57">
        <v>50110676</v>
      </c>
      <c r="B210" s="57" t="s">
        <v>129</v>
      </c>
      <c r="C210" s="57">
        <v>50110675</v>
      </c>
      <c r="D210" s="57" t="s">
        <v>218</v>
      </c>
      <c r="E210" s="57">
        <v>50082184</v>
      </c>
      <c r="F210" s="57" t="s">
        <v>517</v>
      </c>
      <c r="G210" s="57">
        <v>3.552</v>
      </c>
      <c r="H210" s="57" t="s">
        <v>1359</v>
      </c>
      <c r="I210" s="57" t="s">
        <v>1359</v>
      </c>
      <c r="J210" s="57" t="s">
        <v>1359</v>
      </c>
      <c r="L210">
        <v>50101362</v>
      </c>
      <c r="M210" t="s">
        <v>8</v>
      </c>
      <c r="N210">
        <v>50098871</v>
      </c>
      <c r="O210" t="s">
        <v>841</v>
      </c>
      <c r="U210">
        <v>50102500</v>
      </c>
      <c r="V210" t="s">
        <v>1754</v>
      </c>
      <c r="W210">
        <v>50102095</v>
      </c>
      <c r="X210" t="s">
        <v>896</v>
      </c>
      <c r="Y210">
        <f>VLOOKUP(W210,Sheet2!A:D,3,0)</f>
        <v>50097522</v>
      </c>
      <c r="Z210" t="str">
        <f>VLOOKUP(W210,Sheet2!A:D,4,0)</f>
        <v>PPHP: REPOL H110MAS</v>
      </c>
    </row>
    <row r="211" spans="1:26" ht="15">
      <c r="A211" s="57">
        <v>50110677</v>
      </c>
      <c r="B211" s="57" t="s">
        <v>1580</v>
      </c>
      <c r="C211" s="57">
        <v>50110675</v>
      </c>
      <c r="D211" s="57" t="s">
        <v>218</v>
      </c>
      <c r="E211" s="57">
        <v>50082184</v>
      </c>
      <c r="F211" s="57" t="s">
        <v>517</v>
      </c>
      <c r="G211" s="57">
        <v>3.552</v>
      </c>
      <c r="H211" s="57" t="s">
        <v>1359</v>
      </c>
      <c r="I211" s="57" t="s">
        <v>1359</v>
      </c>
      <c r="J211" s="57" t="s">
        <v>1359</v>
      </c>
      <c r="L211">
        <v>50101362</v>
      </c>
      <c r="M211" t="s">
        <v>8</v>
      </c>
      <c r="N211">
        <v>50099332</v>
      </c>
      <c r="O211" t="s">
        <v>852</v>
      </c>
      <c r="U211">
        <v>50102500</v>
      </c>
      <c r="V211" t="s">
        <v>1754</v>
      </c>
      <c r="W211">
        <v>50102096</v>
      </c>
      <c r="X211" t="s">
        <v>897</v>
      </c>
      <c r="Y211">
        <f>VLOOKUP(W211,Sheet2!A:D,3,0)</f>
        <v>50097522</v>
      </c>
      <c r="Z211" t="str">
        <f>VLOOKUP(W211,Sheet2!A:D,4,0)</f>
        <v>PPHP: REPOL H110MAS</v>
      </c>
    </row>
    <row r="212" spans="1:26" ht="15">
      <c r="A212" s="57">
        <v>50110679</v>
      </c>
      <c r="B212" s="57" t="s">
        <v>47</v>
      </c>
      <c r="C212" s="57">
        <v>50110678</v>
      </c>
      <c r="D212" s="57" t="s">
        <v>194</v>
      </c>
      <c r="E212" s="57">
        <v>50082183</v>
      </c>
      <c r="F212" s="57" t="s">
        <v>515</v>
      </c>
      <c r="G212" s="57">
        <v>3.5491000000000001</v>
      </c>
      <c r="H212" s="57">
        <v>50082194</v>
      </c>
      <c r="I212" s="57" t="s">
        <v>1365</v>
      </c>
      <c r="J212" s="57">
        <v>7.2400000000000006E-2</v>
      </c>
      <c r="L212">
        <v>50102168</v>
      </c>
      <c r="M212" t="s">
        <v>132</v>
      </c>
      <c r="N212">
        <v>50099334</v>
      </c>
      <c r="O212" t="s">
        <v>854</v>
      </c>
      <c r="U212">
        <v>50102502</v>
      </c>
      <c r="V212" t="s">
        <v>1755</v>
      </c>
      <c r="W212">
        <v>50099334</v>
      </c>
      <c r="X212" t="s">
        <v>854</v>
      </c>
      <c r="Y212">
        <f>VLOOKUP(W212,Sheet2!A:D,3,0)</f>
        <v>50097522</v>
      </c>
      <c r="Z212" t="str">
        <f>VLOOKUP(W212,Sheet2!A:D,4,0)</f>
        <v>PPHP: REPOL H110MAS</v>
      </c>
    </row>
    <row r="213" spans="1:26" ht="15">
      <c r="A213" s="57">
        <v>50110680</v>
      </c>
      <c r="B213" s="57" t="s">
        <v>1581</v>
      </c>
      <c r="C213" s="57">
        <v>50110678</v>
      </c>
      <c r="D213" s="57" t="s">
        <v>194</v>
      </c>
      <c r="E213" s="57">
        <v>50082183</v>
      </c>
      <c r="F213" s="57" t="s">
        <v>515</v>
      </c>
      <c r="G213" s="57">
        <v>3.5491000000000001</v>
      </c>
      <c r="H213" s="57">
        <v>50082194</v>
      </c>
      <c r="I213" s="57" t="s">
        <v>1365</v>
      </c>
      <c r="J213" s="57">
        <v>7.2400000000000006E-2</v>
      </c>
      <c r="L213">
        <v>50102168</v>
      </c>
      <c r="M213" t="s">
        <v>132</v>
      </c>
      <c r="N213">
        <v>50102159</v>
      </c>
      <c r="O213" t="s">
        <v>899</v>
      </c>
      <c r="U213">
        <v>50102502</v>
      </c>
      <c r="V213" t="s">
        <v>1755</v>
      </c>
      <c r="W213">
        <v>50102159</v>
      </c>
      <c r="X213" t="s">
        <v>899</v>
      </c>
      <c r="Y213">
        <f>VLOOKUP(W213,Sheet2!A:D,3,0)</f>
        <v>50097522</v>
      </c>
      <c r="Z213" t="str">
        <f>VLOOKUP(W213,Sheet2!A:D,4,0)</f>
        <v>PPHP: REPOL H110MAS</v>
      </c>
    </row>
    <row r="214" spans="1:26" ht="15">
      <c r="A214" s="57">
        <v>50110683</v>
      </c>
      <c r="B214" s="57" t="s">
        <v>390</v>
      </c>
      <c r="C214" s="57">
        <v>50110682</v>
      </c>
      <c r="D214" s="57" t="s">
        <v>1060</v>
      </c>
      <c r="E214" s="57">
        <v>50082183</v>
      </c>
      <c r="F214" s="57" t="s">
        <v>515</v>
      </c>
      <c r="G214" s="57">
        <v>3.5491000000000001</v>
      </c>
      <c r="H214" s="57">
        <v>50082152</v>
      </c>
      <c r="I214" s="57" t="s">
        <v>1390</v>
      </c>
      <c r="J214" s="57">
        <v>7.2400000000000006E-2</v>
      </c>
      <c r="L214">
        <v>50102169</v>
      </c>
      <c r="M214" t="s">
        <v>395</v>
      </c>
      <c r="N214">
        <v>50099205</v>
      </c>
      <c r="O214" t="s">
        <v>848</v>
      </c>
      <c r="U214">
        <v>50102520</v>
      </c>
      <c r="V214" t="s">
        <v>1756</v>
      </c>
      <c r="W214">
        <v>50099333</v>
      </c>
      <c r="X214" t="s">
        <v>853</v>
      </c>
      <c r="Y214">
        <f>VLOOKUP(W214,Sheet2!A:D,3,0)</f>
        <v>50097522</v>
      </c>
      <c r="Z214" t="str">
        <f>VLOOKUP(W214,Sheet2!A:D,4,0)</f>
        <v>PPHP: REPOL H110MAS</v>
      </c>
    </row>
    <row r="215" spans="1:26" ht="15">
      <c r="A215" s="57">
        <v>50110684</v>
      </c>
      <c r="B215" s="57" t="s">
        <v>1582</v>
      </c>
      <c r="C215" s="57">
        <v>50110682</v>
      </c>
      <c r="D215" s="57" t="s">
        <v>1060</v>
      </c>
      <c r="E215" s="57">
        <v>50082183</v>
      </c>
      <c r="F215" s="57" t="s">
        <v>515</v>
      </c>
      <c r="G215" s="57">
        <v>3.5491000000000001</v>
      </c>
      <c r="H215" s="57">
        <v>50082152</v>
      </c>
      <c r="I215" s="57" t="s">
        <v>1390</v>
      </c>
      <c r="J215" s="57">
        <v>7.2400000000000006E-2</v>
      </c>
      <c r="L215">
        <v>50102169</v>
      </c>
      <c r="M215" t="s">
        <v>395</v>
      </c>
      <c r="N215">
        <v>50099334</v>
      </c>
      <c r="O215" t="s">
        <v>854</v>
      </c>
      <c r="U215">
        <v>50102520</v>
      </c>
      <c r="V215" t="s">
        <v>1756</v>
      </c>
      <c r="W215">
        <v>50102525</v>
      </c>
      <c r="X215" t="s">
        <v>909</v>
      </c>
      <c r="Y215">
        <f>VLOOKUP(W215,Sheet2!A:D,3,0)</f>
        <v>50097522</v>
      </c>
      <c r="Z215" t="str">
        <f>VLOOKUP(W215,Sheet2!A:D,4,0)</f>
        <v>PPHP: REPOL H110MAS</v>
      </c>
    </row>
    <row r="216" spans="1:26" ht="15">
      <c r="A216" s="57">
        <v>50110686</v>
      </c>
      <c r="B216" s="57" t="s">
        <v>1583</v>
      </c>
      <c r="C216" s="57">
        <v>50110685</v>
      </c>
      <c r="D216" s="57" t="s">
        <v>1061</v>
      </c>
      <c r="E216" s="57">
        <v>50082183</v>
      </c>
      <c r="F216" s="57" t="s">
        <v>515</v>
      </c>
      <c r="G216" s="57">
        <v>3.5491000000000001</v>
      </c>
      <c r="H216" s="57">
        <v>50082194</v>
      </c>
      <c r="I216" s="57" t="s">
        <v>1365</v>
      </c>
      <c r="J216" s="57">
        <v>7.2400000000000006E-2</v>
      </c>
      <c r="L216">
        <v>50102170</v>
      </c>
      <c r="M216" t="s">
        <v>240</v>
      </c>
      <c r="N216">
        <v>50099204</v>
      </c>
      <c r="O216" t="s">
        <v>847</v>
      </c>
      <c r="U216">
        <v>50102521</v>
      </c>
      <c r="V216" t="s">
        <v>1757</v>
      </c>
      <c r="W216">
        <v>50099334</v>
      </c>
      <c r="X216" t="s">
        <v>854</v>
      </c>
      <c r="Y216">
        <f>VLOOKUP(W216,Sheet2!A:D,3,0)</f>
        <v>50097522</v>
      </c>
      <c r="Z216" t="str">
        <f>VLOOKUP(W216,Sheet2!A:D,4,0)</f>
        <v>PPHP: REPOL H110MAS</v>
      </c>
    </row>
    <row r="217" spans="1:26" ht="15">
      <c r="A217" s="57">
        <v>50110687</v>
      </c>
      <c r="B217" s="57" t="s">
        <v>1584</v>
      </c>
      <c r="C217" s="57">
        <v>50110685</v>
      </c>
      <c r="D217" s="57" t="s">
        <v>1061</v>
      </c>
      <c r="E217" s="57">
        <v>50082183</v>
      </c>
      <c r="F217" s="57" t="s">
        <v>515</v>
      </c>
      <c r="G217" s="57">
        <v>3.5491000000000001</v>
      </c>
      <c r="H217" s="57">
        <v>50082194</v>
      </c>
      <c r="I217" s="57" t="s">
        <v>1365</v>
      </c>
      <c r="J217" s="57">
        <v>7.2400000000000006E-2</v>
      </c>
      <c r="L217">
        <v>50102170</v>
      </c>
      <c r="M217" t="s">
        <v>240</v>
      </c>
      <c r="N217">
        <v>50099333</v>
      </c>
      <c r="O217" t="s">
        <v>853</v>
      </c>
      <c r="U217">
        <v>50102521</v>
      </c>
      <c r="V217" t="s">
        <v>1757</v>
      </c>
      <c r="W217">
        <v>50102524</v>
      </c>
      <c r="X217" t="s">
        <v>908</v>
      </c>
      <c r="Y217">
        <f>VLOOKUP(W217,Sheet2!A:D,3,0)</f>
        <v>50097522</v>
      </c>
      <c r="Z217" t="str">
        <f>VLOOKUP(W217,Sheet2!A:D,4,0)</f>
        <v>PPHP: REPOL H110MAS</v>
      </c>
    </row>
    <row r="218" spans="1:26" ht="15">
      <c r="A218" s="57">
        <v>50110689</v>
      </c>
      <c r="B218" s="57" t="s">
        <v>1557</v>
      </c>
      <c r="C218" s="57">
        <v>50110688</v>
      </c>
      <c r="D218" s="57" t="s">
        <v>913</v>
      </c>
      <c r="E218" s="57">
        <v>50082202</v>
      </c>
      <c r="F218" s="57" t="s">
        <v>519</v>
      </c>
      <c r="G218" s="57">
        <v>3.552</v>
      </c>
      <c r="H218" s="57" t="s">
        <v>1359</v>
      </c>
      <c r="I218" s="57" t="s">
        <v>1359</v>
      </c>
      <c r="J218" s="57" t="s">
        <v>1359</v>
      </c>
      <c r="L218">
        <v>50102171</v>
      </c>
      <c r="M218" t="s">
        <v>1751</v>
      </c>
      <c r="N218">
        <v>50099333</v>
      </c>
      <c r="O218" t="s">
        <v>853</v>
      </c>
      <c r="U218">
        <v>50102522</v>
      </c>
      <c r="V218" t="s">
        <v>1758</v>
      </c>
      <c r="W218">
        <v>50099205</v>
      </c>
      <c r="X218" t="s">
        <v>848</v>
      </c>
      <c r="Y218">
        <f>VLOOKUP(W218,Sheet2!A:D,3,0)</f>
        <v>50097522</v>
      </c>
      <c r="Z218" t="str">
        <f>VLOOKUP(W218,Sheet2!A:D,4,0)</f>
        <v>PPHP: REPOL H110MAS</v>
      </c>
    </row>
    <row r="219" spans="1:26" ht="15">
      <c r="A219" s="57">
        <v>50110690</v>
      </c>
      <c r="B219" s="57" t="s">
        <v>1558</v>
      </c>
      <c r="C219" s="57">
        <v>50110688</v>
      </c>
      <c r="D219" s="57" t="s">
        <v>913</v>
      </c>
      <c r="E219" s="57">
        <v>50082202</v>
      </c>
      <c r="F219" s="57" t="s">
        <v>519</v>
      </c>
      <c r="G219" s="57">
        <v>3.552</v>
      </c>
      <c r="H219" s="57" t="s">
        <v>1359</v>
      </c>
      <c r="I219" s="57" t="s">
        <v>1359</v>
      </c>
      <c r="J219" s="57" t="s">
        <v>1359</v>
      </c>
      <c r="L219">
        <v>50102171</v>
      </c>
      <c r="M219" t="s">
        <v>1751</v>
      </c>
      <c r="N219">
        <v>50102160</v>
      </c>
      <c r="O219" t="s">
        <v>900</v>
      </c>
      <c r="U219">
        <v>50102522</v>
      </c>
      <c r="V219" t="s">
        <v>1758</v>
      </c>
      <c r="W219">
        <v>50099334</v>
      </c>
      <c r="X219" t="s">
        <v>854</v>
      </c>
      <c r="Y219">
        <f>VLOOKUP(W219,Sheet2!A:D,3,0)</f>
        <v>50097522</v>
      </c>
      <c r="Z219" t="str">
        <f>VLOOKUP(W219,Sheet2!A:D,4,0)</f>
        <v>PPHP: REPOL H110MAS</v>
      </c>
    </row>
    <row r="220" spans="1:26" ht="15">
      <c r="A220" s="57">
        <v>50111267</v>
      </c>
      <c r="B220" s="57" t="s">
        <v>1585</v>
      </c>
      <c r="C220" s="57">
        <v>50111266</v>
      </c>
      <c r="D220" s="57" t="s">
        <v>1072</v>
      </c>
      <c r="E220" s="57">
        <v>50082202</v>
      </c>
      <c r="F220" s="57" t="s">
        <v>519</v>
      </c>
      <c r="G220" s="57">
        <v>3.552</v>
      </c>
      <c r="H220" s="57" t="s">
        <v>1359</v>
      </c>
      <c r="I220" s="57" t="s">
        <v>1359</v>
      </c>
      <c r="J220" s="57" t="s">
        <v>1359</v>
      </c>
      <c r="L220">
        <v>50102173</v>
      </c>
      <c r="M220" t="s">
        <v>1752</v>
      </c>
      <c r="N220">
        <v>50099334</v>
      </c>
      <c r="O220" t="s">
        <v>854</v>
      </c>
      <c r="U220">
        <v>50102523</v>
      </c>
      <c r="V220" t="s">
        <v>1759</v>
      </c>
      <c r="W220">
        <v>50099205</v>
      </c>
      <c r="X220" t="s">
        <v>848</v>
      </c>
      <c r="Y220">
        <f>VLOOKUP(W220,Sheet2!A:D,3,0)</f>
        <v>50097522</v>
      </c>
      <c r="Z220" t="str">
        <f>VLOOKUP(W220,Sheet2!A:D,4,0)</f>
        <v>PPHP: REPOL H110MAS</v>
      </c>
    </row>
    <row r="221" spans="1:26" ht="15">
      <c r="A221" s="57">
        <v>50111268</v>
      </c>
      <c r="B221" s="57" t="s">
        <v>1586</v>
      </c>
      <c r="C221" s="57">
        <v>50111266</v>
      </c>
      <c r="D221" s="57" t="s">
        <v>1072</v>
      </c>
      <c r="E221" s="57">
        <v>50082202</v>
      </c>
      <c r="F221" s="57" t="s">
        <v>519</v>
      </c>
      <c r="G221" s="57">
        <v>3.552</v>
      </c>
      <c r="H221" s="57" t="s">
        <v>1359</v>
      </c>
      <c r="I221" s="57" t="s">
        <v>1359</v>
      </c>
      <c r="J221" s="57" t="s">
        <v>1359</v>
      </c>
      <c r="L221">
        <v>50102173</v>
      </c>
      <c r="M221" t="s">
        <v>1752</v>
      </c>
      <c r="N221">
        <v>50102172</v>
      </c>
      <c r="O221" t="s">
        <v>901</v>
      </c>
      <c r="U221">
        <v>50102523</v>
      </c>
      <c r="V221" t="s">
        <v>1759</v>
      </c>
      <c r="W221">
        <v>50099333</v>
      </c>
      <c r="X221" t="s">
        <v>853</v>
      </c>
      <c r="Y221">
        <f>VLOOKUP(W221,Sheet2!A:D,3,0)</f>
        <v>50097522</v>
      </c>
      <c r="Z221" t="str">
        <f>VLOOKUP(W221,Sheet2!A:D,4,0)</f>
        <v>PPHP: REPOL H110MAS</v>
      </c>
    </row>
    <row r="222" spans="1:26" ht="15">
      <c r="A222" s="57">
        <v>50111270</v>
      </c>
      <c r="B222" s="57" t="s">
        <v>1587</v>
      </c>
      <c r="C222" s="57">
        <v>50111269</v>
      </c>
      <c r="D222" s="57" t="s">
        <v>1073</v>
      </c>
      <c r="E222" s="57">
        <v>50082202</v>
      </c>
      <c r="F222" s="57" t="s">
        <v>519</v>
      </c>
      <c r="G222" s="57">
        <v>3.552</v>
      </c>
      <c r="H222" s="57" t="s">
        <v>1359</v>
      </c>
      <c r="I222" s="57" t="s">
        <v>1359</v>
      </c>
      <c r="J222" s="57" t="s">
        <v>1359</v>
      </c>
      <c r="L222">
        <v>50102481</v>
      </c>
      <c r="M222" t="s">
        <v>1753</v>
      </c>
      <c r="N222">
        <v>50099204</v>
      </c>
      <c r="O222" t="s">
        <v>847</v>
      </c>
      <c r="U222">
        <v>50102727</v>
      </c>
      <c r="V222" t="s">
        <v>1760</v>
      </c>
      <c r="W222">
        <v>50082145</v>
      </c>
      <c r="X222" t="s">
        <v>710</v>
      </c>
      <c r="Y222">
        <f>VLOOKUP(W222,Sheet2!A:D,3,0)</f>
        <v>50082181</v>
      </c>
      <c r="Z222" t="str">
        <f>VLOOKUP(W222,Sheet2!A:D,4,0)</f>
        <v>PPHP: COPYLENE CH120LN</v>
      </c>
    </row>
    <row r="223" spans="1:26" ht="15">
      <c r="A223" s="57">
        <v>50111271</v>
      </c>
      <c r="B223" s="57" t="s">
        <v>1588</v>
      </c>
      <c r="C223" s="57">
        <v>50111269</v>
      </c>
      <c r="D223" s="57" t="s">
        <v>1073</v>
      </c>
      <c r="E223" s="57">
        <v>50082202</v>
      </c>
      <c r="F223" s="57" t="s">
        <v>519</v>
      </c>
      <c r="G223" s="57">
        <v>3.552</v>
      </c>
      <c r="H223" s="57" t="s">
        <v>1359</v>
      </c>
      <c r="I223" s="57" t="s">
        <v>1359</v>
      </c>
      <c r="J223" s="57" t="s">
        <v>1359</v>
      </c>
      <c r="L223">
        <v>50102481</v>
      </c>
      <c r="M223" t="s">
        <v>1753</v>
      </c>
      <c r="N223">
        <v>50099333</v>
      </c>
      <c r="O223" t="s">
        <v>853</v>
      </c>
      <c r="U223">
        <v>50102727</v>
      </c>
      <c r="V223" t="s">
        <v>1760</v>
      </c>
      <c r="W223">
        <v>50082178</v>
      </c>
      <c r="X223" t="s">
        <v>719</v>
      </c>
      <c r="Y223">
        <f>VLOOKUP(W223,Sheet2!A:D,3,0)</f>
        <v>50082181</v>
      </c>
      <c r="Z223" t="str">
        <f>VLOOKUP(W223,Sheet2!A:D,4,0)</f>
        <v>PPHP: COPYLENE CH120LN</v>
      </c>
    </row>
    <row r="224" spans="1:26" ht="15">
      <c r="A224" s="57">
        <v>50111341</v>
      </c>
      <c r="B224" s="57" t="s">
        <v>1589</v>
      </c>
      <c r="C224" s="57">
        <v>50110381</v>
      </c>
      <c r="D224" s="57" t="s">
        <v>1055</v>
      </c>
      <c r="E224" s="57">
        <v>50082183</v>
      </c>
      <c r="F224" s="57" t="s">
        <v>515</v>
      </c>
      <c r="G224" s="57">
        <v>0.621</v>
      </c>
      <c r="H224" s="57" t="s">
        <v>1359</v>
      </c>
      <c r="I224" s="57" t="s">
        <v>1359</v>
      </c>
      <c r="J224" s="57" t="s">
        <v>1359</v>
      </c>
      <c r="L224">
        <v>50102500</v>
      </c>
      <c r="M224" t="s">
        <v>1754</v>
      </c>
      <c r="N224">
        <v>50102095</v>
      </c>
      <c r="O224" t="s">
        <v>896</v>
      </c>
      <c r="U224">
        <v>50102739</v>
      </c>
      <c r="V224" t="s">
        <v>1761</v>
      </c>
      <c r="W224">
        <v>50082145</v>
      </c>
      <c r="X224" t="s">
        <v>710</v>
      </c>
      <c r="Y224">
        <f>VLOOKUP(W224,Sheet2!A:D,3,0)</f>
        <v>50082181</v>
      </c>
      <c r="Z224" t="str">
        <f>VLOOKUP(W224,Sheet2!A:D,4,0)</f>
        <v>PPHP: COPYLENE CH120LN</v>
      </c>
    </row>
    <row r="225" spans="1:26" ht="15">
      <c r="A225" s="57">
        <v>50111342</v>
      </c>
      <c r="B225" s="57" t="s">
        <v>1590</v>
      </c>
      <c r="C225" s="57">
        <v>50110381</v>
      </c>
      <c r="D225" s="57" t="s">
        <v>1055</v>
      </c>
      <c r="E225" s="57">
        <v>50082183</v>
      </c>
      <c r="F225" s="57" t="s">
        <v>515</v>
      </c>
      <c r="G225" s="57">
        <v>0.621</v>
      </c>
      <c r="H225" s="57" t="s">
        <v>1359</v>
      </c>
      <c r="I225" s="57" t="s">
        <v>1359</v>
      </c>
      <c r="J225" s="57" t="s">
        <v>1359</v>
      </c>
      <c r="L225">
        <v>50102500</v>
      </c>
      <c r="M225" t="s">
        <v>1754</v>
      </c>
      <c r="N225">
        <v>50102096</v>
      </c>
      <c r="O225" t="s">
        <v>897</v>
      </c>
      <c r="U225">
        <v>50102739</v>
      </c>
      <c r="V225" t="s">
        <v>1761</v>
      </c>
      <c r="W225">
        <v>50082178</v>
      </c>
      <c r="X225" t="s">
        <v>719</v>
      </c>
      <c r="Y225">
        <f>VLOOKUP(W225,Sheet2!A:D,3,0)</f>
        <v>50082181</v>
      </c>
      <c r="Z225" t="str">
        <f>VLOOKUP(W225,Sheet2!A:D,4,0)</f>
        <v>PPHP: COPYLENE CH120LN</v>
      </c>
    </row>
    <row r="226" spans="1:26" ht="15">
      <c r="A226" s="57">
        <v>50111789</v>
      </c>
      <c r="B226" s="57" t="s">
        <v>1591</v>
      </c>
      <c r="C226" s="57">
        <v>50111788</v>
      </c>
      <c r="D226" s="57" t="s">
        <v>1106</v>
      </c>
      <c r="E226" s="57">
        <v>50082198</v>
      </c>
      <c r="F226" s="57" t="s">
        <v>1358</v>
      </c>
      <c r="G226" s="57">
        <v>2.8420000000000001</v>
      </c>
      <c r="H226" s="57">
        <v>50111947</v>
      </c>
      <c r="I226" s="57" t="s">
        <v>1592</v>
      </c>
      <c r="J226" s="57">
        <v>5.8000000000000003E-2</v>
      </c>
      <c r="L226">
        <v>50102502</v>
      </c>
      <c r="M226" t="s">
        <v>1755</v>
      </c>
      <c r="N226">
        <v>50099334</v>
      </c>
      <c r="O226" t="s">
        <v>854</v>
      </c>
      <c r="U226">
        <v>50103314</v>
      </c>
      <c r="V226" t="s">
        <v>1762</v>
      </c>
      <c r="W226">
        <v>50102095</v>
      </c>
      <c r="X226" t="s">
        <v>896</v>
      </c>
      <c r="Y226">
        <f>VLOOKUP(W226,Sheet2!A:D,3,0)</f>
        <v>50097522</v>
      </c>
      <c r="Z226" t="str">
        <f>VLOOKUP(W226,Sheet2!A:D,4,0)</f>
        <v>PPHP: REPOL H110MAS</v>
      </c>
    </row>
    <row r="227" spans="1:26" ht="15">
      <c r="A227" s="57">
        <v>50111790</v>
      </c>
      <c r="B227" s="57" t="s">
        <v>1593</v>
      </c>
      <c r="C227" s="57">
        <v>50111788</v>
      </c>
      <c r="D227" s="57" t="s">
        <v>1106</v>
      </c>
      <c r="E227" s="57">
        <v>50082198</v>
      </c>
      <c r="F227" s="57" t="s">
        <v>1358</v>
      </c>
      <c r="G227" s="57">
        <v>2.8420000000000001</v>
      </c>
      <c r="H227" s="57">
        <v>50111947</v>
      </c>
      <c r="I227" s="57" t="s">
        <v>1592</v>
      </c>
      <c r="J227" s="57">
        <v>5.8000000000000003E-2</v>
      </c>
      <c r="L227">
        <v>50102502</v>
      </c>
      <c r="M227" t="s">
        <v>1755</v>
      </c>
      <c r="N227">
        <v>50102159</v>
      </c>
      <c r="O227" t="s">
        <v>899</v>
      </c>
      <c r="U227">
        <v>50103314</v>
      </c>
      <c r="V227" t="s">
        <v>1762</v>
      </c>
      <c r="W227">
        <v>50102096</v>
      </c>
      <c r="X227" t="s">
        <v>897</v>
      </c>
      <c r="Y227">
        <f>VLOOKUP(W227,Sheet2!A:D,3,0)</f>
        <v>50097522</v>
      </c>
      <c r="Z227" t="str">
        <f>VLOOKUP(W227,Sheet2!A:D,4,0)</f>
        <v>PPHP: REPOL H110MAS</v>
      </c>
    </row>
    <row r="228" spans="1:26" ht="15">
      <c r="A228" s="57">
        <v>50111792</v>
      </c>
      <c r="B228" s="57" t="s">
        <v>1594</v>
      </c>
      <c r="C228" s="57">
        <v>50111791</v>
      </c>
      <c r="D228" s="57" t="s">
        <v>1107</v>
      </c>
      <c r="E228" s="57">
        <v>50082198</v>
      </c>
      <c r="F228" s="57" t="s">
        <v>1358</v>
      </c>
      <c r="G228" s="57">
        <v>3.5491000000000001</v>
      </c>
      <c r="H228" s="57">
        <v>50111947</v>
      </c>
      <c r="I228" s="57" t="s">
        <v>1592</v>
      </c>
      <c r="J228" s="57">
        <v>7.2400000000000006E-2</v>
      </c>
      <c r="L228">
        <v>50102520</v>
      </c>
      <c r="M228" t="s">
        <v>1756</v>
      </c>
      <c r="N228">
        <v>50099333</v>
      </c>
      <c r="O228" t="s">
        <v>853</v>
      </c>
      <c r="U228">
        <v>50103316</v>
      </c>
      <c r="V228" t="s">
        <v>1763</v>
      </c>
      <c r="W228">
        <v>50099204</v>
      </c>
      <c r="X228" t="s">
        <v>847</v>
      </c>
      <c r="Y228">
        <f>VLOOKUP(W228,Sheet2!A:D,3,0)</f>
        <v>50097522</v>
      </c>
      <c r="Z228" t="str">
        <f>VLOOKUP(W228,Sheet2!A:D,4,0)</f>
        <v>PPHP: REPOL H110MAS</v>
      </c>
    </row>
    <row r="229" spans="1:26" ht="15">
      <c r="A229" s="57">
        <v>50111793</v>
      </c>
      <c r="B229" s="57" t="s">
        <v>1595</v>
      </c>
      <c r="C229" s="57">
        <v>50111791</v>
      </c>
      <c r="D229" s="57" t="s">
        <v>1107</v>
      </c>
      <c r="E229" s="57">
        <v>50082198</v>
      </c>
      <c r="F229" s="57" t="s">
        <v>1358</v>
      </c>
      <c r="G229" s="57">
        <v>3.5491000000000001</v>
      </c>
      <c r="H229" s="57">
        <v>50111947</v>
      </c>
      <c r="I229" s="57" t="s">
        <v>1592</v>
      </c>
      <c r="J229" s="57">
        <v>7.2400000000000006E-2</v>
      </c>
      <c r="L229">
        <v>50102520</v>
      </c>
      <c r="M229" t="s">
        <v>1756</v>
      </c>
      <c r="N229">
        <v>50102525</v>
      </c>
      <c r="O229" t="s">
        <v>909</v>
      </c>
      <c r="U229">
        <v>50103316</v>
      </c>
      <c r="V229" t="s">
        <v>1763</v>
      </c>
      <c r="W229">
        <v>50099333</v>
      </c>
      <c r="X229" t="s">
        <v>853</v>
      </c>
      <c r="Y229">
        <f>VLOOKUP(W229,Sheet2!A:D,3,0)</f>
        <v>50097522</v>
      </c>
      <c r="Z229" t="str">
        <f>VLOOKUP(W229,Sheet2!A:D,4,0)</f>
        <v>PPHP: REPOL H110MAS</v>
      </c>
    </row>
    <row r="230" spans="1:26" ht="15">
      <c r="A230" s="57">
        <v>50111832</v>
      </c>
      <c r="B230" s="57" t="s">
        <v>1596</v>
      </c>
      <c r="C230" s="57">
        <v>50111831</v>
      </c>
      <c r="D230" s="57" t="s">
        <v>1597</v>
      </c>
      <c r="E230" s="57">
        <v>50082198</v>
      </c>
      <c r="F230" s="57" t="s">
        <v>1358</v>
      </c>
      <c r="G230" s="57">
        <v>3.4590000000000001</v>
      </c>
      <c r="H230" s="57">
        <v>50082194</v>
      </c>
      <c r="I230" s="57" t="s">
        <v>1365</v>
      </c>
      <c r="J230" s="57">
        <v>7.0599999999999996E-2</v>
      </c>
      <c r="L230">
        <v>50102521</v>
      </c>
      <c r="M230" t="s">
        <v>1757</v>
      </c>
      <c r="N230">
        <v>50099334</v>
      </c>
      <c r="O230" t="s">
        <v>854</v>
      </c>
      <c r="U230">
        <v>50103317</v>
      </c>
      <c r="V230" t="s">
        <v>1764</v>
      </c>
      <c r="W230">
        <v>50102095</v>
      </c>
      <c r="X230" t="s">
        <v>896</v>
      </c>
      <c r="Y230">
        <f>VLOOKUP(W230,Sheet2!A:D,3,0)</f>
        <v>50097522</v>
      </c>
      <c r="Z230" t="str">
        <f>VLOOKUP(W230,Sheet2!A:D,4,0)</f>
        <v>PPHP: REPOL H110MAS</v>
      </c>
    </row>
    <row r="231" spans="1:26" ht="15">
      <c r="A231" s="57">
        <v>50111833</v>
      </c>
      <c r="B231" s="57" t="s">
        <v>1598</v>
      </c>
      <c r="C231" s="57">
        <v>50111831</v>
      </c>
      <c r="D231" s="57" t="s">
        <v>1597</v>
      </c>
      <c r="E231" s="57">
        <v>50082198</v>
      </c>
      <c r="F231" s="57" t="s">
        <v>1358</v>
      </c>
      <c r="G231" s="57">
        <v>3.4590000000000001</v>
      </c>
      <c r="H231" s="57">
        <v>50082194</v>
      </c>
      <c r="I231" s="57" t="s">
        <v>1365</v>
      </c>
      <c r="J231" s="57">
        <v>7.0599999999999996E-2</v>
      </c>
      <c r="L231">
        <v>50102521</v>
      </c>
      <c r="M231" t="s">
        <v>1757</v>
      </c>
      <c r="N231">
        <v>50102524</v>
      </c>
      <c r="O231" t="s">
        <v>908</v>
      </c>
      <c r="U231">
        <v>50103317</v>
      </c>
      <c r="V231" t="s">
        <v>1764</v>
      </c>
      <c r="W231">
        <v>50102096</v>
      </c>
      <c r="X231" t="s">
        <v>897</v>
      </c>
      <c r="Y231">
        <f>VLOOKUP(W231,Sheet2!A:D,3,0)</f>
        <v>50097522</v>
      </c>
      <c r="Z231" t="str">
        <f>VLOOKUP(W231,Sheet2!A:D,4,0)</f>
        <v>PPHP: REPOL H110MAS</v>
      </c>
    </row>
    <row r="232" spans="1:26" ht="15">
      <c r="A232" s="57">
        <v>50111835</v>
      </c>
      <c r="B232" s="57" t="s">
        <v>1599</v>
      </c>
      <c r="C232" s="57">
        <v>50111834</v>
      </c>
      <c r="D232" s="57" t="s">
        <v>1600</v>
      </c>
      <c r="E232" s="57">
        <v>50082183</v>
      </c>
      <c r="F232" s="57" t="s">
        <v>515</v>
      </c>
      <c r="G232" s="57">
        <v>3.4624999999999999</v>
      </c>
      <c r="H232" s="57" t="s">
        <v>1359</v>
      </c>
      <c r="I232" s="57" t="s">
        <v>1359</v>
      </c>
      <c r="J232" s="57" t="s">
        <v>1359</v>
      </c>
      <c r="L232">
        <v>50102522</v>
      </c>
      <c r="M232" t="s">
        <v>1758</v>
      </c>
      <c r="N232">
        <v>50099205</v>
      </c>
      <c r="O232" t="s">
        <v>848</v>
      </c>
      <c r="U232">
        <v>50103457</v>
      </c>
      <c r="V232" t="s">
        <v>1765</v>
      </c>
      <c r="W232">
        <v>50102095</v>
      </c>
      <c r="X232" t="s">
        <v>896</v>
      </c>
      <c r="Y232">
        <f>VLOOKUP(W232,Sheet2!A:D,3,0)</f>
        <v>50097522</v>
      </c>
      <c r="Z232" t="str">
        <f>VLOOKUP(W232,Sheet2!A:D,4,0)</f>
        <v>PPHP: REPOL H110MAS</v>
      </c>
    </row>
    <row r="233" spans="1:26" ht="15">
      <c r="A233" s="57">
        <v>50111836</v>
      </c>
      <c r="B233" s="57" t="s">
        <v>1601</v>
      </c>
      <c r="C233" s="57">
        <v>50111834</v>
      </c>
      <c r="D233" s="57" t="s">
        <v>1600</v>
      </c>
      <c r="E233" s="57">
        <v>50082183</v>
      </c>
      <c r="F233" s="57" t="s">
        <v>515</v>
      </c>
      <c r="G233" s="57">
        <v>3.4624999999999999</v>
      </c>
      <c r="H233" s="57" t="s">
        <v>1359</v>
      </c>
      <c r="I233" s="57" t="s">
        <v>1359</v>
      </c>
      <c r="J233" s="57" t="s">
        <v>1359</v>
      </c>
      <c r="L233">
        <v>50102522</v>
      </c>
      <c r="M233" t="s">
        <v>1758</v>
      </c>
      <c r="N233">
        <v>50099334</v>
      </c>
      <c r="O233" t="s">
        <v>854</v>
      </c>
      <c r="U233">
        <v>50103457</v>
      </c>
      <c r="V233" t="s">
        <v>1765</v>
      </c>
      <c r="W233">
        <v>50102096</v>
      </c>
      <c r="X233" t="s">
        <v>897</v>
      </c>
      <c r="Y233">
        <f>VLOOKUP(W233,Sheet2!A:D,3,0)</f>
        <v>50097522</v>
      </c>
      <c r="Z233" t="str">
        <f>VLOOKUP(W233,Sheet2!A:D,4,0)</f>
        <v>PPHP: REPOL H110MAS</v>
      </c>
    </row>
    <row r="234" spans="1:26" ht="15">
      <c r="A234" s="57">
        <v>50111838</v>
      </c>
      <c r="B234" s="57" t="s">
        <v>1602</v>
      </c>
      <c r="C234" s="57">
        <v>50111837</v>
      </c>
      <c r="D234" s="57" t="s">
        <v>1603</v>
      </c>
      <c r="E234" s="57">
        <v>50082183</v>
      </c>
      <c r="F234" s="57" t="s">
        <v>515</v>
      </c>
      <c r="G234" s="57">
        <v>3.4373999999999998</v>
      </c>
      <c r="H234" s="57">
        <v>50082152</v>
      </c>
      <c r="I234" s="57" t="s">
        <v>1390</v>
      </c>
      <c r="J234" s="57">
        <v>7.0199999999999999E-2</v>
      </c>
      <c r="L234">
        <v>50102523</v>
      </c>
      <c r="M234" t="s">
        <v>1759</v>
      </c>
      <c r="N234">
        <v>50099205</v>
      </c>
      <c r="O234" t="s">
        <v>848</v>
      </c>
      <c r="U234">
        <v>50103458</v>
      </c>
      <c r="V234" t="s">
        <v>1766</v>
      </c>
      <c r="W234">
        <v>50102095</v>
      </c>
      <c r="X234" t="s">
        <v>896</v>
      </c>
      <c r="Y234">
        <f>VLOOKUP(W234,Sheet2!A:D,3,0)</f>
        <v>50097522</v>
      </c>
      <c r="Z234" t="str">
        <f>VLOOKUP(W234,Sheet2!A:D,4,0)</f>
        <v>PPHP: REPOL H110MAS</v>
      </c>
    </row>
    <row r="235" spans="1:26" ht="15">
      <c r="A235" s="57">
        <v>50111839</v>
      </c>
      <c r="B235" s="57" t="s">
        <v>1604</v>
      </c>
      <c r="C235" s="57">
        <v>50111837</v>
      </c>
      <c r="D235" s="57" t="s">
        <v>1603</v>
      </c>
      <c r="E235" s="57">
        <v>50082183</v>
      </c>
      <c r="F235" s="57" t="s">
        <v>515</v>
      </c>
      <c r="G235" s="57">
        <v>3.4373999999999998</v>
      </c>
      <c r="H235" s="57">
        <v>50082152</v>
      </c>
      <c r="I235" s="57" t="s">
        <v>1390</v>
      </c>
      <c r="J235" s="57">
        <v>7.0199999999999999E-2</v>
      </c>
      <c r="L235">
        <v>50102523</v>
      </c>
      <c r="M235" t="s">
        <v>1759</v>
      </c>
      <c r="N235">
        <v>50099333</v>
      </c>
      <c r="O235" t="s">
        <v>853</v>
      </c>
      <c r="U235">
        <v>50103458</v>
      </c>
      <c r="V235" t="s">
        <v>1766</v>
      </c>
      <c r="W235">
        <v>50102096</v>
      </c>
      <c r="X235" t="s">
        <v>897</v>
      </c>
      <c r="Y235">
        <f>VLOOKUP(W235,Sheet2!A:D,3,0)</f>
        <v>50097522</v>
      </c>
      <c r="Z235" t="str">
        <f>VLOOKUP(W235,Sheet2!A:D,4,0)</f>
        <v>PPHP: REPOL H110MAS</v>
      </c>
    </row>
    <row r="236" spans="1:26" ht="15">
      <c r="A236" s="57">
        <v>50111998</v>
      </c>
      <c r="B236" s="57" t="s">
        <v>1605</v>
      </c>
      <c r="C236" s="57">
        <v>50111997</v>
      </c>
      <c r="D236" s="57" t="s">
        <v>1606</v>
      </c>
      <c r="E236" s="57">
        <v>50082201</v>
      </c>
      <c r="F236" s="57" t="s">
        <v>589</v>
      </c>
      <c r="G236" s="57">
        <v>4.41</v>
      </c>
      <c r="H236" s="57">
        <v>50082194</v>
      </c>
      <c r="I236" s="57" t="s">
        <v>1365</v>
      </c>
      <c r="J236" s="57">
        <v>0.09</v>
      </c>
      <c r="L236">
        <v>50102727</v>
      </c>
      <c r="M236" t="s">
        <v>1760</v>
      </c>
      <c r="N236">
        <v>50082145</v>
      </c>
      <c r="O236" t="s">
        <v>710</v>
      </c>
      <c r="U236">
        <v>50103561</v>
      </c>
      <c r="V236" t="s">
        <v>1767</v>
      </c>
      <c r="W236">
        <v>50082145</v>
      </c>
      <c r="X236" t="s">
        <v>710</v>
      </c>
      <c r="Y236">
        <f>VLOOKUP(W236,Sheet2!A:D,3,0)</f>
        <v>50082181</v>
      </c>
      <c r="Z236" t="str">
        <f>VLOOKUP(W236,Sheet2!A:D,4,0)</f>
        <v>PPHP: COPYLENE CH120LN</v>
      </c>
    </row>
    <row r="237" spans="1:26" ht="15">
      <c r="A237" s="57">
        <v>50111999</v>
      </c>
      <c r="B237" s="57" t="s">
        <v>1607</v>
      </c>
      <c r="C237" s="57">
        <v>50111997</v>
      </c>
      <c r="D237" s="57" t="s">
        <v>1606</v>
      </c>
      <c r="E237" s="57">
        <v>50082183</v>
      </c>
      <c r="F237" s="57" t="s">
        <v>515</v>
      </c>
      <c r="G237" s="57">
        <v>4.41</v>
      </c>
      <c r="H237" s="57">
        <v>50082194</v>
      </c>
      <c r="I237" s="57" t="s">
        <v>1365</v>
      </c>
      <c r="J237" s="57">
        <v>0.09</v>
      </c>
      <c r="L237">
        <v>50102727</v>
      </c>
      <c r="M237" t="s">
        <v>1760</v>
      </c>
      <c r="N237">
        <v>50082178</v>
      </c>
      <c r="O237" t="s">
        <v>719</v>
      </c>
      <c r="U237">
        <v>50103561</v>
      </c>
      <c r="V237" t="s">
        <v>1767</v>
      </c>
      <c r="W237">
        <v>50082178</v>
      </c>
      <c r="X237" t="s">
        <v>719</v>
      </c>
      <c r="Y237">
        <f>VLOOKUP(W237,Sheet2!A:D,3,0)</f>
        <v>50082181</v>
      </c>
      <c r="Z237" t="str">
        <f>VLOOKUP(W237,Sheet2!A:D,4,0)</f>
        <v>PPHP: COPYLENE CH120LN</v>
      </c>
    </row>
    <row r="238" spans="1:26" ht="15">
      <c r="A238" s="57">
        <v>50112214</v>
      </c>
      <c r="B238" s="57" t="s">
        <v>380</v>
      </c>
      <c r="C238" s="57">
        <v>50112004</v>
      </c>
      <c r="D238" s="57" t="s">
        <v>1608</v>
      </c>
      <c r="E238" s="57">
        <v>50082198</v>
      </c>
      <c r="F238" s="57" t="s">
        <v>1358</v>
      </c>
      <c r="G238" s="57">
        <v>2.8420000000000001</v>
      </c>
      <c r="H238" s="57">
        <v>50082194</v>
      </c>
      <c r="I238" s="57" t="s">
        <v>1365</v>
      </c>
      <c r="J238" s="57">
        <v>5.8000000000000003E-2</v>
      </c>
      <c r="L238">
        <v>50102739</v>
      </c>
      <c r="M238" t="s">
        <v>1761</v>
      </c>
      <c r="N238">
        <v>50082145</v>
      </c>
      <c r="O238" t="s">
        <v>710</v>
      </c>
      <c r="U238">
        <v>50104589</v>
      </c>
      <c r="V238" t="s">
        <v>1768</v>
      </c>
      <c r="W238">
        <v>50099205</v>
      </c>
      <c r="X238" t="s">
        <v>848</v>
      </c>
      <c r="Y238">
        <f>VLOOKUP(W238,Sheet2!A:D,3,0)</f>
        <v>50097522</v>
      </c>
      <c r="Z238" t="str">
        <f>VLOOKUP(W238,Sheet2!A:D,4,0)</f>
        <v>PPHP: REPOL H110MAS</v>
      </c>
    </row>
    <row r="239" spans="1:26" ht="15">
      <c r="A239" s="57">
        <v>50112215</v>
      </c>
      <c r="B239" s="57" t="s">
        <v>1609</v>
      </c>
      <c r="C239" s="57">
        <v>50112004</v>
      </c>
      <c r="D239" s="57" t="s">
        <v>1608</v>
      </c>
      <c r="E239" s="57">
        <v>50082198</v>
      </c>
      <c r="F239" s="57" t="s">
        <v>1358</v>
      </c>
      <c r="G239" s="57">
        <v>2.8420000000000001</v>
      </c>
      <c r="H239" s="57">
        <v>50082194</v>
      </c>
      <c r="I239" s="57" t="s">
        <v>1365</v>
      </c>
      <c r="J239" s="57">
        <v>5.8000000000000003E-2</v>
      </c>
      <c r="L239">
        <v>50102739</v>
      </c>
      <c r="M239" t="s">
        <v>1761</v>
      </c>
      <c r="N239">
        <v>50082178</v>
      </c>
      <c r="O239" t="s">
        <v>719</v>
      </c>
      <c r="U239">
        <v>50104589</v>
      </c>
      <c r="V239" t="s">
        <v>1768</v>
      </c>
      <c r="W239">
        <v>50099334</v>
      </c>
      <c r="X239" t="s">
        <v>854</v>
      </c>
      <c r="Y239">
        <f>VLOOKUP(W239,Sheet2!A:D,3,0)</f>
        <v>50097522</v>
      </c>
      <c r="Z239" t="str">
        <f>VLOOKUP(W239,Sheet2!A:D,4,0)</f>
        <v>PPHP: REPOL H110MAS</v>
      </c>
    </row>
    <row r="240" spans="1:26" ht="15">
      <c r="A240" s="57">
        <v>50112266</v>
      </c>
      <c r="B240" s="57" t="s">
        <v>1610</v>
      </c>
      <c r="C240" s="57">
        <v>50112265</v>
      </c>
      <c r="D240" s="57" t="s">
        <v>1611</v>
      </c>
      <c r="E240" s="57">
        <v>50082198</v>
      </c>
      <c r="F240" s="57" t="s">
        <v>1358</v>
      </c>
      <c r="G240" s="57">
        <v>2.8812000000000002</v>
      </c>
      <c r="H240" s="57">
        <v>50111947</v>
      </c>
      <c r="I240" s="57" t="s">
        <v>1592</v>
      </c>
      <c r="J240" s="57">
        <v>5.8799999999999998E-2</v>
      </c>
      <c r="L240">
        <v>50103314</v>
      </c>
      <c r="M240" t="s">
        <v>1762</v>
      </c>
      <c r="N240">
        <v>50102095</v>
      </c>
      <c r="O240" t="s">
        <v>896</v>
      </c>
      <c r="U240">
        <v>50105273</v>
      </c>
      <c r="V240" t="s">
        <v>1769</v>
      </c>
      <c r="W240">
        <v>50099205</v>
      </c>
      <c r="X240" t="s">
        <v>848</v>
      </c>
      <c r="Y240">
        <f>VLOOKUP(W240,Sheet2!A:D,3,0)</f>
        <v>50097522</v>
      </c>
      <c r="Z240" t="str">
        <f>VLOOKUP(W240,Sheet2!A:D,4,0)</f>
        <v>PPHP: REPOL H110MAS</v>
      </c>
    </row>
    <row r="241" spans="1:26" ht="15">
      <c r="A241" s="57">
        <v>50112267</v>
      </c>
      <c r="B241" s="57" t="s">
        <v>1612</v>
      </c>
      <c r="C241" s="57">
        <v>50112265</v>
      </c>
      <c r="D241" s="57" t="s">
        <v>1611</v>
      </c>
      <c r="E241" s="57">
        <v>50082198</v>
      </c>
      <c r="F241" s="57" t="s">
        <v>1358</v>
      </c>
      <c r="G241" s="57">
        <v>2.8812000000000002</v>
      </c>
      <c r="H241" s="57">
        <v>50111947</v>
      </c>
      <c r="I241" s="57" t="s">
        <v>1592</v>
      </c>
      <c r="J241" s="57">
        <v>5.8799999999999998E-2</v>
      </c>
      <c r="L241">
        <v>50103314</v>
      </c>
      <c r="M241" t="s">
        <v>1762</v>
      </c>
      <c r="N241">
        <v>50102096</v>
      </c>
      <c r="O241" t="s">
        <v>897</v>
      </c>
      <c r="U241">
        <v>50105273</v>
      </c>
      <c r="V241" t="s">
        <v>1769</v>
      </c>
      <c r="W241">
        <v>50099334</v>
      </c>
      <c r="X241" t="s">
        <v>854</v>
      </c>
      <c r="Y241">
        <f>VLOOKUP(W241,Sheet2!A:D,3,0)</f>
        <v>50097522</v>
      </c>
      <c r="Z241" t="str">
        <f>VLOOKUP(W241,Sheet2!A:D,4,0)</f>
        <v>PPHP: REPOL H110MAS</v>
      </c>
    </row>
    <row r="242" spans="1:26" ht="15">
      <c r="A242" s="57">
        <v>50112269</v>
      </c>
      <c r="B242" s="57" t="s">
        <v>1613</v>
      </c>
      <c r="C242" s="57">
        <v>50112268</v>
      </c>
      <c r="D242" s="57" t="s">
        <v>1614</v>
      </c>
      <c r="E242" s="57">
        <v>50082137</v>
      </c>
      <c r="F242" s="57" t="s">
        <v>723</v>
      </c>
      <c r="G242" s="57">
        <v>0.57089999999999996</v>
      </c>
      <c r="H242" s="57">
        <v>50111947</v>
      </c>
      <c r="I242" s="57" t="s">
        <v>1592</v>
      </c>
      <c r="J242" s="57">
        <v>1.17E-2</v>
      </c>
      <c r="L242">
        <v>50103316</v>
      </c>
      <c r="M242" t="s">
        <v>1763</v>
      </c>
      <c r="N242">
        <v>50099204</v>
      </c>
      <c r="O242" t="s">
        <v>847</v>
      </c>
      <c r="U242">
        <v>50105274</v>
      </c>
      <c r="V242" t="s">
        <v>1770</v>
      </c>
      <c r="W242">
        <v>50099204</v>
      </c>
      <c r="X242" t="s">
        <v>847</v>
      </c>
      <c r="Y242">
        <f>VLOOKUP(W242,Sheet2!A:D,3,0)</f>
        <v>50097522</v>
      </c>
      <c r="Z242" t="str">
        <f>VLOOKUP(W242,Sheet2!A:D,4,0)</f>
        <v>PPHP: REPOL H110MAS</v>
      </c>
    </row>
    <row r="243" spans="1:26" ht="15">
      <c r="A243" s="57">
        <v>50112270</v>
      </c>
      <c r="B243" s="57" t="s">
        <v>1615</v>
      </c>
      <c r="C243" s="57">
        <v>50112268</v>
      </c>
      <c r="D243" s="57" t="s">
        <v>1614</v>
      </c>
      <c r="E243" s="57">
        <v>50082137</v>
      </c>
      <c r="F243" s="57" t="s">
        <v>723</v>
      </c>
      <c r="G243" s="57">
        <v>0.57089999999999996</v>
      </c>
      <c r="H243" s="57">
        <v>50111947</v>
      </c>
      <c r="I243" s="57" t="s">
        <v>1592</v>
      </c>
      <c r="J243" s="57">
        <v>1.17E-2</v>
      </c>
      <c r="L243">
        <v>50103316</v>
      </c>
      <c r="M243" t="s">
        <v>1763</v>
      </c>
      <c r="N243">
        <v>50099333</v>
      </c>
      <c r="O243" t="s">
        <v>853</v>
      </c>
      <c r="U243">
        <v>50105274</v>
      </c>
      <c r="V243" t="s">
        <v>1770</v>
      </c>
      <c r="W243">
        <v>50099333</v>
      </c>
      <c r="X243" t="s">
        <v>853</v>
      </c>
      <c r="Y243">
        <f>VLOOKUP(W243,Sheet2!A:D,3,0)</f>
        <v>50097522</v>
      </c>
      <c r="Z243" t="str">
        <f>VLOOKUP(W243,Sheet2!A:D,4,0)</f>
        <v>PPHP: REPOL H110MAS</v>
      </c>
    </row>
    <row r="244" spans="1:26" ht="15">
      <c r="A244" s="57">
        <v>50112273</v>
      </c>
      <c r="B244" s="57" t="s">
        <v>1616</v>
      </c>
      <c r="C244" s="57">
        <v>50112272</v>
      </c>
      <c r="D244" s="57" t="s">
        <v>1617</v>
      </c>
      <c r="E244" s="57">
        <v>50082137</v>
      </c>
      <c r="F244" s="57" t="s">
        <v>723</v>
      </c>
      <c r="G244" s="57">
        <v>3.5529999999999999</v>
      </c>
      <c r="H244" s="57">
        <v>50111947</v>
      </c>
      <c r="I244" s="57" t="s">
        <v>1592</v>
      </c>
      <c r="J244" s="57">
        <v>7.2499999999999995E-2</v>
      </c>
      <c r="L244">
        <v>50103317</v>
      </c>
      <c r="M244" t="s">
        <v>1764</v>
      </c>
      <c r="N244">
        <v>50102095</v>
      </c>
      <c r="O244" t="s">
        <v>896</v>
      </c>
      <c r="U244">
        <v>50105703</v>
      </c>
      <c r="V244" t="s">
        <v>260</v>
      </c>
      <c r="W244">
        <v>50082246</v>
      </c>
      <c r="X244" t="s">
        <v>732</v>
      </c>
      <c r="Y244">
        <f>VLOOKUP(W244,Sheet2!A:D,3,0)</f>
        <v>50082183</v>
      </c>
      <c r="Z244" t="str">
        <f>VLOOKUP(W244,Sheet2!A:D,4,0)</f>
        <v>LDPE: PURELL PE 1840 H</v>
      </c>
    </row>
    <row r="245" spans="1:26" ht="15">
      <c r="A245" s="57">
        <v>50112274</v>
      </c>
      <c r="B245" s="57" t="s">
        <v>1618</v>
      </c>
      <c r="C245" s="57">
        <v>50112272</v>
      </c>
      <c r="D245" s="57" t="s">
        <v>1617</v>
      </c>
      <c r="E245" s="57">
        <v>50082137</v>
      </c>
      <c r="F245" s="57" t="s">
        <v>723</v>
      </c>
      <c r="G245" s="57">
        <v>3.5529999999999999</v>
      </c>
      <c r="H245" s="57">
        <v>50111947</v>
      </c>
      <c r="I245" s="57" t="s">
        <v>1592</v>
      </c>
      <c r="J245" s="57">
        <v>7.2499999999999995E-2</v>
      </c>
      <c r="L245">
        <v>50103317</v>
      </c>
      <c r="M245" t="s">
        <v>1764</v>
      </c>
      <c r="N245">
        <v>50102096</v>
      </c>
      <c r="O245" t="s">
        <v>897</v>
      </c>
      <c r="U245">
        <v>50105704</v>
      </c>
      <c r="V245" t="s">
        <v>177</v>
      </c>
      <c r="W245">
        <v>50082246</v>
      </c>
      <c r="X245" t="s">
        <v>732</v>
      </c>
      <c r="Y245">
        <f>VLOOKUP(W245,Sheet2!A:D,3,0)</f>
        <v>50082183</v>
      </c>
      <c r="Z245" t="str">
        <f>VLOOKUP(W245,Sheet2!A:D,4,0)</f>
        <v>LDPE: PURELL PE 1840 H</v>
      </c>
    </row>
    <row r="246" spans="1:26" ht="15">
      <c r="A246" s="57">
        <v>50112842</v>
      </c>
      <c r="B246" s="57" t="s">
        <v>1619</v>
      </c>
      <c r="C246" s="57">
        <v>50101976</v>
      </c>
      <c r="D246" s="57" t="s">
        <v>1449</v>
      </c>
      <c r="E246" s="57">
        <v>50082198</v>
      </c>
      <c r="F246" s="57" t="s">
        <v>1358</v>
      </c>
      <c r="G246" s="57">
        <v>2.8420000000000001</v>
      </c>
      <c r="H246" s="57">
        <v>50082194</v>
      </c>
      <c r="I246" s="57" t="s">
        <v>1365</v>
      </c>
      <c r="J246" s="57">
        <v>5.8000000000000003E-2</v>
      </c>
      <c r="L246">
        <v>50103457</v>
      </c>
      <c r="M246" t="s">
        <v>1765</v>
      </c>
      <c r="N246">
        <v>50102095</v>
      </c>
      <c r="O246" t="s">
        <v>896</v>
      </c>
      <c r="U246">
        <v>50105834</v>
      </c>
      <c r="V246" t="s">
        <v>252</v>
      </c>
      <c r="W246">
        <v>50104782</v>
      </c>
      <c r="X246" t="s">
        <v>1771</v>
      </c>
      <c r="Y246" t="e">
        <f>VLOOKUP(W246,Sheet2!A:D,3,0)</f>
        <v>#N/A</v>
      </c>
      <c r="Z246" t="e">
        <f>VLOOKUP(W246,Sheet2!A:D,4,0)</f>
        <v>#N/A</v>
      </c>
    </row>
    <row r="247" spans="1:26" ht="15">
      <c r="A247" s="57">
        <v>50112844</v>
      </c>
      <c r="B247" s="57" t="s">
        <v>1385</v>
      </c>
      <c r="C247" s="57">
        <v>50081641</v>
      </c>
      <c r="D247" s="57" t="s">
        <v>1386</v>
      </c>
      <c r="E247" s="57">
        <v>50082198</v>
      </c>
      <c r="F247" s="57" t="s">
        <v>1358</v>
      </c>
      <c r="G247" s="57">
        <v>3.5486</v>
      </c>
      <c r="H247" s="57">
        <v>50082194</v>
      </c>
      <c r="I247" s="57" t="s">
        <v>1365</v>
      </c>
      <c r="J247" s="57">
        <v>7.2400000000000006E-2</v>
      </c>
      <c r="L247">
        <v>50103457</v>
      </c>
      <c r="M247" t="s">
        <v>1765</v>
      </c>
      <c r="N247">
        <v>50102096</v>
      </c>
      <c r="O247" t="s">
        <v>897</v>
      </c>
      <c r="U247">
        <v>50105834</v>
      </c>
      <c r="V247" t="s">
        <v>252</v>
      </c>
      <c r="W247">
        <v>50104883</v>
      </c>
      <c r="X247" t="s">
        <v>932</v>
      </c>
      <c r="Y247">
        <f>VLOOKUP(W247,Sheet2!A:D,3,0)</f>
        <v>50104077</v>
      </c>
      <c r="Z247" t="str">
        <f>VLOOKUP(W247,Sheet2!A:D,4,0)</f>
        <v>ABS: NOVODUR HD M203FC</v>
      </c>
    </row>
    <row r="248" spans="1:26" ht="15">
      <c r="A248" s="57">
        <v>50112963</v>
      </c>
      <c r="B248" s="57" t="s">
        <v>1620</v>
      </c>
      <c r="C248" s="57">
        <v>50112962</v>
      </c>
      <c r="D248" s="57" t="s">
        <v>1621</v>
      </c>
      <c r="E248" s="57">
        <v>50112980</v>
      </c>
      <c r="F248" s="57" t="s">
        <v>1144</v>
      </c>
      <c r="G248" s="57">
        <v>2.8812000000000002</v>
      </c>
      <c r="H248" s="57">
        <v>50082152</v>
      </c>
      <c r="I248" s="57" t="s">
        <v>1390</v>
      </c>
      <c r="J248" s="57">
        <v>5.8799999999999998E-2</v>
      </c>
      <c r="L248">
        <v>50103458</v>
      </c>
      <c r="M248" t="s">
        <v>1766</v>
      </c>
      <c r="N248">
        <v>50102095</v>
      </c>
      <c r="O248" t="s">
        <v>896</v>
      </c>
      <c r="U248">
        <v>50105834</v>
      </c>
      <c r="V248" t="s">
        <v>252</v>
      </c>
      <c r="W248">
        <v>50104909</v>
      </c>
      <c r="X248" t="s">
        <v>934</v>
      </c>
      <c r="Y248">
        <f>VLOOKUP(W248,Sheet2!A:D,3,0)</f>
        <v>50104077</v>
      </c>
      <c r="Z248" t="str">
        <f>VLOOKUP(W248,Sheet2!A:D,4,0)</f>
        <v>ABS: NOVODUR HD M203FC</v>
      </c>
    </row>
    <row r="249" spans="1:26" ht="15">
      <c r="A249" s="57">
        <v>50112964</v>
      </c>
      <c r="B249" s="57" t="s">
        <v>1622</v>
      </c>
      <c r="C249" s="57">
        <v>50112962</v>
      </c>
      <c r="D249" s="57" t="s">
        <v>1621</v>
      </c>
      <c r="E249" s="57">
        <v>50112980</v>
      </c>
      <c r="F249" s="57" t="s">
        <v>1144</v>
      </c>
      <c r="G249" s="57">
        <v>2.8812000000000002</v>
      </c>
      <c r="H249" s="57">
        <v>50082152</v>
      </c>
      <c r="I249" s="57" t="s">
        <v>1390</v>
      </c>
      <c r="J249" s="57">
        <v>5.8799999999999998E-2</v>
      </c>
      <c r="L249">
        <v>50103458</v>
      </c>
      <c r="M249" t="s">
        <v>1766</v>
      </c>
      <c r="N249">
        <v>50102096</v>
      </c>
      <c r="O249" t="s">
        <v>897</v>
      </c>
      <c r="U249">
        <v>50105834</v>
      </c>
      <c r="V249" t="s">
        <v>252</v>
      </c>
      <c r="W249">
        <v>50105026</v>
      </c>
      <c r="X249" t="s">
        <v>944</v>
      </c>
      <c r="Y249">
        <f>VLOOKUP(W249,Sheet2!A:D,3,0)</f>
        <v>50104077</v>
      </c>
      <c r="Z249" t="str">
        <f>VLOOKUP(W249,Sheet2!A:D,4,0)</f>
        <v>ABS: NOVODUR HD M203FC</v>
      </c>
    </row>
    <row r="250" spans="1:26" ht="15">
      <c r="A250" s="57">
        <v>50113092</v>
      </c>
      <c r="B250" s="57" t="s">
        <v>1623</v>
      </c>
      <c r="C250" s="57">
        <v>50113091</v>
      </c>
      <c r="D250" s="57" t="s">
        <v>1150</v>
      </c>
      <c r="E250" s="57">
        <v>50082184</v>
      </c>
      <c r="F250" s="57" t="s">
        <v>517</v>
      </c>
      <c r="G250" s="57">
        <v>4.3864999999999998</v>
      </c>
      <c r="H250" s="57">
        <v>50082194</v>
      </c>
      <c r="I250" s="57" t="s">
        <v>1365</v>
      </c>
      <c r="J250" s="57">
        <v>8.9499999999999996E-2</v>
      </c>
      <c r="L250">
        <v>50103561</v>
      </c>
      <c r="M250" t="s">
        <v>1767</v>
      </c>
      <c r="N250">
        <v>50082145</v>
      </c>
      <c r="O250" t="s">
        <v>710</v>
      </c>
      <c r="U250">
        <v>50105834</v>
      </c>
      <c r="V250" t="s">
        <v>252</v>
      </c>
      <c r="W250">
        <v>50105059</v>
      </c>
      <c r="X250" t="s">
        <v>946</v>
      </c>
      <c r="Y250">
        <f>VLOOKUP(W250,Sheet2!A:D,3,0)</f>
        <v>50104077</v>
      </c>
      <c r="Z250" t="str">
        <f>VLOOKUP(W250,Sheet2!A:D,4,0)</f>
        <v>ABS: NOVODUR HD M203FC</v>
      </c>
    </row>
    <row r="251" spans="1:26" ht="15">
      <c r="A251" s="57">
        <v>50113093</v>
      </c>
      <c r="B251" s="57" t="s">
        <v>1624</v>
      </c>
      <c r="C251" s="57">
        <v>50113091</v>
      </c>
      <c r="D251" s="57" t="s">
        <v>1150</v>
      </c>
      <c r="E251" s="57">
        <v>50082184</v>
      </c>
      <c r="F251" s="57" t="s">
        <v>517</v>
      </c>
      <c r="G251" s="57">
        <v>4.3864999999999998</v>
      </c>
      <c r="H251" s="57">
        <v>50082194</v>
      </c>
      <c r="I251" s="57" t="s">
        <v>1365</v>
      </c>
      <c r="J251" s="57">
        <v>8.9499999999999996E-2</v>
      </c>
      <c r="L251">
        <v>50103561</v>
      </c>
      <c r="M251" t="s">
        <v>1767</v>
      </c>
      <c r="N251">
        <v>50082178</v>
      </c>
      <c r="O251" t="s">
        <v>719</v>
      </c>
      <c r="U251">
        <v>50105834</v>
      </c>
      <c r="V251" t="s">
        <v>252</v>
      </c>
      <c r="W251">
        <v>50105081</v>
      </c>
      <c r="X251" t="s">
        <v>948</v>
      </c>
      <c r="Y251">
        <f>VLOOKUP(W251,Sheet2!A:D,3,0)</f>
        <v>50104078</v>
      </c>
      <c r="Z251" t="str">
        <f>VLOOKUP(W251,Sheet2!A:D,4,0)</f>
        <v>MABS: TERLUX HD 2812</v>
      </c>
    </row>
    <row r="252" spans="1:26" ht="15">
      <c r="A252" s="57">
        <v>50113095</v>
      </c>
      <c r="B252" s="57" t="s">
        <v>1625</v>
      </c>
      <c r="C252" s="57">
        <v>50113094</v>
      </c>
      <c r="D252" s="57" t="s">
        <v>1151</v>
      </c>
      <c r="E252" s="57">
        <v>50082183</v>
      </c>
      <c r="F252" s="57" t="s">
        <v>515</v>
      </c>
      <c r="G252" s="57">
        <v>0.54879999999999995</v>
      </c>
      <c r="H252" s="57">
        <v>50082194</v>
      </c>
      <c r="I252" s="57" t="s">
        <v>1365</v>
      </c>
      <c r="J252" s="57">
        <v>1.12E-2</v>
      </c>
      <c r="L252">
        <v>50104589</v>
      </c>
      <c r="M252" t="s">
        <v>1768</v>
      </c>
      <c r="N252">
        <v>50099205</v>
      </c>
      <c r="O252" t="s">
        <v>848</v>
      </c>
      <c r="U252">
        <v>50106011</v>
      </c>
      <c r="V252" t="s">
        <v>1772</v>
      </c>
      <c r="W252">
        <v>50104782</v>
      </c>
      <c r="X252" t="s">
        <v>1771</v>
      </c>
      <c r="Y252" t="e">
        <f>VLOOKUP(W252,Sheet2!A:D,3,0)</f>
        <v>#N/A</v>
      </c>
      <c r="Z252" t="e">
        <f>VLOOKUP(W252,Sheet2!A:D,4,0)</f>
        <v>#N/A</v>
      </c>
    </row>
    <row r="253" spans="1:26" ht="15">
      <c r="A253" s="57">
        <v>50113096</v>
      </c>
      <c r="B253" s="57" t="s">
        <v>1626</v>
      </c>
      <c r="C253" s="57">
        <v>50113094</v>
      </c>
      <c r="D253" s="57" t="s">
        <v>1151</v>
      </c>
      <c r="E253" s="57">
        <v>50082183</v>
      </c>
      <c r="F253" s="57" t="s">
        <v>515</v>
      </c>
      <c r="G253" s="57">
        <v>0.54879999999999995</v>
      </c>
      <c r="H253" s="57">
        <v>50082194</v>
      </c>
      <c r="I253" s="57" t="s">
        <v>1365</v>
      </c>
      <c r="J253" s="57">
        <v>1.12E-2</v>
      </c>
      <c r="L253">
        <v>50104589</v>
      </c>
      <c r="M253" t="s">
        <v>1768</v>
      </c>
      <c r="N253">
        <v>50099334</v>
      </c>
      <c r="O253" t="s">
        <v>854</v>
      </c>
      <c r="U253">
        <v>50106011</v>
      </c>
      <c r="V253" t="s">
        <v>1772</v>
      </c>
      <c r="W253">
        <v>50104883</v>
      </c>
      <c r="X253" t="s">
        <v>932</v>
      </c>
      <c r="Y253">
        <f>VLOOKUP(W253,Sheet2!A:D,3,0)</f>
        <v>50104077</v>
      </c>
      <c r="Z253" t="str">
        <f>VLOOKUP(W253,Sheet2!A:D,4,0)</f>
        <v>ABS: NOVODUR HD M203FC</v>
      </c>
    </row>
    <row r="254" spans="1:26" ht="15">
      <c r="A254" s="57">
        <v>50113256</v>
      </c>
      <c r="B254" s="57" t="s">
        <v>75</v>
      </c>
      <c r="C254" s="57">
        <v>50113255</v>
      </c>
      <c r="D254" s="57" t="s">
        <v>1152</v>
      </c>
      <c r="E254" s="57">
        <v>50083317</v>
      </c>
      <c r="F254" s="57" t="s">
        <v>769</v>
      </c>
      <c r="G254" s="57">
        <v>4.41</v>
      </c>
      <c r="H254" s="57">
        <v>50082194</v>
      </c>
      <c r="I254" s="57" t="s">
        <v>1365</v>
      </c>
      <c r="J254" s="57">
        <v>0.09</v>
      </c>
      <c r="L254">
        <v>50105273</v>
      </c>
      <c r="M254" t="s">
        <v>1769</v>
      </c>
      <c r="N254">
        <v>50099205</v>
      </c>
      <c r="O254" t="s">
        <v>848</v>
      </c>
      <c r="U254">
        <v>50106011</v>
      </c>
      <c r="V254" t="s">
        <v>1772</v>
      </c>
      <c r="W254">
        <v>50104909</v>
      </c>
      <c r="X254" t="s">
        <v>934</v>
      </c>
      <c r="Y254">
        <f>VLOOKUP(W254,Sheet2!A:D,3,0)</f>
        <v>50104077</v>
      </c>
      <c r="Z254" t="str">
        <f>VLOOKUP(W254,Sheet2!A:D,4,0)</f>
        <v>ABS: NOVODUR HD M203FC</v>
      </c>
    </row>
    <row r="255" spans="1:26" ht="15">
      <c r="A255" s="57">
        <v>50113257</v>
      </c>
      <c r="B255" s="57" t="s">
        <v>316</v>
      </c>
      <c r="C255" s="57">
        <v>50113255</v>
      </c>
      <c r="D255" s="57" t="s">
        <v>1152</v>
      </c>
      <c r="E255" s="57">
        <v>50083317</v>
      </c>
      <c r="F255" s="57" t="s">
        <v>769</v>
      </c>
      <c r="G255" s="57">
        <v>4.41</v>
      </c>
      <c r="H255" s="57">
        <v>50082194</v>
      </c>
      <c r="I255" s="57" t="s">
        <v>1365</v>
      </c>
      <c r="J255" s="57">
        <v>0.09</v>
      </c>
      <c r="L255">
        <v>50105273</v>
      </c>
      <c r="M255" t="s">
        <v>1769</v>
      </c>
      <c r="N255">
        <v>50099334</v>
      </c>
      <c r="O255" t="s">
        <v>854</v>
      </c>
      <c r="U255">
        <v>50106011</v>
      </c>
      <c r="V255" t="s">
        <v>1772</v>
      </c>
      <c r="W255">
        <v>50105059</v>
      </c>
      <c r="X255" t="s">
        <v>946</v>
      </c>
      <c r="Y255">
        <f>VLOOKUP(W255,Sheet2!A:D,3,0)</f>
        <v>50104077</v>
      </c>
      <c r="Z255" t="str">
        <f>VLOOKUP(W255,Sheet2!A:D,4,0)</f>
        <v>ABS: NOVODUR HD M203FC</v>
      </c>
    </row>
    <row r="256" spans="1:26" ht="15">
      <c r="A256" s="57">
        <v>50114599</v>
      </c>
      <c r="B256" s="57" t="s">
        <v>1627</v>
      </c>
      <c r="C256" s="57">
        <v>50114598</v>
      </c>
      <c r="D256" s="57" t="s">
        <v>1225</v>
      </c>
      <c r="E256" s="57">
        <v>50082183</v>
      </c>
      <c r="F256" s="57" t="s">
        <v>515</v>
      </c>
      <c r="G256" s="57">
        <v>4.5</v>
      </c>
      <c r="H256" s="57" t="s">
        <v>1359</v>
      </c>
      <c r="I256" s="57" t="s">
        <v>1359</v>
      </c>
      <c r="J256" s="57" t="s">
        <v>1359</v>
      </c>
      <c r="L256">
        <v>50105274</v>
      </c>
      <c r="M256" t="s">
        <v>1770</v>
      </c>
      <c r="N256">
        <v>50099204</v>
      </c>
      <c r="O256" t="s">
        <v>847</v>
      </c>
      <c r="U256">
        <v>50106011</v>
      </c>
      <c r="V256" t="s">
        <v>1772</v>
      </c>
      <c r="W256">
        <v>50106008</v>
      </c>
      <c r="X256" t="s">
        <v>979</v>
      </c>
      <c r="Y256">
        <f>VLOOKUP(W256,Sheet2!A:D,3,0)</f>
        <v>50104078</v>
      </c>
      <c r="Z256" t="str">
        <f>VLOOKUP(W256,Sheet2!A:D,4,0)</f>
        <v>MABS: TERLUX HD 2812</v>
      </c>
    </row>
    <row r="257" spans="1:26" ht="15">
      <c r="A257" s="57">
        <v>50114600</v>
      </c>
      <c r="B257" s="57" t="s">
        <v>1628</v>
      </c>
      <c r="C257" s="57">
        <v>50114598</v>
      </c>
      <c r="D257" s="57" t="s">
        <v>1225</v>
      </c>
      <c r="E257" s="57">
        <v>50082183</v>
      </c>
      <c r="F257" s="57" t="s">
        <v>515</v>
      </c>
      <c r="G257" s="57">
        <v>4.5</v>
      </c>
      <c r="H257" s="57" t="s">
        <v>1359</v>
      </c>
      <c r="I257" s="57" t="s">
        <v>1359</v>
      </c>
      <c r="J257" s="57" t="s">
        <v>1359</v>
      </c>
      <c r="L257">
        <v>50105274</v>
      </c>
      <c r="M257" t="s">
        <v>1770</v>
      </c>
      <c r="N257">
        <v>50099333</v>
      </c>
      <c r="O257" t="s">
        <v>853</v>
      </c>
      <c r="U257">
        <v>50106011</v>
      </c>
      <c r="V257" t="s">
        <v>1772</v>
      </c>
      <c r="W257">
        <v>50106375</v>
      </c>
      <c r="X257" t="s">
        <v>1773</v>
      </c>
      <c r="Y257" t="e">
        <f>VLOOKUP(W257,Sheet2!A:D,3,0)</f>
        <v>#N/A</v>
      </c>
      <c r="Z257" t="e">
        <f>VLOOKUP(W257,Sheet2!A:D,4,0)</f>
        <v>#N/A</v>
      </c>
    </row>
    <row r="258" spans="1:26" ht="15">
      <c r="A258" s="57">
        <v>50114680</v>
      </c>
      <c r="B258" s="57" t="s">
        <v>385</v>
      </c>
      <c r="C258" s="57">
        <v>50114679</v>
      </c>
      <c r="D258" s="57" t="s">
        <v>1229</v>
      </c>
      <c r="E258" s="57">
        <v>50082183</v>
      </c>
      <c r="F258" s="57" t="s">
        <v>515</v>
      </c>
      <c r="G258" s="57">
        <v>2.8812000000000002</v>
      </c>
      <c r="H258" s="57">
        <v>50082152</v>
      </c>
      <c r="I258" s="57" t="s">
        <v>1390</v>
      </c>
      <c r="J258" s="57">
        <v>5.8799999999999998E-2</v>
      </c>
      <c r="L258">
        <v>50105703</v>
      </c>
      <c r="M258" t="s">
        <v>260</v>
      </c>
      <c r="N258">
        <v>50082246</v>
      </c>
      <c r="O258" t="s">
        <v>732</v>
      </c>
      <c r="U258">
        <v>50106011</v>
      </c>
      <c r="V258" t="s">
        <v>1772</v>
      </c>
      <c r="W258">
        <v>50106459</v>
      </c>
      <c r="X258" t="s">
        <v>1774</v>
      </c>
      <c r="Y258" t="e">
        <f>VLOOKUP(W258,Sheet2!A:D,3,0)</f>
        <v>#N/A</v>
      </c>
      <c r="Z258" t="e">
        <f>VLOOKUP(W258,Sheet2!A:D,4,0)</f>
        <v>#N/A</v>
      </c>
    </row>
    <row r="259" spans="1:26" ht="15">
      <c r="A259" s="57">
        <v>50114681</v>
      </c>
      <c r="B259" s="57" t="s">
        <v>1629</v>
      </c>
      <c r="C259" s="57">
        <v>50114679</v>
      </c>
      <c r="D259" s="57" t="s">
        <v>1229</v>
      </c>
      <c r="E259" s="57">
        <v>50082183</v>
      </c>
      <c r="F259" s="57" t="s">
        <v>515</v>
      </c>
      <c r="G259" s="57">
        <v>2.8812000000000002</v>
      </c>
      <c r="H259" s="57">
        <v>50082152</v>
      </c>
      <c r="I259" s="57" t="s">
        <v>1390</v>
      </c>
      <c r="J259" s="57">
        <v>5.8799999999999998E-2</v>
      </c>
      <c r="L259">
        <v>50105704</v>
      </c>
      <c r="M259" t="s">
        <v>177</v>
      </c>
      <c r="N259">
        <v>50082246</v>
      </c>
      <c r="O259" t="s">
        <v>732</v>
      </c>
      <c r="U259">
        <v>50106012</v>
      </c>
      <c r="V259" t="s">
        <v>1775</v>
      </c>
      <c r="W259">
        <v>50104782</v>
      </c>
      <c r="X259" t="s">
        <v>1771</v>
      </c>
      <c r="Y259" t="e">
        <f>VLOOKUP(W259,Sheet2!A:D,3,0)</f>
        <v>#N/A</v>
      </c>
      <c r="Z259" t="e">
        <f>VLOOKUP(W259,Sheet2!A:D,4,0)</f>
        <v>#N/A</v>
      </c>
    </row>
    <row r="260" spans="1:26" ht="15">
      <c r="A260" s="57">
        <v>50115713</v>
      </c>
      <c r="B260" s="57" t="s">
        <v>1630</v>
      </c>
      <c r="C260" s="57">
        <v>50115712</v>
      </c>
      <c r="D260" s="57" t="s">
        <v>1299</v>
      </c>
      <c r="E260" s="57">
        <v>50082183</v>
      </c>
      <c r="F260" s="57" t="s">
        <v>515</v>
      </c>
      <c r="G260" s="57">
        <v>0.52923799999999999</v>
      </c>
      <c r="H260" s="57">
        <v>50082194</v>
      </c>
      <c r="I260" s="57" t="s">
        <v>1365</v>
      </c>
      <c r="J260" s="57">
        <v>1.0762000000000001E-2</v>
      </c>
      <c r="L260">
        <v>50105834</v>
      </c>
      <c r="M260" t="s">
        <v>252</v>
      </c>
      <c r="N260">
        <v>50104782</v>
      </c>
      <c r="O260" t="s">
        <v>1771</v>
      </c>
      <c r="U260">
        <v>50106012</v>
      </c>
      <c r="V260" t="s">
        <v>1775</v>
      </c>
      <c r="W260">
        <v>50104883</v>
      </c>
      <c r="X260" t="s">
        <v>932</v>
      </c>
      <c r="Y260">
        <f>VLOOKUP(W260,Sheet2!A:D,3,0)</f>
        <v>50104077</v>
      </c>
      <c r="Z260" t="str">
        <f>VLOOKUP(W260,Sheet2!A:D,4,0)</f>
        <v>ABS: NOVODUR HD M203FC</v>
      </c>
    </row>
    <row r="261" spans="1:26" ht="15">
      <c r="A261" s="57">
        <v>50115721</v>
      </c>
      <c r="B261" s="57" t="s">
        <v>1631</v>
      </c>
      <c r="C261" s="57">
        <v>50115720</v>
      </c>
      <c r="D261" s="57" t="s">
        <v>1301</v>
      </c>
      <c r="E261" s="57">
        <v>50082183</v>
      </c>
      <c r="F261" s="57" t="s">
        <v>515</v>
      </c>
      <c r="G261" s="57">
        <v>3.577</v>
      </c>
      <c r="H261" s="57">
        <v>50082194</v>
      </c>
      <c r="I261" s="57" t="s">
        <v>1365</v>
      </c>
      <c r="J261" s="57">
        <v>7.2999999999999995E-2</v>
      </c>
      <c r="L261">
        <v>50105834</v>
      </c>
      <c r="M261" t="s">
        <v>252</v>
      </c>
      <c r="N261">
        <v>50104883</v>
      </c>
      <c r="O261" t="s">
        <v>932</v>
      </c>
      <c r="U261">
        <v>50106012</v>
      </c>
      <c r="V261" t="s">
        <v>1775</v>
      </c>
      <c r="W261">
        <v>50104909</v>
      </c>
      <c r="X261" t="s">
        <v>934</v>
      </c>
      <c r="Y261">
        <f>VLOOKUP(W261,Sheet2!A:D,3,0)</f>
        <v>50104077</v>
      </c>
      <c r="Z261" t="str">
        <f>VLOOKUP(W261,Sheet2!A:D,4,0)</f>
        <v>ABS: NOVODUR HD M203FC</v>
      </c>
    </row>
    <row r="262" spans="1:26" ht="15">
      <c r="A262" s="57">
        <v>50115722</v>
      </c>
      <c r="B262" s="57" t="s">
        <v>1632</v>
      </c>
      <c r="C262" s="57">
        <v>50115720</v>
      </c>
      <c r="D262" s="57" t="s">
        <v>1301</v>
      </c>
      <c r="E262" s="57">
        <v>50082183</v>
      </c>
      <c r="F262" s="57" t="s">
        <v>515</v>
      </c>
      <c r="G262" s="57">
        <v>3.577</v>
      </c>
      <c r="H262" s="57">
        <v>50082194</v>
      </c>
      <c r="I262" s="57" t="s">
        <v>1365</v>
      </c>
      <c r="J262" s="57">
        <v>7.2999999999999995E-2</v>
      </c>
      <c r="L262">
        <v>50105834</v>
      </c>
      <c r="M262" t="s">
        <v>252</v>
      </c>
      <c r="N262">
        <v>50104909</v>
      </c>
      <c r="O262" t="s">
        <v>934</v>
      </c>
      <c r="U262">
        <v>50106012</v>
      </c>
      <c r="V262" t="s">
        <v>1775</v>
      </c>
      <c r="W262">
        <v>50105059</v>
      </c>
      <c r="X262" t="s">
        <v>946</v>
      </c>
      <c r="Y262">
        <f>VLOOKUP(W262,Sheet2!A:D,3,0)</f>
        <v>50104077</v>
      </c>
      <c r="Z262" t="str">
        <f>VLOOKUP(W262,Sheet2!A:D,4,0)</f>
        <v>ABS: NOVODUR HD M203FC</v>
      </c>
    </row>
    <row r="263" spans="1:26" ht="15">
      <c r="A263" s="57">
        <v>50115921</v>
      </c>
      <c r="B263" s="57" t="s">
        <v>389</v>
      </c>
      <c r="C263" s="57">
        <v>50115920</v>
      </c>
      <c r="D263" s="57" t="s">
        <v>274</v>
      </c>
      <c r="E263" s="57">
        <v>50082200</v>
      </c>
      <c r="F263" s="57" t="s">
        <v>521</v>
      </c>
      <c r="G263" s="57">
        <v>0.52923799999999999</v>
      </c>
      <c r="H263" s="57">
        <v>50082152</v>
      </c>
      <c r="I263" s="57" t="s">
        <v>1390</v>
      </c>
      <c r="J263" s="57">
        <v>1.0762000000000001E-2</v>
      </c>
      <c r="L263">
        <v>50105834</v>
      </c>
      <c r="M263" t="s">
        <v>252</v>
      </c>
      <c r="N263">
        <v>50105026</v>
      </c>
      <c r="O263" t="s">
        <v>944</v>
      </c>
      <c r="U263">
        <v>50106012</v>
      </c>
      <c r="V263" t="s">
        <v>1775</v>
      </c>
      <c r="W263">
        <v>50105504</v>
      </c>
      <c r="X263" t="s">
        <v>971</v>
      </c>
      <c r="Y263">
        <f>VLOOKUP(W263,Sheet2!A:D,3,0)</f>
        <v>50104078</v>
      </c>
      <c r="Z263" t="str">
        <f>VLOOKUP(W263,Sheet2!A:D,4,0)</f>
        <v>MABS: TERLUX HD 2812</v>
      </c>
    </row>
    <row r="264" spans="1:26" ht="15">
      <c r="A264" s="57">
        <v>50115922</v>
      </c>
      <c r="B264" s="57" t="s">
        <v>1633</v>
      </c>
      <c r="C264" s="57">
        <v>50115920</v>
      </c>
      <c r="D264" s="57" t="s">
        <v>274</v>
      </c>
      <c r="E264" s="57">
        <v>50082184</v>
      </c>
      <c r="F264" s="57" t="s">
        <v>517</v>
      </c>
      <c r="G264" s="57">
        <v>0.52923799999999999</v>
      </c>
      <c r="H264" s="57">
        <v>50082152</v>
      </c>
      <c r="I264" s="57" t="s">
        <v>1390</v>
      </c>
      <c r="J264" s="57">
        <v>1.0762000000000001E-2</v>
      </c>
      <c r="L264">
        <v>50105834</v>
      </c>
      <c r="M264" t="s">
        <v>252</v>
      </c>
      <c r="N264">
        <v>50105059</v>
      </c>
      <c r="O264" t="s">
        <v>946</v>
      </c>
      <c r="U264">
        <v>50106012</v>
      </c>
      <c r="V264" t="s">
        <v>1775</v>
      </c>
      <c r="W264">
        <v>50106376</v>
      </c>
      <c r="X264" t="s">
        <v>1776</v>
      </c>
      <c r="Y264" t="e">
        <f>VLOOKUP(W264,Sheet2!A:D,3,0)</f>
        <v>#N/A</v>
      </c>
      <c r="Z264" t="e">
        <f>VLOOKUP(W264,Sheet2!A:D,4,0)</f>
        <v>#N/A</v>
      </c>
    </row>
    <row r="265" spans="1:26" ht="15">
      <c r="A265" s="57">
        <v>50115938</v>
      </c>
      <c r="B265" s="57" t="s">
        <v>1634</v>
      </c>
      <c r="C265" s="57">
        <v>50115937</v>
      </c>
      <c r="D265" s="57" t="s">
        <v>1635</v>
      </c>
      <c r="E265" s="57">
        <v>50082184</v>
      </c>
      <c r="F265" s="57" t="s">
        <v>517</v>
      </c>
      <c r="G265" s="57">
        <v>3.5486</v>
      </c>
      <c r="H265" s="57">
        <v>50115892</v>
      </c>
      <c r="I265" s="57" t="s">
        <v>1636</v>
      </c>
      <c r="J265" s="57">
        <v>7.2400000000000006E-2</v>
      </c>
      <c r="L265">
        <v>50105834</v>
      </c>
      <c r="M265" t="s">
        <v>252</v>
      </c>
      <c r="N265">
        <v>50105081</v>
      </c>
      <c r="O265" t="s">
        <v>948</v>
      </c>
      <c r="U265">
        <v>50106012</v>
      </c>
      <c r="V265" t="s">
        <v>1775</v>
      </c>
      <c r="W265">
        <v>50106459</v>
      </c>
      <c r="X265" t="s">
        <v>1774</v>
      </c>
      <c r="Y265" t="e">
        <f>VLOOKUP(W265,Sheet2!A:D,3,0)</f>
        <v>#N/A</v>
      </c>
      <c r="Z265" t="e">
        <f>VLOOKUP(W265,Sheet2!A:D,4,0)</f>
        <v>#N/A</v>
      </c>
    </row>
    <row r="266" spans="1:26" ht="15">
      <c r="A266" s="57">
        <v>50115939</v>
      </c>
      <c r="B266" s="57" t="s">
        <v>1637</v>
      </c>
      <c r="C266" s="57">
        <v>50115937</v>
      </c>
      <c r="D266" s="57" t="s">
        <v>1635</v>
      </c>
      <c r="E266" s="57">
        <v>50082184</v>
      </c>
      <c r="F266" s="57" t="s">
        <v>517</v>
      </c>
      <c r="G266" s="57">
        <v>3.5486</v>
      </c>
      <c r="H266" s="57">
        <v>50115892</v>
      </c>
      <c r="I266" s="57" t="s">
        <v>1636</v>
      </c>
      <c r="J266" s="57">
        <v>7.2400000000000006E-2</v>
      </c>
      <c r="L266">
        <v>50106011</v>
      </c>
      <c r="M266" t="s">
        <v>1772</v>
      </c>
      <c r="N266">
        <v>50104782</v>
      </c>
      <c r="O266" t="s">
        <v>1771</v>
      </c>
      <c r="U266">
        <v>50106939</v>
      </c>
      <c r="V266" t="s">
        <v>181</v>
      </c>
      <c r="W266">
        <v>50099205</v>
      </c>
      <c r="X266" t="s">
        <v>848</v>
      </c>
      <c r="Y266">
        <f>VLOOKUP(W266,Sheet2!A:D,3,0)</f>
        <v>50097522</v>
      </c>
      <c r="Z266" t="str">
        <f>VLOOKUP(W266,Sheet2!A:D,4,0)</f>
        <v>PPHP: REPOL H110MAS</v>
      </c>
    </row>
    <row r="267" spans="1:26" ht="15">
      <c r="A267" s="57">
        <v>50115944</v>
      </c>
      <c r="B267" s="57" t="s">
        <v>1638</v>
      </c>
      <c r="C267" s="57">
        <v>50115943</v>
      </c>
      <c r="D267" s="57" t="s">
        <v>1338</v>
      </c>
      <c r="E267" s="57">
        <v>50082184</v>
      </c>
      <c r="F267" s="57" t="s">
        <v>517</v>
      </c>
      <c r="G267" s="57">
        <v>0.56059999999999999</v>
      </c>
      <c r="H267" s="57">
        <v>50115892</v>
      </c>
      <c r="I267" s="57" t="s">
        <v>1636</v>
      </c>
      <c r="J267" s="57">
        <v>1.14E-2</v>
      </c>
      <c r="L267">
        <v>50106011</v>
      </c>
      <c r="M267" t="s">
        <v>1772</v>
      </c>
      <c r="N267">
        <v>50104883</v>
      </c>
      <c r="O267" t="s">
        <v>932</v>
      </c>
      <c r="U267">
        <v>50106939</v>
      </c>
      <c r="V267" t="s">
        <v>181</v>
      </c>
      <c r="W267">
        <v>50099334</v>
      </c>
      <c r="X267" t="s">
        <v>854</v>
      </c>
      <c r="Y267">
        <f>VLOOKUP(W267,Sheet2!A:D,3,0)</f>
        <v>50097522</v>
      </c>
      <c r="Z267" t="str">
        <f>VLOOKUP(W267,Sheet2!A:D,4,0)</f>
        <v>PPHP: REPOL H110MAS</v>
      </c>
    </row>
    <row r="268" spans="1:26" ht="15">
      <c r="A268" s="57">
        <v>50115945</v>
      </c>
      <c r="B268" s="57" t="s">
        <v>1639</v>
      </c>
      <c r="C268" s="57">
        <v>50115943</v>
      </c>
      <c r="D268" s="57" t="s">
        <v>1338</v>
      </c>
      <c r="E268" s="57">
        <v>50103870</v>
      </c>
      <c r="F268" s="57" t="s">
        <v>930</v>
      </c>
      <c r="G268" s="57">
        <v>0.56059999999999999</v>
      </c>
      <c r="H268" s="57">
        <v>50115892</v>
      </c>
      <c r="I268" s="57" t="s">
        <v>1636</v>
      </c>
      <c r="J268" s="57">
        <v>1.14E-2</v>
      </c>
      <c r="L268">
        <v>50106011</v>
      </c>
      <c r="M268" t="s">
        <v>1772</v>
      </c>
      <c r="N268">
        <v>50104909</v>
      </c>
      <c r="O268" t="s">
        <v>934</v>
      </c>
      <c r="U268">
        <v>50107125</v>
      </c>
      <c r="V268" t="s">
        <v>1777</v>
      </c>
      <c r="W268">
        <v>50105240</v>
      </c>
      <c r="X268" t="s">
        <v>954</v>
      </c>
      <c r="Y268">
        <f>VLOOKUP(W268,Sheet2!A:D,3,0)</f>
        <v>50103359</v>
      </c>
      <c r="Z268" t="str">
        <f>VLOOKUP(W268,Sheet2!A:D,4,0)</f>
        <v>HDPE: MARLEX 9012</v>
      </c>
    </row>
    <row r="269" spans="1:26" ht="15">
      <c r="A269" s="57">
        <v>50115947</v>
      </c>
      <c r="B269" s="57" t="s">
        <v>1640</v>
      </c>
      <c r="C269" s="57">
        <v>50115946</v>
      </c>
      <c r="D269" s="57" t="s">
        <v>1339</v>
      </c>
      <c r="E269" s="57">
        <v>50103870</v>
      </c>
      <c r="F269" s="57" t="s">
        <v>930</v>
      </c>
      <c r="G269" s="57">
        <v>0.54879999999999995</v>
      </c>
      <c r="H269" s="57">
        <v>50115892</v>
      </c>
      <c r="I269" s="57" t="s">
        <v>1636</v>
      </c>
      <c r="J269" s="57">
        <v>1.12E-2</v>
      </c>
      <c r="L269">
        <v>50106011</v>
      </c>
      <c r="M269" t="s">
        <v>1772</v>
      </c>
      <c r="N269">
        <v>50105059</v>
      </c>
      <c r="O269" t="s">
        <v>946</v>
      </c>
      <c r="U269">
        <v>50107125</v>
      </c>
      <c r="V269" t="s">
        <v>1777</v>
      </c>
      <c r="W269">
        <v>50105241</v>
      </c>
      <c r="X269" t="s">
        <v>955</v>
      </c>
      <c r="Y269">
        <f>VLOOKUP(W269,Sheet2!A:D,3,0)</f>
        <v>50103359</v>
      </c>
      <c r="Z269" t="str">
        <f>VLOOKUP(W269,Sheet2!A:D,4,0)</f>
        <v>HDPE: MARLEX 9012</v>
      </c>
    </row>
    <row r="270" spans="1:26" ht="15">
      <c r="A270" s="57">
        <v>50115948</v>
      </c>
      <c r="B270" s="57" t="s">
        <v>1641</v>
      </c>
      <c r="C270" s="57">
        <v>50115946</v>
      </c>
      <c r="D270" s="57" t="s">
        <v>1339</v>
      </c>
      <c r="E270" s="57">
        <v>50082202</v>
      </c>
      <c r="F270" s="57" t="s">
        <v>519</v>
      </c>
      <c r="G270" s="57">
        <v>0.54879999999999995</v>
      </c>
      <c r="H270" s="57">
        <v>50115892</v>
      </c>
      <c r="I270" s="57" t="s">
        <v>1636</v>
      </c>
      <c r="J270" s="57">
        <v>1.12E-2</v>
      </c>
      <c r="L270">
        <v>50106011</v>
      </c>
      <c r="M270" t="s">
        <v>1772</v>
      </c>
      <c r="N270">
        <v>50106008</v>
      </c>
      <c r="O270" t="s">
        <v>979</v>
      </c>
      <c r="U270">
        <v>50107125</v>
      </c>
      <c r="V270" t="s">
        <v>1777</v>
      </c>
      <c r="W270">
        <v>50105242</v>
      </c>
      <c r="X270" t="s">
        <v>956</v>
      </c>
      <c r="Y270">
        <f>VLOOKUP(W270,Sheet2!A:D,3,0)</f>
        <v>50103359</v>
      </c>
      <c r="Z270" t="str">
        <f>VLOOKUP(W270,Sheet2!A:D,4,0)</f>
        <v>HDPE: MARLEX 9012</v>
      </c>
    </row>
    <row r="271" spans="1:26" ht="15">
      <c r="A271" s="57">
        <v>50115950</v>
      </c>
      <c r="B271" s="57" t="s">
        <v>1642</v>
      </c>
      <c r="C271" s="57">
        <v>50115949</v>
      </c>
      <c r="D271" s="57" t="s">
        <v>1340</v>
      </c>
      <c r="E271" s="57">
        <v>50082202</v>
      </c>
      <c r="F271" s="57" t="s">
        <v>519</v>
      </c>
      <c r="G271" s="57">
        <v>3.5491000000000001</v>
      </c>
      <c r="H271" s="57">
        <v>50115892</v>
      </c>
      <c r="I271" s="57" t="s">
        <v>1636</v>
      </c>
      <c r="J271" s="57">
        <v>7.2400000000000006E-2</v>
      </c>
      <c r="L271">
        <v>50106011</v>
      </c>
      <c r="M271" t="s">
        <v>1772</v>
      </c>
      <c r="N271">
        <v>50106375</v>
      </c>
      <c r="O271" t="s">
        <v>1773</v>
      </c>
      <c r="U271">
        <v>50107125</v>
      </c>
      <c r="V271" t="s">
        <v>1777</v>
      </c>
      <c r="W271">
        <v>50105243</v>
      </c>
      <c r="X271" t="s">
        <v>957</v>
      </c>
      <c r="Y271">
        <f>VLOOKUP(W271,Sheet2!A:D,3,0)</f>
        <v>50103359</v>
      </c>
      <c r="Z271" t="str">
        <f>VLOOKUP(W271,Sheet2!A:D,4,0)</f>
        <v>HDPE: MARLEX 9012</v>
      </c>
    </row>
    <row r="272" spans="1:26" ht="15">
      <c r="A272" s="57">
        <v>50115951</v>
      </c>
      <c r="B272" s="57" t="s">
        <v>1643</v>
      </c>
      <c r="C272" s="57">
        <v>50115949</v>
      </c>
      <c r="D272" s="57" t="s">
        <v>1340</v>
      </c>
      <c r="E272" s="57">
        <v>50082202</v>
      </c>
      <c r="F272" s="57" t="s">
        <v>519</v>
      </c>
      <c r="G272" s="57">
        <v>3.5491000000000001</v>
      </c>
      <c r="H272" s="57">
        <v>50115892</v>
      </c>
      <c r="I272" s="57" t="s">
        <v>1636</v>
      </c>
      <c r="J272" s="57">
        <v>7.2400000000000006E-2</v>
      </c>
      <c r="L272">
        <v>50106011</v>
      </c>
      <c r="M272" t="s">
        <v>1772</v>
      </c>
      <c r="N272">
        <v>50106459</v>
      </c>
      <c r="O272" t="s">
        <v>1774</v>
      </c>
      <c r="U272">
        <v>50107166</v>
      </c>
      <c r="V272" t="s">
        <v>1778</v>
      </c>
      <c r="W272">
        <v>50099205</v>
      </c>
      <c r="X272" t="s">
        <v>848</v>
      </c>
      <c r="Y272">
        <f>VLOOKUP(W272,Sheet2!A:D,3,0)</f>
        <v>50097522</v>
      </c>
      <c r="Z272" t="str">
        <f>VLOOKUP(W272,Sheet2!A:D,4,0)</f>
        <v>PPHP: REPOL H110MAS</v>
      </c>
    </row>
    <row r="273" spans="1:26" ht="15">
      <c r="A273" s="57">
        <v>50115996</v>
      </c>
      <c r="B273" s="57" t="s">
        <v>1644</v>
      </c>
      <c r="C273" s="57">
        <v>50115995</v>
      </c>
      <c r="D273" s="57" t="s">
        <v>1348</v>
      </c>
      <c r="E273" s="57">
        <v>50082184</v>
      </c>
      <c r="F273" s="57" t="s">
        <v>517</v>
      </c>
      <c r="G273" s="57">
        <v>3.577</v>
      </c>
      <c r="H273" s="57">
        <v>50115892</v>
      </c>
      <c r="I273" s="57" t="s">
        <v>1636</v>
      </c>
      <c r="J273" s="57">
        <v>7.2999999999999995E-2</v>
      </c>
      <c r="L273">
        <v>50106012</v>
      </c>
      <c r="M273" t="s">
        <v>1775</v>
      </c>
      <c r="N273">
        <v>50104782</v>
      </c>
      <c r="O273" t="s">
        <v>1771</v>
      </c>
      <c r="U273">
        <v>50107166</v>
      </c>
      <c r="V273" t="s">
        <v>1778</v>
      </c>
      <c r="W273">
        <v>50099334</v>
      </c>
      <c r="X273" t="s">
        <v>854</v>
      </c>
      <c r="Y273">
        <f>VLOOKUP(W273,Sheet2!A:D,3,0)</f>
        <v>50097522</v>
      </c>
      <c r="Z273" t="str">
        <f>VLOOKUP(W273,Sheet2!A:D,4,0)</f>
        <v>PPHP: REPOL H110MAS</v>
      </c>
    </row>
    <row r="274" spans="1:26" ht="15">
      <c r="A274" s="57">
        <v>50115997</v>
      </c>
      <c r="B274" s="57" t="s">
        <v>1645</v>
      </c>
      <c r="C274" s="57">
        <v>50115995</v>
      </c>
      <c r="D274" s="57" t="s">
        <v>1348</v>
      </c>
      <c r="E274" s="57">
        <v>50082183</v>
      </c>
      <c r="F274" s="57" t="s">
        <v>515</v>
      </c>
      <c r="G274" s="57">
        <v>3.577</v>
      </c>
      <c r="H274" s="57">
        <v>50115892</v>
      </c>
      <c r="I274" s="57" t="s">
        <v>1636</v>
      </c>
      <c r="J274" s="57">
        <v>7.2999999999999995E-2</v>
      </c>
      <c r="L274">
        <v>50106012</v>
      </c>
      <c r="M274" t="s">
        <v>1775</v>
      </c>
      <c r="N274">
        <v>50104883</v>
      </c>
      <c r="O274" t="s">
        <v>932</v>
      </c>
      <c r="U274">
        <v>50107167</v>
      </c>
      <c r="V274" t="s">
        <v>1779</v>
      </c>
      <c r="W274">
        <v>50099204</v>
      </c>
      <c r="X274" t="s">
        <v>847</v>
      </c>
      <c r="Y274">
        <f>VLOOKUP(W274,Sheet2!A:D,3,0)</f>
        <v>50097522</v>
      </c>
      <c r="Z274" t="str">
        <f>VLOOKUP(W274,Sheet2!A:D,4,0)</f>
        <v>PPHP: REPOL H110MAS</v>
      </c>
    </row>
    <row r="275" spans="1:26" ht="15">
      <c r="A275" s="57">
        <v>50115999</v>
      </c>
      <c r="B275" s="57" t="s">
        <v>1646</v>
      </c>
      <c r="C275" s="57">
        <v>50115998</v>
      </c>
      <c r="D275" s="57" t="s">
        <v>1349</v>
      </c>
      <c r="E275" s="57">
        <v>50082183</v>
      </c>
      <c r="F275" s="57" t="s">
        <v>515</v>
      </c>
      <c r="G275" s="57">
        <v>3.5491000000000001</v>
      </c>
      <c r="H275" s="57">
        <v>50115892</v>
      </c>
      <c r="I275" s="57" t="s">
        <v>1636</v>
      </c>
      <c r="J275" s="57">
        <v>7.2400000000000006E-2</v>
      </c>
      <c r="L275">
        <v>50106012</v>
      </c>
      <c r="M275" t="s">
        <v>1775</v>
      </c>
      <c r="N275">
        <v>50104909</v>
      </c>
      <c r="O275" t="s">
        <v>934</v>
      </c>
      <c r="U275">
        <v>50107167</v>
      </c>
      <c r="V275" t="s">
        <v>1779</v>
      </c>
      <c r="W275">
        <v>50099333</v>
      </c>
      <c r="X275" t="s">
        <v>853</v>
      </c>
      <c r="Y275">
        <f>VLOOKUP(W275,Sheet2!A:D,3,0)</f>
        <v>50097522</v>
      </c>
      <c r="Z275" t="str">
        <f>VLOOKUP(W275,Sheet2!A:D,4,0)</f>
        <v>PPHP: REPOL H110MAS</v>
      </c>
    </row>
    <row r="276" spans="1:26" ht="15">
      <c r="A276" s="57">
        <v>50116000</v>
      </c>
      <c r="B276" s="57" t="s">
        <v>1647</v>
      </c>
      <c r="C276" s="57">
        <v>50115998</v>
      </c>
      <c r="D276" s="57" t="s">
        <v>1349</v>
      </c>
      <c r="E276" s="57">
        <v>50082198</v>
      </c>
      <c r="F276" s="57" t="s">
        <v>1358</v>
      </c>
      <c r="G276" s="57">
        <v>3.5491000000000001</v>
      </c>
      <c r="H276" s="57">
        <v>50115892</v>
      </c>
      <c r="I276" s="57" t="s">
        <v>1636</v>
      </c>
      <c r="J276" s="57">
        <v>7.2400000000000006E-2</v>
      </c>
      <c r="L276">
        <v>50106012</v>
      </c>
      <c r="M276" t="s">
        <v>1775</v>
      </c>
      <c r="N276">
        <v>50105059</v>
      </c>
      <c r="O276" t="s">
        <v>946</v>
      </c>
      <c r="U276">
        <v>50107234</v>
      </c>
      <c r="V276" t="s">
        <v>1780</v>
      </c>
      <c r="W276">
        <v>50102095</v>
      </c>
      <c r="X276" t="s">
        <v>896</v>
      </c>
      <c r="Y276">
        <f>VLOOKUP(W276,Sheet2!A:D,3,0)</f>
        <v>50097522</v>
      </c>
      <c r="Z276" t="str">
        <f>VLOOKUP(W276,Sheet2!A:D,4,0)</f>
        <v>PPHP: REPOL H110MAS</v>
      </c>
    </row>
    <row r="277" spans="1:26" ht="15">
      <c r="A277" s="57">
        <v>50116002</v>
      </c>
      <c r="B277" s="57" t="s">
        <v>1648</v>
      </c>
      <c r="C277" s="57">
        <v>50116001</v>
      </c>
      <c r="D277" s="57" t="s">
        <v>1350</v>
      </c>
      <c r="E277" s="57">
        <v>50082198</v>
      </c>
      <c r="F277" s="57" t="s">
        <v>1358</v>
      </c>
      <c r="G277" s="57">
        <v>0.52923799999999999</v>
      </c>
      <c r="H277" s="57">
        <v>50115892</v>
      </c>
      <c r="I277" s="57" t="s">
        <v>1636</v>
      </c>
      <c r="J277" s="57">
        <v>1.0762000000000001E-2</v>
      </c>
      <c r="L277">
        <v>50106012</v>
      </c>
      <c r="M277" t="s">
        <v>1775</v>
      </c>
      <c r="N277">
        <v>50105504</v>
      </c>
      <c r="O277" t="s">
        <v>971</v>
      </c>
      <c r="U277">
        <v>50107234</v>
      </c>
      <c r="V277" t="s">
        <v>1780</v>
      </c>
      <c r="W277">
        <v>50102096</v>
      </c>
      <c r="X277" t="s">
        <v>897</v>
      </c>
      <c r="Y277">
        <f>VLOOKUP(W277,Sheet2!A:D,3,0)</f>
        <v>50097522</v>
      </c>
      <c r="Z277" t="str">
        <f>VLOOKUP(W277,Sheet2!A:D,4,0)</f>
        <v>PPHP: REPOL H110MAS</v>
      </c>
    </row>
    <row r="278" spans="1:26">
      <c r="L278">
        <v>50106012</v>
      </c>
      <c r="M278" t="s">
        <v>1775</v>
      </c>
      <c r="N278">
        <v>50106376</v>
      </c>
      <c r="O278" t="s">
        <v>1776</v>
      </c>
      <c r="U278">
        <v>50107238</v>
      </c>
      <c r="V278" t="s">
        <v>1781</v>
      </c>
      <c r="W278">
        <v>50104541</v>
      </c>
      <c r="X278" t="s">
        <v>924</v>
      </c>
      <c r="Y278">
        <f>VLOOKUP(W278,Sheet2!A:D,3,0)</f>
        <v>50103359</v>
      </c>
      <c r="Z278" t="str">
        <f>VLOOKUP(W278,Sheet2!A:D,4,0)</f>
        <v>HDPE: MARLEX 9012</v>
      </c>
    </row>
    <row r="279" spans="1:26">
      <c r="L279">
        <v>50106012</v>
      </c>
      <c r="M279" t="s">
        <v>1775</v>
      </c>
      <c r="N279">
        <v>50106459</v>
      </c>
      <c r="O279" t="s">
        <v>1774</v>
      </c>
      <c r="U279">
        <v>50107238</v>
      </c>
      <c r="V279" t="s">
        <v>1781</v>
      </c>
      <c r="W279">
        <v>50104542</v>
      </c>
      <c r="X279" t="s">
        <v>926</v>
      </c>
      <c r="Y279">
        <f>VLOOKUP(W279,Sheet2!A:D,3,0)</f>
        <v>50103359</v>
      </c>
      <c r="Z279" t="str">
        <f>VLOOKUP(W279,Sheet2!A:D,4,0)</f>
        <v>HDPE: MARLEX 9012</v>
      </c>
    </row>
    <row r="280" spans="1:26">
      <c r="L280">
        <v>50106375</v>
      </c>
      <c r="M280" t="s">
        <v>1773</v>
      </c>
      <c r="N280">
        <v>50105026</v>
      </c>
      <c r="O280" t="s">
        <v>944</v>
      </c>
      <c r="U280">
        <v>50107238</v>
      </c>
      <c r="V280" t="s">
        <v>1781</v>
      </c>
      <c r="W280">
        <v>50104543</v>
      </c>
      <c r="X280" t="s">
        <v>927</v>
      </c>
      <c r="Y280">
        <f>VLOOKUP(W280,Sheet2!A:D,3,0)</f>
        <v>50103359</v>
      </c>
      <c r="Z280" t="str">
        <f>VLOOKUP(W280,Sheet2!A:D,4,0)</f>
        <v>HDPE: MARLEX 9012</v>
      </c>
    </row>
    <row r="281" spans="1:26">
      <c r="L281">
        <v>50106376</v>
      </c>
      <c r="M281" t="s">
        <v>1776</v>
      </c>
      <c r="N281">
        <v>50105492</v>
      </c>
      <c r="O281" t="s">
        <v>970</v>
      </c>
      <c r="U281">
        <v>50107238</v>
      </c>
      <c r="V281" t="s">
        <v>1781</v>
      </c>
      <c r="W281">
        <v>50104544</v>
      </c>
      <c r="X281" t="s">
        <v>928</v>
      </c>
      <c r="Y281">
        <f>VLOOKUP(W281,Sheet2!A:D,3,0)</f>
        <v>50103359</v>
      </c>
      <c r="Z281" t="str">
        <f>VLOOKUP(W281,Sheet2!A:D,4,0)</f>
        <v>HDPE: MARLEX 9012</v>
      </c>
    </row>
    <row r="282" spans="1:26">
      <c r="L282">
        <v>50106939</v>
      </c>
      <c r="M282" t="s">
        <v>181</v>
      </c>
      <c r="N282">
        <v>50099205</v>
      </c>
      <c r="O282" t="s">
        <v>848</v>
      </c>
      <c r="U282">
        <v>50107239</v>
      </c>
      <c r="V282" t="s">
        <v>1782</v>
      </c>
      <c r="W282">
        <v>50098871</v>
      </c>
      <c r="X282" t="s">
        <v>841</v>
      </c>
      <c r="Y282">
        <f>VLOOKUP(W282,Sheet2!A:D,3,0)</f>
        <v>50097522</v>
      </c>
      <c r="Z282" t="str">
        <f>VLOOKUP(W282,Sheet2!A:D,4,0)</f>
        <v>PPHP: REPOL H110MAS</v>
      </c>
    </row>
    <row r="283" spans="1:26">
      <c r="L283">
        <v>50106939</v>
      </c>
      <c r="M283" t="s">
        <v>181</v>
      </c>
      <c r="N283">
        <v>50099334</v>
      </c>
      <c r="O283" t="s">
        <v>854</v>
      </c>
      <c r="U283">
        <v>50107239</v>
      </c>
      <c r="V283" t="s">
        <v>1782</v>
      </c>
      <c r="W283">
        <v>50099332</v>
      </c>
      <c r="X283" t="s">
        <v>852</v>
      </c>
      <c r="Y283">
        <f>VLOOKUP(W283,Sheet2!A:D,3,0)</f>
        <v>50097522</v>
      </c>
      <c r="Z283" t="str">
        <f>VLOOKUP(W283,Sheet2!A:D,4,0)</f>
        <v>PPHP: REPOL H110MAS</v>
      </c>
    </row>
    <row r="284" spans="1:26">
      <c r="L284">
        <v>50107125</v>
      </c>
      <c r="M284" t="s">
        <v>1777</v>
      </c>
      <c r="N284">
        <v>50105240</v>
      </c>
      <c r="O284" t="s">
        <v>954</v>
      </c>
      <c r="U284">
        <v>50107241</v>
      </c>
      <c r="V284" t="s">
        <v>1783</v>
      </c>
      <c r="W284">
        <v>50102095</v>
      </c>
      <c r="X284" t="s">
        <v>896</v>
      </c>
      <c r="Y284">
        <f>VLOOKUP(W284,Sheet2!A:D,3,0)</f>
        <v>50097522</v>
      </c>
      <c r="Z284" t="str">
        <f>VLOOKUP(W284,Sheet2!A:D,4,0)</f>
        <v>PPHP: REPOL H110MAS</v>
      </c>
    </row>
    <row r="285" spans="1:26">
      <c r="L285">
        <v>50107125</v>
      </c>
      <c r="M285" t="s">
        <v>1777</v>
      </c>
      <c r="N285">
        <v>50105241</v>
      </c>
      <c r="O285" t="s">
        <v>955</v>
      </c>
      <c r="U285">
        <v>50107241</v>
      </c>
      <c r="V285" t="s">
        <v>1783</v>
      </c>
      <c r="W285">
        <v>50102096</v>
      </c>
      <c r="X285" t="s">
        <v>897</v>
      </c>
      <c r="Y285">
        <f>VLOOKUP(W285,Sheet2!A:D,3,0)</f>
        <v>50097522</v>
      </c>
      <c r="Z285" t="str">
        <f>VLOOKUP(W285,Sheet2!A:D,4,0)</f>
        <v>PPHP: REPOL H110MAS</v>
      </c>
    </row>
    <row r="286" spans="1:26">
      <c r="L286">
        <v>50107125</v>
      </c>
      <c r="M286" t="s">
        <v>1777</v>
      </c>
      <c r="N286">
        <v>50105242</v>
      </c>
      <c r="O286" t="s">
        <v>956</v>
      </c>
      <c r="U286">
        <v>50107288</v>
      </c>
      <c r="V286" t="s">
        <v>1784</v>
      </c>
      <c r="W286">
        <v>50099205</v>
      </c>
      <c r="X286" t="s">
        <v>848</v>
      </c>
      <c r="Y286">
        <f>VLOOKUP(W286,Sheet2!A:D,3,0)</f>
        <v>50097522</v>
      </c>
      <c r="Z286" t="str">
        <f>VLOOKUP(W286,Sheet2!A:D,4,0)</f>
        <v>PPHP: REPOL H110MAS</v>
      </c>
    </row>
    <row r="287" spans="1:26">
      <c r="L287">
        <v>50107125</v>
      </c>
      <c r="M287" t="s">
        <v>1777</v>
      </c>
      <c r="N287">
        <v>50105243</v>
      </c>
      <c r="O287" t="s">
        <v>957</v>
      </c>
      <c r="U287">
        <v>50107288</v>
      </c>
      <c r="V287" t="s">
        <v>1784</v>
      </c>
      <c r="W287">
        <v>50099334</v>
      </c>
      <c r="X287" t="s">
        <v>854</v>
      </c>
      <c r="Y287">
        <f>VLOOKUP(W287,Sheet2!A:D,3,0)</f>
        <v>50097522</v>
      </c>
      <c r="Z287" t="str">
        <f>VLOOKUP(W287,Sheet2!A:D,4,0)</f>
        <v>PPHP: REPOL H110MAS</v>
      </c>
    </row>
    <row r="288" spans="1:26">
      <c r="L288">
        <v>50107166</v>
      </c>
      <c r="M288" t="s">
        <v>1778</v>
      </c>
      <c r="N288">
        <v>50099205</v>
      </c>
      <c r="O288" t="s">
        <v>848</v>
      </c>
      <c r="U288">
        <v>50107467</v>
      </c>
      <c r="V288" t="s">
        <v>1785</v>
      </c>
      <c r="W288">
        <v>50102095</v>
      </c>
      <c r="X288" t="s">
        <v>896</v>
      </c>
      <c r="Y288">
        <f>VLOOKUP(W288,Sheet2!A:D,3,0)</f>
        <v>50097522</v>
      </c>
      <c r="Z288" t="str">
        <f>VLOOKUP(W288,Sheet2!A:D,4,0)</f>
        <v>PPHP: REPOL H110MAS</v>
      </c>
    </row>
    <row r="289" spans="12:26">
      <c r="L289">
        <v>50107166</v>
      </c>
      <c r="M289" t="s">
        <v>1778</v>
      </c>
      <c r="N289">
        <v>50099334</v>
      </c>
      <c r="O289" t="s">
        <v>854</v>
      </c>
      <c r="U289">
        <v>50107467</v>
      </c>
      <c r="V289" t="s">
        <v>1785</v>
      </c>
      <c r="W289">
        <v>50102096</v>
      </c>
      <c r="X289" t="s">
        <v>897</v>
      </c>
      <c r="Y289">
        <f>VLOOKUP(W289,Sheet2!A:D,3,0)</f>
        <v>50097522</v>
      </c>
      <c r="Z289" t="str">
        <f>VLOOKUP(W289,Sheet2!A:D,4,0)</f>
        <v>PPHP: REPOL H110MAS</v>
      </c>
    </row>
    <row r="290" spans="12:26">
      <c r="L290">
        <v>50107167</v>
      </c>
      <c r="M290" t="s">
        <v>1779</v>
      </c>
      <c r="N290">
        <v>50099204</v>
      </c>
      <c r="O290" t="s">
        <v>847</v>
      </c>
      <c r="U290">
        <v>50107590</v>
      </c>
      <c r="V290" t="s">
        <v>1786</v>
      </c>
      <c r="W290">
        <v>50081832</v>
      </c>
      <c r="X290" t="s">
        <v>612</v>
      </c>
      <c r="Y290">
        <f>VLOOKUP(W290,Sheet2!A:D,3,0)</f>
        <v>50082181</v>
      </c>
      <c r="Z290" t="str">
        <f>VLOOKUP(W290,Sheet2!A:D,4,0)</f>
        <v>PPHP: COPYLENE CH120LN</v>
      </c>
    </row>
    <row r="291" spans="12:26">
      <c r="L291">
        <v>50107167</v>
      </c>
      <c r="M291" t="s">
        <v>1779</v>
      </c>
      <c r="N291">
        <v>50099333</v>
      </c>
      <c r="O291" t="s">
        <v>853</v>
      </c>
      <c r="U291">
        <v>50107590</v>
      </c>
      <c r="V291" t="s">
        <v>1786</v>
      </c>
      <c r="W291">
        <v>50082145</v>
      </c>
      <c r="X291" t="s">
        <v>710</v>
      </c>
      <c r="Y291">
        <f>VLOOKUP(W291,Sheet2!A:D,3,0)</f>
        <v>50082181</v>
      </c>
      <c r="Z291" t="str">
        <f>VLOOKUP(W291,Sheet2!A:D,4,0)</f>
        <v>PPHP: COPYLENE CH120LN</v>
      </c>
    </row>
    <row r="292" spans="12:26">
      <c r="L292">
        <v>50107234</v>
      </c>
      <c r="M292" t="s">
        <v>1780</v>
      </c>
      <c r="N292">
        <v>50102095</v>
      </c>
      <c r="O292" t="s">
        <v>896</v>
      </c>
      <c r="U292">
        <v>50107690</v>
      </c>
      <c r="V292" t="s">
        <v>1788</v>
      </c>
      <c r="W292">
        <v>50104782</v>
      </c>
      <c r="X292" t="s">
        <v>1771</v>
      </c>
      <c r="Y292" t="e">
        <f>VLOOKUP(W292,Sheet2!A:D,3,0)</f>
        <v>#N/A</v>
      </c>
      <c r="Z292" t="e">
        <f>VLOOKUP(W292,Sheet2!A:D,4,0)</f>
        <v>#N/A</v>
      </c>
    </row>
    <row r="293" spans="12:26">
      <c r="L293">
        <v>50107234</v>
      </c>
      <c r="M293" t="s">
        <v>1780</v>
      </c>
      <c r="N293">
        <v>50102096</v>
      </c>
      <c r="O293" t="s">
        <v>897</v>
      </c>
      <c r="U293">
        <v>50107690</v>
      </c>
      <c r="V293" t="s">
        <v>1788</v>
      </c>
      <c r="W293">
        <v>50104883</v>
      </c>
      <c r="X293" t="s">
        <v>932</v>
      </c>
      <c r="Y293">
        <f>VLOOKUP(W293,Sheet2!A:D,3,0)</f>
        <v>50104077</v>
      </c>
      <c r="Z293" t="str">
        <f>VLOOKUP(W293,Sheet2!A:D,4,0)</f>
        <v>ABS: NOVODUR HD M203FC</v>
      </c>
    </row>
    <row r="294" spans="12:26">
      <c r="L294">
        <v>50107238</v>
      </c>
      <c r="M294" t="s">
        <v>1781</v>
      </c>
      <c r="N294">
        <v>50104541</v>
      </c>
      <c r="O294" t="s">
        <v>924</v>
      </c>
      <c r="U294">
        <v>50107690</v>
      </c>
      <c r="V294" t="s">
        <v>1788</v>
      </c>
      <c r="W294">
        <v>50104909</v>
      </c>
      <c r="X294" t="s">
        <v>934</v>
      </c>
      <c r="Y294">
        <f>VLOOKUP(W294,Sheet2!A:D,3,0)</f>
        <v>50104077</v>
      </c>
      <c r="Z294" t="str">
        <f>VLOOKUP(W294,Sheet2!A:D,4,0)</f>
        <v>ABS: NOVODUR HD M203FC</v>
      </c>
    </row>
    <row r="295" spans="12:26">
      <c r="L295">
        <v>50107238</v>
      </c>
      <c r="M295" t="s">
        <v>1781</v>
      </c>
      <c r="N295">
        <v>50104542</v>
      </c>
      <c r="O295" t="s">
        <v>926</v>
      </c>
      <c r="U295">
        <v>50107690</v>
      </c>
      <c r="V295" t="s">
        <v>1788</v>
      </c>
      <c r="W295">
        <v>50105059</v>
      </c>
      <c r="X295" t="s">
        <v>946</v>
      </c>
      <c r="Y295">
        <f>VLOOKUP(W295,Sheet2!A:D,3,0)</f>
        <v>50104077</v>
      </c>
      <c r="Z295" t="str">
        <f>VLOOKUP(W295,Sheet2!A:D,4,0)</f>
        <v>ABS: NOVODUR HD M203FC</v>
      </c>
    </row>
    <row r="296" spans="12:26">
      <c r="L296">
        <v>50107238</v>
      </c>
      <c r="M296" t="s">
        <v>1781</v>
      </c>
      <c r="N296">
        <v>50104543</v>
      </c>
      <c r="O296" t="s">
        <v>927</v>
      </c>
      <c r="U296">
        <v>50107690</v>
      </c>
      <c r="V296" t="s">
        <v>1788</v>
      </c>
      <c r="W296">
        <v>50106008</v>
      </c>
      <c r="X296" t="s">
        <v>979</v>
      </c>
      <c r="Y296">
        <f>VLOOKUP(W296,Sheet2!A:D,3,0)</f>
        <v>50104078</v>
      </c>
      <c r="Z296" t="str">
        <f>VLOOKUP(W296,Sheet2!A:D,4,0)</f>
        <v>MABS: TERLUX HD 2812</v>
      </c>
    </row>
    <row r="297" spans="12:26">
      <c r="L297">
        <v>50107238</v>
      </c>
      <c r="M297" t="s">
        <v>1781</v>
      </c>
      <c r="N297">
        <v>50104544</v>
      </c>
      <c r="O297" t="s">
        <v>928</v>
      </c>
      <c r="U297">
        <v>50107690</v>
      </c>
      <c r="V297" t="s">
        <v>1788</v>
      </c>
      <c r="W297">
        <v>50106459</v>
      </c>
      <c r="X297" t="s">
        <v>1774</v>
      </c>
      <c r="Y297" t="e">
        <f>VLOOKUP(W297,Sheet2!A:D,3,0)</f>
        <v>#N/A</v>
      </c>
      <c r="Z297" t="e">
        <f>VLOOKUP(W297,Sheet2!A:D,4,0)</f>
        <v>#N/A</v>
      </c>
    </row>
    <row r="298" spans="12:26">
      <c r="L298">
        <v>50107239</v>
      </c>
      <c r="M298" t="s">
        <v>1782</v>
      </c>
      <c r="N298">
        <v>50098871</v>
      </c>
      <c r="O298" t="s">
        <v>841</v>
      </c>
      <c r="U298">
        <v>50107690</v>
      </c>
      <c r="V298" t="s">
        <v>1788</v>
      </c>
      <c r="W298">
        <v>50107689</v>
      </c>
      <c r="X298" t="s">
        <v>1787</v>
      </c>
      <c r="Y298" t="e">
        <f>VLOOKUP(W298,Sheet2!A:D,3,0)</f>
        <v>#N/A</v>
      </c>
      <c r="Z298" t="e">
        <f>VLOOKUP(W298,Sheet2!A:D,4,0)</f>
        <v>#N/A</v>
      </c>
    </row>
    <row r="299" spans="12:26">
      <c r="L299">
        <v>50107239</v>
      </c>
      <c r="M299" t="s">
        <v>1782</v>
      </c>
      <c r="N299">
        <v>50099332</v>
      </c>
      <c r="O299" t="s">
        <v>852</v>
      </c>
      <c r="U299">
        <v>50107784</v>
      </c>
      <c r="V299" t="s">
        <v>405</v>
      </c>
      <c r="W299">
        <v>50106997</v>
      </c>
      <c r="X299" t="s">
        <v>988</v>
      </c>
      <c r="Y299">
        <f>VLOOKUP(W299,Sheet2!A:D,3,0)</f>
        <v>50106995</v>
      </c>
      <c r="Z299" t="str">
        <f>VLOOKUP(W299,Sheet2!A:D,4,0)</f>
        <v>PPCP: REPOL SRM100NC</v>
      </c>
    </row>
    <row r="300" spans="12:26">
      <c r="L300">
        <v>50107241</v>
      </c>
      <c r="M300" t="s">
        <v>1783</v>
      </c>
      <c r="N300">
        <v>50102095</v>
      </c>
      <c r="O300" t="s">
        <v>896</v>
      </c>
      <c r="U300">
        <v>50107802</v>
      </c>
      <c r="V300" t="s">
        <v>1789</v>
      </c>
      <c r="W300">
        <v>50082179</v>
      </c>
      <c r="X300" t="s">
        <v>720</v>
      </c>
      <c r="Y300">
        <f>VLOOKUP(W300,Sheet2!A:D,3,0)</f>
        <v>50082181</v>
      </c>
      <c r="Z300" t="str">
        <f>VLOOKUP(W300,Sheet2!A:D,4,0)</f>
        <v>PPHP: COPYLENE CH120LN</v>
      </c>
    </row>
    <row r="301" spans="12:26">
      <c r="L301">
        <v>50107241</v>
      </c>
      <c r="M301" t="s">
        <v>1783</v>
      </c>
      <c r="N301">
        <v>50102096</v>
      </c>
      <c r="O301" t="s">
        <v>897</v>
      </c>
      <c r="U301">
        <v>50107802</v>
      </c>
      <c r="V301" t="s">
        <v>1789</v>
      </c>
      <c r="W301">
        <v>50082180</v>
      </c>
      <c r="X301" t="s">
        <v>721</v>
      </c>
      <c r="Y301">
        <f>VLOOKUP(W301,Sheet2!A:D,3,0)</f>
        <v>50082181</v>
      </c>
      <c r="Z301" t="str">
        <f>VLOOKUP(W301,Sheet2!A:D,4,0)</f>
        <v>PPHP: COPYLENE CH120LN</v>
      </c>
    </row>
    <row r="302" spans="12:26">
      <c r="L302">
        <v>50107288</v>
      </c>
      <c r="M302" t="s">
        <v>1784</v>
      </c>
      <c r="N302">
        <v>50099205</v>
      </c>
      <c r="O302" t="s">
        <v>848</v>
      </c>
      <c r="U302">
        <v>50107895</v>
      </c>
      <c r="V302" t="s">
        <v>1790</v>
      </c>
      <c r="W302">
        <v>50099204</v>
      </c>
      <c r="X302" t="s">
        <v>847</v>
      </c>
      <c r="Y302">
        <f>VLOOKUP(W302,Sheet2!A:D,3,0)</f>
        <v>50097522</v>
      </c>
      <c r="Z302" t="str">
        <f>VLOOKUP(W302,Sheet2!A:D,4,0)</f>
        <v>PPHP: REPOL H110MAS</v>
      </c>
    </row>
    <row r="303" spans="12:26">
      <c r="L303">
        <v>50107288</v>
      </c>
      <c r="M303" t="s">
        <v>1784</v>
      </c>
      <c r="N303">
        <v>50099334</v>
      </c>
      <c r="O303" t="s">
        <v>854</v>
      </c>
      <c r="U303">
        <v>50107895</v>
      </c>
      <c r="V303" t="s">
        <v>1790</v>
      </c>
      <c r="W303">
        <v>50099333</v>
      </c>
      <c r="X303" t="s">
        <v>853</v>
      </c>
      <c r="Y303">
        <f>VLOOKUP(W303,Sheet2!A:D,3,0)</f>
        <v>50097522</v>
      </c>
      <c r="Z303" t="str">
        <f>VLOOKUP(W303,Sheet2!A:D,4,0)</f>
        <v>PPHP: REPOL H110MAS</v>
      </c>
    </row>
    <row r="304" spans="12:26">
      <c r="L304">
        <v>50107467</v>
      </c>
      <c r="M304" t="s">
        <v>1785</v>
      </c>
      <c r="N304">
        <v>50102095</v>
      </c>
      <c r="O304" t="s">
        <v>896</v>
      </c>
      <c r="U304">
        <v>50108039</v>
      </c>
      <c r="V304" t="s">
        <v>1791</v>
      </c>
      <c r="W304">
        <v>50081997</v>
      </c>
      <c r="X304" t="s">
        <v>664</v>
      </c>
      <c r="Y304">
        <f>VLOOKUP(W304,Sheet2!A:D,3,0)</f>
        <v>50082181</v>
      </c>
      <c r="Z304" t="str">
        <f>VLOOKUP(W304,Sheet2!A:D,4,0)</f>
        <v>PPHP: COPYLENE CH120LN</v>
      </c>
    </row>
    <row r="305" spans="12:26">
      <c r="L305">
        <v>50107467</v>
      </c>
      <c r="M305" t="s">
        <v>1785</v>
      </c>
      <c r="N305">
        <v>50102096</v>
      </c>
      <c r="O305" t="s">
        <v>897</v>
      </c>
      <c r="U305">
        <v>50108039</v>
      </c>
      <c r="V305" t="s">
        <v>1791</v>
      </c>
      <c r="W305">
        <v>50082145</v>
      </c>
      <c r="X305" t="s">
        <v>710</v>
      </c>
      <c r="Y305">
        <f>VLOOKUP(W305,Sheet2!A:D,3,0)</f>
        <v>50082181</v>
      </c>
      <c r="Z305" t="str">
        <f>VLOOKUP(W305,Sheet2!A:D,4,0)</f>
        <v>PPHP: COPYLENE CH120LN</v>
      </c>
    </row>
    <row r="306" spans="12:26">
      <c r="L306">
        <v>50107590</v>
      </c>
      <c r="M306" t="s">
        <v>1786</v>
      </c>
      <c r="N306">
        <v>50081832</v>
      </c>
      <c r="O306" t="s">
        <v>612</v>
      </c>
      <c r="U306">
        <v>50108040</v>
      </c>
      <c r="V306" t="s">
        <v>1792</v>
      </c>
      <c r="W306">
        <v>50081995</v>
      </c>
      <c r="X306" t="s">
        <v>662</v>
      </c>
      <c r="Y306">
        <f>VLOOKUP(W306,Sheet2!A:D,3,0)</f>
        <v>50082181</v>
      </c>
      <c r="Z306" t="str">
        <f>VLOOKUP(W306,Sheet2!A:D,4,0)</f>
        <v>PPHP: COPYLENE CH120LN</v>
      </c>
    </row>
    <row r="307" spans="12:26">
      <c r="L307">
        <v>50107590</v>
      </c>
      <c r="M307" t="s">
        <v>1786</v>
      </c>
      <c r="N307">
        <v>50082145</v>
      </c>
      <c r="O307" t="s">
        <v>710</v>
      </c>
      <c r="U307">
        <v>50108040</v>
      </c>
      <c r="V307" t="s">
        <v>1792</v>
      </c>
      <c r="W307">
        <v>50082144</v>
      </c>
      <c r="X307" t="s">
        <v>709</v>
      </c>
      <c r="Y307">
        <f>VLOOKUP(W307,Sheet2!A:D,3,0)</f>
        <v>50082181</v>
      </c>
      <c r="Z307" t="str">
        <f>VLOOKUP(W307,Sheet2!A:D,4,0)</f>
        <v>PPHP: COPYLENE CH120LN</v>
      </c>
    </row>
    <row r="308" spans="12:26">
      <c r="L308">
        <v>50107689</v>
      </c>
      <c r="M308" t="s">
        <v>1787</v>
      </c>
      <c r="N308">
        <v>50105026</v>
      </c>
      <c r="O308" t="s">
        <v>944</v>
      </c>
      <c r="U308">
        <v>50108164</v>
      </c>
      <c r="V308" t="s">
        <v>399</v>
      </c>
      <c r="W308">
        <v>50102095</v>
      </c>
      <c r="X308" t="s">
        <v>896</v>
      </c>
      <c r="Y308">
        <f>VLOOKUP(W308,Sheet2!A:D,3,0)</f>
        <v>50097522</v>
      </c>
      <c r="Z308" t="str">
        <f>VLOOKUP(W308,Sheet2!A:D,4,0)</f>
        <v>PPHP: REPOL H110MAS</v>
      </c>
    </row>
    <row r="309" spans="12:26">
      <c r="L309">
        <v>50107690</v>
      </c>
      <c r="M309" t="s">
        <v>1788</v>
      </c>
      <c r="N309">
        <v>50104782</v>
      </c>
      <c r="O309" t="s">
        <v>1771</v>
      </c>
      <c r="U309">
        <v>50108164</v>
      </c>
      <c r="V309" t="s">
        <v>399</v>
      </c>
      <c r="W309">
        <v>50102096</v>
      </c>
      <c r="X309" t="s">
        <v>897</v>
      </c>
      <c r="Y309">
        <f>VLOOKUP(W309,Sheet2!A:D,3,0)</f>
        <v>50097522</v>
      </c>
      <c r="Z309" t="str">
        <f>VLOOKUP(W309,Sheet2!A:D,4,0)</f>
        <v>PPHP: REPOL H110MAS</v>
      </c>
    </row>
    <row r="310" spans="12:26">
      <c r="L310">
        <v>50107690</v>
      </c>
      <c r="M310" t="s">
        <v>1788</v>
      </c>
      <c r="N310">
        <v>50104883</v>
      </c>
      <c r="O310" t="s">
        <v>932</v>
      </c>
      <c r="U310">
        <v>50108218</v>
      </c>
      <c r="V310" t="s">
        <v>1793</v>
      </c>
      <c r="W310">
        <v>50082145</v>
      </c>
      <c r="X310" t="s">
        <v>710</v>
      </c>
      <c r="Y310">
        <f>VLOOKUP(W310,Sheet2!A:D,3,0)</f>
        <v>50082181</v>
      </c>
      <c r="Z310" t="str">
        <f>VLOOKUP(W310,Sheet2!A:D,4,0)</f>
        <v>PPHP: COPYLENE CH120LN</v>
      </c>
    </row>
    <row r="311" spans="12:26">
      <c r="L311">
        <v>50107690</v>
      </c>
      <c r="M311" t="s">
        <v>1788</v>
      </c>
      <c r="N311">
        <v>50104909</v>
      </c>
      <c r="O311" t="s">
        <v>934</v>
      </c>
      <c r="U311">
        <v>50108218</v>
      </c>
      <c r="V311" t="s">
        <v>1793</v>
      </c>
      <c r="W311">
        <v>50082178</v>
      </c>
      <c r="X311" t="s">
        <v>719</v>
      </c>
      <c r="Y311">
        <f>VLOOKUP(W311,Sheet2!A:D,3,0)</f>
        <v>50082181</v>
      </c>
      <c r="Z311" t="str">
        <f>VLOOKUP(W311,Sheet2!A:D,4,0)</f>
        <v>PPHP: COPYLENE CH120LN</v>
      </c>
    </row>
    <row r="312" spans="12:26">
      <c r="L312">
        <v>50107690</v>
      </c>
      <c r="M312" t="s">
        <v>1788</v>
      </c>
      <c r="N312">
        <v>50105059</v>
      </c>
      <c r="O312" t="s">
        <v>946</v>
      </c>
      <c r="U312">
        <v>50108233</v>
      </c>
      <c r="V312" t="s">
        <v>1794</v>
      </c>
      <c r="W312">
        <v>50098871</v>
      </c>
      <c r="X312" t="s">
        <v>841</v>
      </c>
      <c r="Y312">
        <f>VLOOKUP(W312,Sheet2!A:D,3,0)</f>
        <v>50097522</v>
      </c>
      <c r="Z312" t="str">
        <f>VLOOKUP(W312,Sheet2!A:D,4,0)</f>
        <v>PPHP: REPOL H110MAS</v>
      </c>
    </row>
    <row r="313" spans="12:26">
      <c r="L313">
        <v>50107690</v>
      </c>
      <c r="M313" t="s">
        <v>1788</v>
      </c>
      <c r="N313">
        <v>50106008</v>
      </c>
      <c r="O313" t="s">
        <v>979</v>
      </c>
      <c r="U313">
        <v>50108233</v>
      </c>
      <c r="V313" t="s">
        <v>1794</v>
      </c>
      <c r="W313">
        <v>50099332</v>
      </c>
      <c r="X313" t="s">
        <v>852</v>
      </c>
      <c r="Y313">
        <f>VLOOKUP(W313,Sheet2!A:D,3,0)</f>
        <v>50097522</v>
      </c>
      <c r="Z313" t="str">
        <f>VLOOKUP(W313,Sheet2!A:D,4,0)</f>
        <v>PPHP: REPOL H110MAS</v>
      </c>
    </row>
    <row r="314" spans="12:26">
      <c r="L314">
        <v>50107690</v>
      </c>
      <c r="M314" t="s">
        <v>1788</v>
      </c>
      <c r="N314">
        <v>50106459</v>
      </c>
      <c r="O314" t="s">
        <v>1774</v>
      </c>
      <c r="U314">
        <v>50108237</v>
      </c>
      <c r="V314" t="s">
        <v>1796</v>
      </c>
      <c r="W314">
        <v>50104782</v>
      </c>
      <c r="X314" t="s">
        <v>1771</v>
      </c>
      <c r="Y314" t="e">
        <f>VLOOKUP(W314,Sheet2!A:D,3,0)</f>
        <v>#N/A</v>
      </c>
      <c r="Z314" t="e">
        <f>VLOOKUP(W314,Sheet2!A:D,4,0)</f>
        <v>#N/A</v>
      </c>
    </row>
    <row r="315" spans="12:26">
      <c r="L315">
        <v>50107690</v>
      </c>
      <c r="M315" t="s">
        <v>1788</v>
      </c>
      <c r="N315">
        <v>50107689</v>
      </c>
      <c r="O315" t="s">
        <v>1787</v>
      </c>
      <c r="U315">
        <v>50108237</v>
      </c>
      <c r="V315" t="s">
        <v>1796</v>
      </c>
      <c r="W315">
        <v>50104883</v>
      </c>
      <c r="X315" t="s">
        <v>932</v>
      </c>
      <c r="Y315">
        <f>VLOOKUP(W315,Sheet2!A:D,3,0)</f>
        <v>50104077</v>
      </c>
      <c r="Z315" t="str">
        <f>VLOOKUP(W315,Sheet2!A:D,4,0)</f>
        <v>ABS: NOVODUR HD M203FC</v>
      </c>
    </row>
    <row r="316" spans="12:26">
      <c r="L316">
        <v>50107784</v>
      </c>
      <c r="M316" t="s">
        <v>405</v>
      </c>
      <c r="N316">
        <v>50106997</v>
      </c>
      <c r="O316" t="s">
        <v>988</v>
      </c>
      <c r="U316">
        <v>50108237</v>
      </c>
      <c r="V316" t="s">
        <v>1796</v>
      </c>
      <c r="W316">
        <v>50104909</v>
      </c>
      <c r="X316" t="s">
        <v>934</v>
      </c>
      <c r="Y316">
        <f>VLOOKUP(W316,Sheet2!A:D,3,0)</f>
        <v>50104077</v>
      </c>
      <c r="Z316" t="str">
        <f>VLOOKUP(W316,Sheet2!A:D,4,0)</f>
        <v>ABS: NOVODUR HD M203FC</v>
      </c>
    </row>
    <row r="317" spans="12:26">
      <c r="L317">
        <v>50107802</v>
      </c>
      <c r="M317" t="s">
        <v>1789</v>
      </c>
      <c r="N317">
        <v>50082179</v>
      </c>
      <c r="O317" t="s">
        <v>720</v>
      </c>
      <c r="U317">
        <v>50108237</v>
      </c>
      <c r="V317" t="s">
        <v>1796</v>
      </c>
      <c r="W317">
        <v>50105059</v>
      </c>
      <c r="X317" t="s">
        <v>946</v>
      </c>
      <c r="Y317">
        <f>VLOOKUP(W317,Sheet2!A:D,3,0)</f>
        <v>50104077</v>
      </c>
      <c r="Z317" t="str">
        <f>VLOOKUP(W317,Sheet2!A:D,4,0)</f>
        <v>ABS: NOVODUR HD M203FC</v>
      </c>
    </row>
    <row r="318" spans="12:26">
      <c r="L318">
        <v>50107802</v>
      </c>
      <c r="M318" t="s">
        <v>1789</v>
      </c>
      <c r="N318">
        <v>50082180</v>
      </c>
      <c r="O318" t="s">
        <v>721</v>
      </c>
      <c r="U318">
        <v>50108237</v>
      </c>
      <c r="V318" t="s">
        <v>1796</v>
      </c>
      <c r="W318">
        <v>50105081</v>
      </c>
      <c r="X318" t="s">
        <v>948</v>
      </c>
      <c r="Y318">
        <f>VLOOKUP(W318,Sheet2!A:D,3,0)</f>
        <v>50104078</v>
      </c>
      <c r="Z318" t="str">
        <f>VLOOKUP(W318,Sheet2!A:D,4,0)</f>
        <v>MABS: TERLUX HD 2812</v>
      </c>
    </row>
    <row r="319" spans="12:26">
      <c r="L319">
        <v>50107895</v>
      </c>
      <c r="M319" t="s">
        <v>1790</v>
      </c>
      <c r="N319">
        <v>50099204</v>
      </c>
      <c r="O319" t="s">
        <v>847</v>
      </c>
      <c r="U319">
        <v>50108237</v>
      </c>
      <c r="V319" t="s">
        <v>1796</v>
      </c>
      <c r="W319">
        <v>50106459</v>
      </c>
      <c r="X319" t="s">
        <v>1774</v>
      </c>
      <c r="Y319" t="e">
        <f>VLOOKUP(W319,Sheet2!A:D,3,0)</f>
        <v>#N/A</v>
      </c>
      <c r="Z319" t="e">
        <f>VLOOKUP(W319,Sheet2!A:D,4,0)</f>
        <v>#N/A</v>
      </c>
    </row>
    <row r="320" spans="12:26">
      <c r="L320">
        <v>50107895</v>
      </c>
      <c r="M320" t="s">
        <v>1790</v>
      </c>
      <c r="N320">
        <v>50099333</v>
      </c>
      <c r="O320" t="s">
        <v>853</v>
      </c>
      <c r="U320">
        <v>50108237</v>
      </c>
      <c r="V320" t="s">
        <v>1796</v>
      </c>
      <c r="W320">
        <v>50108236</v>
      </c>
      <c r="X320" t="s">
        <v>1795</v>
      </c>
      <c r="Y320" t="e">
        <f>VLOOKUP(W320,Sheet2!A:D,3,0)</f>
        <v>#N/A</v>
      </c>
      <c r="Z320" t="e">
        <f>VLOOKUP(W320,Sheet2!A:D,4,0)</f>
        <v>#N/A</v>
      </c>
    </row>
    <row r="321" spans="12:26">
      <c r="L321">
        <v>50108039</v>
      </c>
      <c r="M321" t="s">
        <v>1791</v>
      </c>
      <c r="N321">
        <v>50081997</v>
      </c>
      <c r="O321" t="s">
        <v>664</v>
      </c>
      <c r="U321">
        <v>50108238</v>
      </c>
      <c r="V321" t="s">
        <v>331</v>
      </c>
      <c r="W321">
        <v>50106998</v>
      </c>
      <c r="X321" t="s">
        <v>990</v>
      </c>
      <c r="Y321">
        <f>VLOOKUP(W321,Sheet2!A:D,3,0)</f>
        <v>50106995</v>
      </c>
      <c r="Z321" t="str">
        <f>VLOOKUP(W321,Sheet2!A:D,4,0)</f>
        <v>PPCP: REPOL SRM100NC</v>
      </c>
    </row>
    <row r="322" spans="12:26">
      <c r="L322">
        <v>50108039</v>
      </c>
      <c r="M322" t="s">
        <v>1791</v>
      </c>
      <c r="N322">
        <v>50082145</v>
      </c>
      <c r="O322" t="s">
        <v>710</v>
      </c>
      <c r="U322">
        <v>50108239</v>
      </c>
      <c r="V322" t="s">
        <v>330</v>
      </c>
      <c r="W322">
        <v>50106999</v>
      </c>
      <c r="X322" t="s">
        <v>991</v>
      </c>
      <c r="Y322">
        <f>VLOOKUP(W322,Sheet2!A:D,3,0)</f>
        <v>50106995</v>
      </c>
      <c r="Z322" t="str">
        <f>VLOOKUP(W322,Sheet2!A:D,4,0)</f>
        <v>PPCP: REPOL SRM100NC</v>
      </c>
    </row>
    <row r="323" spans="12:26">
      <c r="L323">
        <v>50108040</v>
      </c>
      <c r="M323" t="s">
        <v>1792</v>
      </c>
      <c r="N323">
        <v>50081995</v>
      </c>
      <c r="O323" t="s">
        <v>662</v>
      </c>
      <c r="U323">
        <v>50108246</v>
      </c>
      <c r="V323" t="s">
        <v>1797</v>
      </c>
      <c r="W323">
        <v>50099205</v>
      </c>
      <c r="X323" t="s">
        <v>848</v>
      </c>
      <c r="Y323">
        <f>VLOOKUP(W323,Sheet2!A:D,3,0)</f>
        <v>50097522</v>
      </c>
      <c r="Z323" t="str">
        <f>VLOOKUP(W323,Sheet2!A:D,4,0)</f>
        <v>PPHP: REPOL H110MAS</v>
      </c>
    </row>
    <row r="324" spans="12:26">
      <c r="L324">
        <v>50108040</v>
      </c>
      <c r="M324" t="s">
        <v>1792</v>
      </c>
      <c r="N324">
        <v>50082144</v>
      </c>
      <c r="O324" t="s">
        <v>709</v>
      </c>
      <c r="U324">
        <v>50108246</v>
      </c>
      <c r="V324" t="s">
        <v>1797</v>
      </c>
      <c r="W324">
        <v>50099334</v>
      </c>
      <c r="X324" t="s">
        <v>854</v>
      </c>
      <c r="Y324">
        <f>VLOOKUP(W324,Sheet2!A:D,3,0)</f>
        <v>50097522</v>
      </c>
      <c r="Z324" t="str">
        <f>VLOOKUP(W324,Sheet2!A:D,4,0)</f>
        <v>PPHP: REPOL H110MAS</v>
      </c>
    </row>
    <row r="325" spans="12:26">
      <c r="L325">
        <v>50108164</v>
      </c>
      <c r="M325" t="s">
        <v>399</v>
      </c>
      <c r="N325">
        <v>50102095</v>
      </c>
      <c r="O325" t="s">
        <v>896</v>
      </c>
      <c r="U325">
        <v>50108432</v>
      </c>
      <c r="V325" t="s">
        <v>1798</v>
      </c>
      <c r="W325">
        <v>50099204</v>
      </c>
      <c r="X325" t="s">
        <v>847</v>
      </c>
      <c r="Y325">
        <f>VLOOKUP(W325,Sheet2!A:D,3,0)</f>
        <v>50097522</v>
      </c>
      <c r="Z325" t="str">
        <f>VLOOKUP(W325,Sheet2!A:D,4,0)</f>
        <v>PPHP: REPOL H110MAS</v>
      </c>
    </row>
    <row r="326" spans="12:26">
      <c r="L326">
        <v>50108164</v>
      </c>
      <c r="M326" t="s">
        <v>399</v>
      </c>
      <c r="N326">
        <v>50102096</v>
      </c>
      <c r="O326" t="s">
        <v>897</v>
      </c>
      <c r="U326">
        <v>50108432</v>
      </c>
      <c r="V326" t="s">
        <v>1798</v>
      </c>
      <c r="W326">
        <v>50099333</v>
      </c>
      <c r="X326" t="s">
        <v>853</v>
      </c>
      <c r="Y326">
        <f>VLOOKUP(W326,Sheet2!A:D,3,0)</f>
        <v>50097522</v>
      </c>
      <c r="Z326" t="str">
        <f>VLOOKUP(W326,Sheet2!A:D,4,0)</f>
        <v>PPHP: REPOL H110MAS</v>
      </c>
    </row>
    <row r="327" spans="12:26">
      <c r="L327">
        <v>50108218</v>
      </c>
      <c r="M327" t="s">
        <v>1793</v>
      </c>
      <c r="N327">
        <v>50082145</v>
      </c>
      <c r="O327" t="s">
        <v>710</v>
      </c>
      <c r="U327">
        <v>50108433</v>
      </c>
      <c r="V327" t="s">
        <v>1799</v>
      </c>
      <c r="W327">
        <v>50099205</v>
      </c>
      <c r="X327" t="s">
        <v>848</v>
      </c>
      <c r="Y327">
        <f>VLOOKUP(W327,Sheet2!A:D,3,0)</f>
        <v>50097522</v>
      </c>
      <c r="Z327" t="str">
        <f>VLOOKUP(W327,Sheet2!A:D,4,0)</f>
        <v>PPHP: REPOL H110MAS</v>
      </c>
    </row>
    <row r="328" spans="12:26">
      <c r="L328">
        <v>50108218</v>
      </c>
      <c r="M328" t="s">
        <v>1793</v>
      </c>
      <c r="N328">
        <v>50082178</v>
      </c>
      <c r="O328" t="s">
        <v>719</v>
      </c>
      <c r="U328">
        <v>50108433</v>
      </c>
      <c r="V328" t="s">
        <v>1799</v>
      </c>
      <c r="W328">
        <v>50099334</v>
      </c>
      <c r="X328" t="s">
        <v>854</v>
      </c>
      <c r="Y328">
        <f>VLOOKUP(W328,Sheet2!A:D,3,0)</f>
        <v>50097522</v>
      </c>
      <c r="Z328" t="str">
        <f>VLOOKUP(W328,Sheet2!A:D,4,0)</f>
        <v>PPHP: REPOL H110MAS</v>
      </c>
    </row>
    <row r="329" spans="12:26">
      <c r="L329">
        <v>50108233</v>
      </c>
      <c r="M329" t="s">
        <v>1794</v>
      </c>
      <c r="N329">
        <v>50098871</v>
      </c>
      <c r="O329" t="s">
        <v>841</v>
      </c>
      <c r="U329">
        <v>50108459</v>
      </c>
      <c r="V329" t="s">
        <v>1800</v>
      </c>
      <c r="W329">
        <v>50102095</v>
      </c>
      <c r="X329" t="s">
        <v>896</v>
      </c>
      <c r="Y329">
        <f>VLOOKUP(W329,Sheet2!A:D,3,0)</f>
        <v>50097522</v>
      </c>
      <c r="Z329" t="str">
        <f>VLOOKUP(W329,Sheet2!A:D,4,0)</f>
        <v>PPHP: REPOL H110MAS</v>
      </c>
    </row>
    <row r="330" spans="12:26">
      <c r="L330">
        <v>50108233</v>
      </c>
      <c r="M330" t="s">
        <v>1794</v>
      </c>
      <c r="N330">
        <v>50099332</v>
      </c>
      <c r="O330" t="s">
        <v>852</v>
      </c>
      <c r="U330">
        <v>50108459</v>
      </c>
      <c r="V330" t="s">
        <v>1800</v>
      </c>
      <c r="W330">
        <v>50102096</v>
      </c>
      <c r="X330" t="s">
        <v>897</v>
      </c>
      <c r="Y330">
        <f>VLOOKUP(W330,Sheet2!A:D,3,0)</f>
        <v>50097522</v>
      </c>
      <c r="Z330" t="str">
        <f>VLOOKUP(W330,Sheet2!A:D,4,0)</f>
        <v>PPHP: REPOL H110MAS</v>
      </c>
    </row>
    <row r="331" spans="12:26">
      <c r="L331">
        <v>50108236</v>
      </c>
      <c r="M331" t="s">
        <v>1795</v>
      </c>
      <c r="N331">
        <v>50105026</v>
      </c>
      <c r="O331" t="s">
        <v>944</v>
      </c>
      <c r="U331">
        <v>50108461</v>
      </c>
      <c r="V331" t="s">
        <v>1801</v>
      </c>
      <c r="W331">
        <v>50102095</v>
      </c>
      <c r="X331" t="s">
        <v>896</v>
      </c>
      <c r="Y331">
        <f>VLOOKUP(W331,Sheet2!A:D,3,0)</f>
        <v>50097522</v>
      </c>
      <c r="Z331" t="str">
        <f>VLOOKUP(W331,Sheet2!A:D,4,0)</f>
        <v>PPHP: REPOL H110MAS</v>
      </c>
    </row>
    <row r="332" spans="12:26">
      <c r="L332">
        <v>50108237</v>
      </c>
      <c r="M332" t="s">
        <v>1796</v>
      </c>
      <c r="N332">
        <v>50104782</v>
      </c>
      <c r="O332" t="s">
        <v>1771</v>
      </c>
      <c r="U332">
        <v>50108461</v>
      </c>
      <c r="V332" t="s">
        <v>1801</v>
      </c>
      <c r="W332">
        <v>50102096</v>
      </c>
      <c r="X332" t="s">
        <v>897</v>
      </c>
      <c r="Y332">
        <f>VLOOKUP(W332,Sheet2!A:D,3,0)</f>
        <v>50097522</v>
      </c>
      <c r="Z332" t="str">
        <f>VLOOKUP(W332,Sheet2!A:D,4,0)</f>
        <v>PPHP: REPOL H110MAS</v>
      </c>
    </row>
    <row r="333" spans="12:26">
      <c r="L333">
        <v>50108237</v>
      </c>
      <c r="M333" t="s">
        <v>1796</v>
      </c>
      <c r="N333">
        <v>50104883</v>
      </c>
      <c r="O333" t="s">
        <v>932</v>
      </c>
      <c r="U333">
        <v>50108462</v>
      </c>
      <c r="V333" t="s">
        <v>62</v>
      </c>
      <c r="W333">
        <v>50099204</v>
      </c>
      <c r="X333" t="s">
        <v>847</v>
      </c>
      <c r="Y333">
        <f>VLOOKUP(W333,Sheet2!A:D,3,0)</f>
        <v>50097522</v>
      </c>
      <c r="Z333" t="str">
        <f>VLOOKUP(W333,Sheet2!A:D,4,0)</f>
        <v>PPHP: REPOL H110MAS</v>
      </c>
    </row>
    <row r="334" spans="12:26">
      <c r="L334">
        <v>50108237</v>
      </c>
      <c r="M334" t="s">
        <v>1796</v>
      </c>
      <c r="N334">
        <v>50104909</v>
      </c>
      <c r="O334" t="s">
        <v>934</v>
      </c>
      <c r="U334">
        <v>50108462</v>
      </c>
      <c r="V334" t="s">
        <v>62</v>
      </c>
      <c r="W334">
        <v>50099333</v>
      </c>
      <c r="X334" t="s">
        <v>853</v>
      </c>
      <c r="Y334">
        <f>VLOOKUP(W334,Sheet2!A:D,3,0)</f>
        <v>50097522</v>
      </c>
      <c r="Z334" t="str">
        <f>VLOOKUP(W334,Sheet2!A:D,4,0)</f>
        <v>PPHP: REPOL H110MAS</v>
      </c>
    </row>
    <row r="335" spans="12:26">
      <c r="L335">
        <v>50108237</v>
      </c>
      <c r="M335" t="s">
        <v>1796</v>
      </c>
      <c r="N335">
        <v>50105059</v>
      </c>
      <c r="O335" t="s">
        <v>946</v>
      </c>
      <c r="U335">
        <v>50108464</v>
      </c>
      <c r="V335" t="s">
        <v>1802</v>
      </c>
      <c r="W335">
        <v>50099333</v>
      </c>
      <c r="X335" t="s">
        <v>853</v>
      </c>
      <c r="Y335">
        <f>VLOOKUP(W335,Sheet2!A:D,3,0)</f>
        <v>50097522</v>
      </c>
      <c r="Z335" t="str">
        <f>VLOOKUP(W335,Sheet2!A:D,4,0)</f>
        <v>PPHP: REPOL H110MAS</v>
      </c>
    </row>
    <row r="336" spans="12:26">
      <c r="L336">
        <v>50108237</v>
      </c>
      <c r="M336" t="s">
        <v>1796</v>
      </c>
      <c r="N336">
        <v>50105081</v>
      </c>
      <c r="O336" t="s">
        <v>948</v>
      </c>
      <c r="U336">
        <v>50108464</v>
      </c>
      <c r="V336" t="s">
        <v>1802</v>
      </c>
      <c r="W336">
        <v>50108463</v>
      </c>
      <c r="X336" t="s">
        <v>1011</v>
      </c>
      <c r="Y336">
        <f>VLOOKUP(W336,Sheet2!A:D,3,0)</f>
        <v>50097522</v>
      </c>
      <c r="Z336" t="str">
        <f>VLOOKUP(W336,Sheet2!A:D,4,0)</f>
        <v>PPHP: REPOL H110MAS</v>
      </c>
    </row>
    <row r="337" spans="12:26">
      <c r="L337">
        <v>50108237</v>
      </c>
      <c r="M337" t="s">
        <v>1796</v>
      </c>
      <c r="N337">
        <v>50106459</v>
      </c>
      <c r="O337" t="s">
        <v>1774</v>
      </c>
      <c r="U337">
        <v>50108478</v>
      </c>
      <c r="V337" t="s">
        <v>1803</v>
      </c>
      <c r="W337">
        <v>50099204</v>
      </c>
      <c r="X337" t="s">
        <v>847</v>
      </c>
      <c r="Y337">
        <f>VLOOKUP(W337,Sheet2!A:D,3,0)</f>
        <v>50097522</v>
      </c>
      <c r="Z337" t="str">
        <f>VLOOKUP(W337,Sheet2!A:D,4,0)</f>
        <v>PPHP: REPOL H110MAS</v>
      </c>
    </row>
    <row r="338" spans="12:26">
      <c r="L338">
        <v>50108237</v>
      </c>
      <c r="M338" t="s">
        <v>1796</v>
      </c>
      <c r="N338">
        <v>50108236</v>
      </c>
      <c r="O338" t="s">
        <v>1795</v>
      </c>
      <c r="U338">
        <v>50108478</v>
      </c>
      <c r="V338" t="s">
        <v>1803</v>
      </c>
      <c r="W338">
        <v>50099333</v>
      </c>
      <c r="X338" t="s">
        <v>853</v>
      </c>
      <c r="Y338">
        <f>VLOOKUP(W338,Sheet2!A:D,3,0)</f>
        <v>50097522</v>
      </c>
      <c r="Z338" t="str">
        <f>VLOOKUP(W338,Sheet2!A:D,4,0)</f>
        <v>PPHP: REPOL H110MAS</v>
      </c>
    </row>
    <row r="339" spans="12:26">
      <c r="L339">
        <v>50108238</v>
      </c>
      <c r="M339" t="s">
        <v>331</v>
      </c>
      <c r="N339">
        <v>50106998</v>
      </c>
      <c r="O339" t="s">
        <v>990</v>
      </c>
      <c r="U339">
        <v>50108479</v>
      </c>
      <c r="V339" t="s">
        <v>1804</v>
      </c>
      <c r="W339">
        <v>50099205</v>
      </c>
      <c r="X339" t="s">
        <v>848</v>
      </c>
      <c r="Y339">
        <f>VLOOKUP(W339,Sheet2!A:D,3,0)</f>
        <v>50097522</v>
      </c>
      <c r="Z339" t="str">
        <f>VLOOKUP(W339,Sheet2!A:D,4,0)</f>
        <v>PPHP: REPOL H110MAS</v>
      </c>
    </row>
    <row r="340" spans="12:26">
      <c r="L340">
        <v>50108239</v>
      </c>
      <c r="M340" t="s">
        <v>330</v>
      </c>
      <c r="N340">
        <v>50106999</v>
      </c>
      <c r="O340" t="s">
        <v>991</v>
      </c>
      <c r="U340">
        <v>50108479</v>
      </c>
      <c r="V340" t="s">
        <v>1804</v>
      </c>
      <c r="W340">
        <v>50099334</v>
      </c>
      <c r="X340" t="s">
        <v>854</v>
      </c>
      <c r="Y340">
        <f>VLOOKUP(W340,Sheet2!A:D,3,0)</f>
        <v>50097522</v>
      </c>
      <c r="Z340" t="str">
        <f>VLOOKUP(W340,Sheet2!A:D,4,0)</f>
        <v>PPHP: REPOL H110MAS</v>
      </c>
    </row>
    <row r="341" spans="12:26">
      <c r="L341">
        <v>50108246</v>
      </c>
      <c r="M341" t="s">
        <v>1797</v>
      </c>
      <c r="N341">
        <v>50099205</v>
      </c>
      <c r="O341" t="s">
        <v>848</v>
      </c>
      <c r="U341">
        <v>50108482</v>
      </c>
      <c r="V341" t="s">
        <v>1805</v>
      </c>
      <c r="W341">
        <v>50082145</v>
      </c>
      <c r="X341" t="s">
        <v>710</v>
      </c>
      <c r="Y341">
        <f>VLOOKUP(W341,Sheet2!A:D,3,0)</f>
        <v>50082181</v>
      </c>
      <c r="Z341" t="str">
        <f>VLOOKUP(W341,Sheet2!A:D,4,0)</f>
        <v>PPHP: COPYLENE CH120LN</v>
      </c>
    </row>
    <row r="342" spans="12:26">
      <c r="L342">
        <v>50108246</v>
      </c>
      <c r="M342" t="s">
        <v>1797</v>
      </c>
      <c r="N342">
        <v>50099334</v>
      </c>
      <c r="O342" t="s">
        <v>854</v>
      </c>
      <c r="U342">
        <v>50108482</v>
      </c>
      <c r="V342" t="s">
        <v>1805</v>
      </c>
      <c r="W342">
        <v>50082178</v>
      </c>
      <c r="X342" t="s">
        <v>719</v>
      </c>
      <c r="Y342">
        <f>VLOOKUP(W342,Sheet2!A:D,3,0)</f>
        <v>50082181</v>
      </c>
      <c r="Z342" t="str">
        <f>VLOOKUP(W342,Sheet2!A:D,4,0)</f>
        <v>PPHP: COPYLENE CH120LN</v>
      </c>
    </row>
    <row r="343" spans="12:26">
      <c r="L343">
        <v>50108432</v>
      </c>
      <c r="M343" t="s">
        <v>1798</v>
      </c>
      <c r="N343">
        <v>50099204</v>
      </c>
      <c r="O343" t="s">
        <v>847</v>
      </c>
      <c r="U343">
        <v>50108559</v>
      </c>
      <c r="V343" t="s">
        <v>1806</v>
      </c>
      <c r="W343">
        <v>50099204</v>
      </c>
      <c r="X343" t="s">
        <v>847</v>
      </c>
      <c r="Y343">
        <f>VLOOKUP(W343,Sheet2!A:D,3,0)</f>
        <v>50097522</v>
      </c>
      <c r="Z343" t="str">
        <f>VLOOKUP(W343,Sheet2!A:D,4,0)</f>
        <v>PPHP: REPOL H110MAS</v>
      </c>
    </row>
    <row r="344" spans="12:26">
      <c r="L344">
        <v>50108432</v>
      </c>
      <c r="M344" t="s">
        <v>1798</v>
      </c>
      <c r="N344">
        <v>50099333</v>
      </c>
      <c r="O344" t="s">
        <v>853</v>
      </c>
      <c r="U344">
        <v>50108559</v>
      </c>
      <c r="V344" t="s">
        <v>1806</v>
      </c>
      <c r="W344">
        <v>50099333</v>
      </c>
      <c r="X344" t="s">
        <v>853</v>
      </c>
      <c r="Y344">
        <f>VLOOKUP(W344,Sheet2!A:D,3,0)</f>
        <v>50097522</v>
      </c>
      <c r="Z344" t="str">
        <f>VLOOKUP(W344,Sheet2!A:D,4,0)</f>
        <v>PPHP: REPOL H110MAS</v>
      </c>
    </row>
    <row r="345" spans="12:26">
      <c r="L345">
        <v>50108433</v>
      </c>
      <c r="M345" t="s">
        <v>1799</v>
      </c>
      <c r="N345">
        <v>50099205</v>
      </c>
      <c r="O345" t="s">
        <v>848</v>
      </c>
      <c r="U345">
        <v>50108741</v>
      </c>
      <c r="V345" t="s">
        <v>1807</v>
      </c>
      <c r="W345">
        <v>50104782</v>
      </c>
      <c r="X345" t="s">
        <v>1771</v>
      </c>
      <c r="Y345" t="e">
        <f>VLOOKUP(W345,Sheet2!A:D,3,0)</f>
        <v>#N/A</v>
      </c>
      <c r="Z345" t="e">
        <f>VLOOKUP(W345,Sheet2!A:D,4,0)</f>
        <v>#N/A</v>
      </c>
    </row>
    <row r="346" spans="12:26">
      <c r="L346">
        <v>50108433</v>
      </c>
      <c r="M346" t="s">
        <v>1799</v>
      </c>
      <c r="N346">
        <v>50099334</v>
      </c>
      <c r="O346" t="s">
        <v>854</v>
      </c>
      <c r="U346">
        <v>50108741</v>
      </c>
      <c r="V346" t="s">
        <v>1807</v>
      </c>
      <c r="W346">
        <v>50104883</v>
      </c>
      <c r="X346" t="s">
        <v>932</v>
      </c>
      <c r="Y346">
        <f>VLOOKUP(W346,Sheet2!A:D,3,0)</f>
        <v>50104077</v>
      </c>
      <c r="Z346" t="str">
        <f>VLOOKUP(W346,Sheet2!A:D,4,0)</f>
        <v>ABS: NOVODUR HD M203FC</v>
      </c>
    </row>
    <row r="347" spans="12:26">
      <c r="L347">
        <v>50108459</v>
      </c>
      <c r="M347" t="s">
        <v>1800</v>
      </c>
      <c r="N347">
        <v>50102095</v>
      </c>
      <c r="O347" t="s">
        <v>896</v>
      </c>
      <c r="U347">
        <v>50108741</v>
      </c>
      <c r="V347" t="s">
        <v>1807</v>
      </c>
      <c r="W347">
        <v>50104909</v>
      </c>
      <c r="X347" t="s">
        <v>934</v>
      </c>
      <c r="Y347">
        <f>VLOOKUP(W347,Sheet2!A:D,3,0)</f>
        <v>50104077</v>
      </c>
      <c r="Z347" t="str">
        <f>VLOOKUP(W347,Sheet2!A:D,4,0)</f>
        <v>ABS: NOVODUR HD M203FC</v>
      </c>
    </row>
    <row r="348" spans="12:26">
      <c r="L348">
        <v>50108459</v>
      </c>
      <c r="M348" t="s">
        <v>1800</v>
      </c>
      <c r="N348">
        <v>50102096</v>
      </c>
      <c r="O348" t="s">
        <v>897</v>
      </c>
      <c r="U348">
        <v>50108741</v>
      </c>
      <c r="V348" t="s">
        <v>1807</v>
      </c>
      <c r="W348">
        <v>50105059</v>
      </c>
      <c r="X348" t="s">
        <v>946</v>
      </c>
      <c r="Y348">
        <f>VLOOKUP(W348,Sheet2!A:D,3,0)</f>
        <v>50104077</v>
      </c>
      <c r="Z348" t="str">
        <f>VLOOKUP(W348,Sheet2!A:D,4,0)</f>
        <v>ABS: NOVODUR HD M203FC</v>
      </c>
    </row>
    <row r="349" spans="12:26">
      <c r="L349">
        <v>50108461</v>
      </c>
      <c r="M349" t="s">
        <v>1801</v>
      </c>
      <c r="N349">
        <v>50102095</v>
      </c>
      <c r="O349" t="s">
        <v>896</v>
      </c>
      <c r="U349">
        <v>50108741</v>
      </c>
      <c r="V349" t="s">
        <v>1807</v>
      </c>
      <c r="W349">
        <v>50106459</v>
      </c>
      <c r="X349" t="s">
        <v>1774</v>
      </c>
      <c r="Y349" t="e">
        <f>VLOOKUP(W349,Sheet2!A:D,3,0)</f>
        <v>#N/A</v>
      </c>
      <c r="Z349" t="e">
        <f>VLOOKUP(W349,Sheet2!A:D,4,0)</f>
        <v>#N/A</v>
      </c>
    </row>
    <row r="350" spans="12:26">
      <c r="L350">
        <v>50108461</v>
      </c>
      <c r="M350" t="s">
        <v>1801</v>
      </c>
      <c r="N350">
        <v>50102096</v>
      </c>
      <c r="O350" t="s">
        <v>897</v>
      </c>
      <c r="U350">
        <v>50108741</v>
      </c>
      <c r="V350" t="s">
        <v>1807</v>
      </c>
      <c r="W350">
        <v>50108736</v>
      </c>
      <c r="X350" t="s">
        <v>1012</v>
      </c>
      <c r="Y350">
        <f>VLOOKUP(W350,Sheet2!A:D,3,0)</f>
        <v>50104078</v>
      </c>
      <c r="Z350" t="str">
        <f>VLOOKUP(W350,Sheet2!A:D,4,0)</f>
        <v>MABS: TERLUX HD 2812</v>
      </c>
    </row>
    <row r="351" spans="12:26">
      <c r="L351">
        <v>50108462</v>
      </c>
      <c r="M351" t="s">
        <v>62</v>
      </c>
      <c r="N351">
        <v>50099204</v>
      </c>
      <c r="O351" t="s">
        <v>847</v>
      </c>
      <c r="U351">
        <v>50108741</v>
      </c>
      <c r="V351" t="s">
        <v>1807</v>
      </c>
      <c r="W351">
        <v>50108742</v>
      </c>
      <c r="X351" t="s">
        <v>1808</v>
      </c>
      <c r="Y351" t="e">
        <f>VLOOKUP(W351,Sheet2!A:D,3,0)</f>
        <v>#N/A</v>
      </c>
      <c r="Z351" t="e">
        <f>VLOOKUP(W351,Sheet2!A:D,4,0)</f>
        <v>#N/A</v>
      </c>
    </row>
    <row r="352" spans="12:26">
      <c r="L352">
        <v>50108462</v>
      </c>
      <c r="M352" t="s">
        <v>62</v>
      </c>
      <c r="N352">
        <v>50099333</v>
      </c>
      <c r="O352" t="s">
        <v>853</v>
      </c>
      <c r="U352">
        <v>50108935</v>
      </c>
      <c r="V352" t="s">
        <v>1810</v>
      </c>
      <c r="W352">
        <v>50104782</v>
      </c>
      <c r="X352" t="s">
        <v>1771</v>
      </c>
      <c r="Y352" t="e">
        <f>VLOOKUP(W352,Sheet2!A:D,3,0)</f>
        <v>#N/A</v>
      </c>
      <c r="Z352" t="e">
        <f>VLOOKUP(W352,Sheet2!A:D,4,0)</f>
        <v>#N/A</v>
      </c>
    </row>
    <row r="353" spans="12:26">
      <c r="L353">
        <v>50108464</v>
      </c>
      <c r="M353" t="s">
        <v>1802</v>
      </c>
      <c r="N353">
        <v>50099333</v>
      </c>
      <c r="O353" t="s">
        <v>853</v>
      </c>
      <c r="U353">
        <v>50108935</v>
      </c>
      <c r="V353" t="s">
        <v>1810</v>
      </c>
      <c r="W353">
        <v>50104883</v>
      </c>
      <c r="X353" t="s">
        <v>932</v>
      </c>
      <c r="Y353">
        <f>VLOOKUP(W353,Sheet2!A:D,3,0)</f>
        <v>50104077</v>
      </c>
      <c r="Z353" t="str">
        <f>VLOOKUP(W353,Sheet2!A:D,4,0)</f>
        <v>ABS: NOVODUR HD M203FC</v>
      </c>
    </row>
    <row r="354" spans="12:26">
      <c r="L354">
        <v>50108464</v>
      </c>
      <c r="M354" t="s">
        <v>1802</v>
      </c>
      <c r="N354">
        <v>50108463</v>
      </c>
      <c r="O354" t="s">
        <v>1011</v>
      </c>
      <c r="U354">
        <v>50108935</v>
      </c>
      <c r="V354" t="s">
        <v>1810</v>
      </c>
      <c r="W354">
        <v>50104909</v>
      </c>
      <c r="X354" t="s">
        <v>934</v>
      </c>
      <c r="Y354">
        <f>VLOOKUP(W354,Sheet2!A:D,3,0)</f>
        <v>50104077</v>
      </c>
      <c r="Z354" t="str">
        <f>VLOOKUP(W354,Sheet2!A:D,4,0)</f>
        <v>ABS: NOVODUR HD M203FC</v>
      </c>
    </row>
    <row r="355" spans="12:26">
      <c r="L355">
        <v>50108478</v>
      </c>
      <c r="M355" t="s">
        <v>1803</v>
      </c>
      <c r="N355">
        <v>50099204</v>
      </c>
      <c r="O355" t="s">
        <v>847</v>
      </c>
      <c r="U355">
        <v>50108935</v>
      </c>
      <c r="V355" t="s">
        <v>1810</v>
      </c>
      <c r="W355">
        <v>50105059</v>
      </c>
      <c r="X355" t="s">
        <v>946</v>
      </c>
      <c r="Y355">
        <f>VLOOKUP(W355,Sheet2!A:D,3,0)</f>
        <v>50104077</v>
      </c>
      <c r="Z355" t="str">
        <f>VLOOKUP(W355,Sheet2!A:D,4,0)</f>
        <v>ABS: NOVODUR HD M203FC</v>
      </c>
    </row>
    <row r="356" spans="12:26">
      <c r="L356">
        <v>50108478</v>
      </c>
      <c r="M356" t="s">
        <v>1803</v>
      </c>
      <c r="N356">
        <v>50099333</v>
      </c>
      <c r="O356" t="s">
        <v>853</v>
      </c>
      <c r="U356">
        <v>50108935</v>
      </c>
      <c r="V356" t="s">
        <v>1810</v>
      </c>
      <c r="W356">
        <v>50106459</v>
      </c>
      <c r="X356" t="s">
        <v>1774</v>
      </c>
      <c r="Y356" t="e">
        <f>VLOOKUP(W356,Sheet2!A:D,3,0)</f>
        <v>#N/A</v>
      </c>
      <c r="Z356" t="e">
        <f>VLOOKUP(W356,Sheet2!A:D,4,0)</f>
        <v>#N/A</v>
      </c>
    </row>
    <row r="357" spans="12:26">
      <c r="L357">
        <v>50108479</v>
      </c>
      <c r="M357" t="s">
        <v>1804</v>
      </c>
      <c r="N357">
        <v>50099205</v>
      </c>
      <c r="O357" t="s">
        <v>848</v>
      </c>
      <c r="U357">
        <v>50108935</v>
      </c>
      <c r="V357" t="s">
        <v>1810</v>
      </c>
      <c r="W357">
        <v>50108932</v>
      </c>
      <c r="X357" t="s">
        <v>1034</v>
      </c>
      <c r="Y357">
        <f>VLOOKUP(W357,Sheet2!A:D,3,0)</f>
        <v>50104077</v>
      </c>
      <c r="Z357" t="str">
        <f>VLOOKUP(W357,Sheet2!A:D,4,0)</f>
        <v>ABS: NOVODUR HD M203FC</v>
      </c>
    </row>
    <row r="358" spans="12:26">
      <c r="L358">
        <v>50108479</v>
      </c>
      <c r="M358" t="s">
        <v>1804</v>
      </c>
      <c r="N358">
        <v>50099334</v>
      </c>
      <c r="O358" t="s">
        <v>854</v>
      </c>
      <c r="U358">
        <v>50108935</v>
      </c>
      <c r="V358" t="s">
        <v>1810</v>
      </c>
      <c r="W358">
        <v>50108933</v>
      </c>
      <c r="X358" t="s">
        <v>1809</v>
      </c>
      <c r="Y358" t="e">
        <f>VLOOKUP(W358,Sheet2!A:D,3,0)</f>
        <v>#N/A</v>
      </c>
      <c r="Z358" t="e">
        <f>VLOOKUP(W358,Sheet2!A:D,4,0)</f>
        <v>#N/A</v>
      </c>
    </row>
    <row r="359" spans="12:26">
      <c r="L359">
        <v>50108482</v>
      </c>
      <c r="M359" t="s">
        <v>1805</v>
      </c>
      <c r="N359">
        <v>50082145</v>
      </c>
      <c r="O359" t="s">
        <v>710</v>
      </c>
      <c r="U359">
        <v>50108941</v>
      </c>
      <c r="V359" t="s">
        <v>1811</v>
      </c>
      <c r="W359">
        <v>50099204</v>
      </c>
      <c r="X359" t="s">
        <v>847</v>
      </c>
      <c r="Y359">
        <f>VLOOKUP(W359,Sheet2!A:D,3,0)</f>
        <v>50097522</v>
      </c>
      <c r="Z359" t="str">
        <f>VLOOKUP(W359,Sheet2!A:D,4,0)</f>
        <v>PPHP: REPOL H110MAS</v>
      </c>
    </row>
    <row r="360" spans="12:26">
      <c r="L360">
        <v>50108482</v>
      </c>
      <c r="M360" t="s">
        <v>1805</v>
      </c>
      <c r="N360">
        <v>50082178</v>
      </c>
      <c r="O360" t="s">
        <v>719</v>
      </c>
      <c r="U360">
        <v>50108941</v>
      </c>
      <c r="V360" t="s">
        <v>1811</v>
      </c>
      <c r="W360">
        <v>50099333</v>
      </c>
      <c r="X360" t="s">
        <v>853</v>
      </c>
      <c r="Y360">
        <f>VLOOKUP(W360,Sheet2!A:D,3,0)</f>
        <v>50097522</v>
      </c>
      <c r="Z360" t="str">
        <f>VLOOKUP(W360,Sheet2!A:D,4,0)</f>
        <v>PPHP: REPOL H110MAS</v>
      </c>
    </row>
    <row r="361" spans="12:26">
      <c r="L361">
        <v>50108559</v>
      </c>
      <c r="M361" t="s">
        <v>1806</v>
      </c>
      <c r="N361">
        <v>50099204</v>
      </c>
      <c r="O361" t="s">
        <v>847</v>
      </c>
      <c r="U361">
        <v>50108942</v>
      </c>
      <c r="V361" t="s">
        <v>1812</v>
      </c>
      <c r="W361">
        <v>50099205</v>
      </c>
      <c r="X361" t="s">
        <v>848</v>
      </c>
      <c r="Y361">
        <f>VLOOKUP(W361,Sheet2!A:D,3,0)</f>
        <v>50097522</v>
      </c>
      <c r="Z361" t="str">
        <f>VLOOKUP(W361,Sheet2!A:D,4,0)</f>
        <v>PPHP: REPOL H110MAS</v>
      </c>
    </row>
    <row r="362" spans="12:26">
      <c r="L362">
        <v>50108559</v>
      </c>
      <c r="M362" t="s">
        <v>1806</v>
      </c>
      <c r="N362">
        <v>50099333</v>
      </c>
      <c r="O362" t="s">
        <v>853</v>
      </c>
      <c r="U362">
        <v>50108942</v>
      </c>
      <c r="V362" t="s">
        <v>1812</v>
      </c>
      <c r="W362">
        <v>50099334</v>
      </c>
      <c r="X362" t="s">
        <v>854</v>
      </c>
      <c r="Y362">
        <f>VLOOKUP(W362,Sheet2!A:D,3,0)</f>
        <v>50097522</v>
      </c>
      <c r="Z362" t="str">
        <f>VLOOKUP(W362,Sheet2!A:D,4,0)</f>
        <v>PPHP: REPOL H110MAS</v>
      </c>
    </row>
    <row r="363" spans="12:26">
      <c r="L363">
        <v>50108741</v>
      </c>
      <c r="M363" t="s">
        <v>1807</v>
      </c>
      <c r="N363">
        <v>50104782</v>
      </c>
      <c r="O363" t="s">
        <v>1771</v>
      </c>
      <c r="U363">
        <v>50108943</v>
      </c>
      <c r="V363" t="s">
        <v>1813</v>
      </c>
      <c r="W363">
        <v>50102095</v>
      </c>
      <c r="X363" t="s">
        <v>896</v>
      </c>
      <c r="Y363">
        <f>VLOOKUP(W363,Sheet2!A:D,3,0)</f>
        <v>50097522</v>
      </c>
      <c r="Z363" t="str">
        <f>VLOOKUP(W363,Sheet2!A:D,4,0)</f>
        <v>PPHP: REPOL H110MAS</v>
      </c>
    </row>
    <row r="364" spans="12:26">
      <c r="L364">
        <v>50108741</v>
      </c>
      <c r="M364" t="s">
        <v>1807</v>
      </c>
      <c r="N364">
        <v>50104883</v>
      </c>
      <c r="O364" t="s">
        <v>932</v>
      </c>
      <c r="U364">
        <v>50108943</v>
      </c>
      <c r="V364" t="s">
        <v>1813</v>
      </c>
      <c r="W364">
        <v>50102096</v>
      </c>
      <c r="X364" t="s">
        <v>897</v>
      </c>
      <c r="Y364">
        <f>VLOOKUP(W364,Sheet2!A:D,3,0)</f>
        <v>50097522</v>
      </c>
      <c r="Z364" t="str">
        <f>VLOOKUP(W364,Sheet2!A:D,4,0)</f>
        <v>PPHP: REPOL H110MAS</v>
      </c>
    </row>
    <row r="365" spans="12:26">
      <c r="L365">
        <v>50108741</v>
      </c>
      <c r="M365" t="s">
        <v>1807</v>
      </c>
      <c r="N365">
        <v>50104909</v>
      </c>
      <c r="O365" t="s">
        <v>934</v>
      </c>
      <c r="U365">
        <v>50109025</v>
      </c>
      <c r="V365" t="s">
        <v>1814</v>
      </c>
      <c r="W365">
        <v>50099204</v>
      </c>
      <c r="X365" t="s">
        <v>847</v>
      </c>
      <c r="Y365">
        <f>VLOOKUP(W365,Sheet2!A:D,3,0)</f>
        <v>50097522</v>
      </c>
      <c r="Z365" t="str">
        <f>VLOOKUP(W365,Sheet2!A:D,4,0)</f>
        <v>PPHP: REPOL H110MAS</v>
      </c>
    </row>
    <row r="366" spans="12:26">
      <c r="L366">
        <v>50108741</v>
      </c>
      <c r="M366" t="s">
        <v>1807</v>
      </c>
      <c r="N366">
        <v>50105059</v>
      </c>
      <c r="O366" t="s">
        <v>946</v>
      </c>
      <c r="U366">
        <v>50109025</v>
      </c>
      <c r="V366" t="s">
        <v>1814</v>
      </c>
      <c r="W366">
        <v>50099333</v>
      </c>
      <c r="X366" t="s">
        <v>853</v>
      </c>
      <c r="Y366">
        <f>VLOOKUP(W366,Sheet2!A:D,3,0)</f>
        <v>50097522</v>
      </c>
      <c r="Z366" t="str">
        <f>VLOOKUP(W366,Sheet2!A:D,4,0)</f>
        <v>PPHP: REPOL H110MAS</v>
      </c>
    </row>
    <row r="367" spans="12:26">
      <c r="L367">
        <v>50108741</v>
      </c>
      <c r="M367" t="s">
        <v>1807</v>
      </c>
      <c r="N367">
        <v>50106459</v>
      </c>
      <c r="O367" t="s">
        <v>1774</v>
      </c>
      <c r="U367">
        <v>50109142</v>
      </c>
      <c r="V367" t="s">
        <v>1818</v>
      </c>
      <c r="W367">
        <v>50104782</v>
      </c>
      <c r="X367" t="s">
        <v>1771</v>
      </c>
      <c r="Y367" t="e">
        <f>VLOOKUP(W367,Sheet2!A:D,3,0)</f>
        <v>#N/A</v>
      </c>
      <c r="Z367" t="e">
        <f>VLOOKUP(W367,Sheet2!A:D,4,0)</f>
        <v>#N/A</v>
      </c>
    </row>
    <row r="368" spans="12:26">
      <c r="L368">
        <v>50108741</v>
      </c>
      <c r="M368" t="s">
        <v>1807</v>
      </c>
      <c r="N368">
        <v>50108736</v>
      </c>
      <c r="O368" t="s">
        <v>1012</v>
      </c>
      <c r="U368">
        <v>50109142</v>
      </c>
      <c r="V368" t="s">
        <v>1818</v>
      </c>
      <c r="W368">
        <v>50104883</v>
      </c>
      <c r="X368" t="s">
        <v>932</v>
      </c>
      <c r="Y368">
        <f>VLOOKUP(W368,Sheet2!A:D,3,0)</f>
        <v>50104077</v>
      </c>
      <c r="Z368" t="str">
        <f>VLOOKUP(W368,Sheet2!A:D,4,0)</f>
        <v>ABS: NOVODUR HD M203FC</v>
      </c>
    </row>
    <row r="369" spans="12:26">
      <c r="L369">
        <v>50108741</v>
      </c>
      <c r="M369" t="s">
        <v>1807</v>
      </c>
      <c r="N369">
        <v>50108742</v>
      </c>
      <c r="O369" t="s">
        <v>1808</v>
      </c>
      <c r="U369">
        <v>50109142</v>
      </c>
      <c r="V369" t="s">
        <v>1818</v>
      </c>
      <c r="W369">
        <v>50104909</v>
      </c>
      <c r="X369" t="s">
        <v>934</v>
      </c>
      <c r="Y369">
        <f>VLOOKUP(W369,Sheet2!A:D,3,0)</f>
        <v>50104077</v>
      </c>
      <c r="Z369" t="str">
        <f>VLOOKUP(W369,Sheet2!A:D,4,0)</f>
        <v>ABS: NOVODUR HD M203FC</v>
      </c>
    </row>
    <row r="370" spans="12:26">
      <c r="L370">
        <v>50108742</v>
      </c>
      <c r="M370" t="s">
        <v>1808</v>
      </c>
      <c r="N370">
        <v>50105026</v>
      </c>
      <c r="O370" t="s">
        <v>944</v>
      </c>
      <c r="U370">
        <v>50109142</v>
      </c>
      <c r="V370" t="s">
        <v>1818</v>
      </c>
      <c r="W370">
        <v>50105059</v>
      </c>
      <c r="X370" t="s">
        <v>946</v>
      </c>
      <c r="Y370">
        <f>VLOOKUP(W370,Sheet2!A:D,3,0)</f>
        <v>50104077</v>
      </c>
      <c r="Z370" t="str">
        <f>VLOOKUP(W370,Sheet2!A:D,4,0)</f>
        <v>ABS: NOVODUR HD M203FC</v>
      </c>
    </row>
    <row r="371" spans="12:26">
      <c r="L371">
        <v>50108933</v>
      </c>
      <c r="M371" t="s">
        <v>1809</v>
      </c>
      <c r="N371">
        <v>50108936</v>
      </c>
      <c r="O371" t="s">
        <v>1035</v>
      </c>
      <c r="U371">
        <v>50109142</v>
      </c>
      <c r="V371" t="s">
        <v>1818</v>
      </c>
      <c r="W371">
        <v>50105081</v>
      </c>
      <c r="X371" t="s">
        <v>948</v>
      </c>
      <c r="Y371">
        <f>VLOOKUP(W371,Sheet2!A:D,3,0)</f>
        <v>50104078</v>
      </c>
      <c r="Z371" t="str">
        <f>VLOOKUP(W371,Sheet2!A:D,4,0)</f>
        <v>MABS: TERLUX HD 2812</v>
      </c>
    </row>
    <row r="372" spans="12:26">
      <c r="L372">
        <v>50108935</v>
      </c>
      <c r="M372" t="s">
        <v>1810</v>
      </c>
      <c r="N372">
        <v>50104782</v>
      </c>
      <c r="O372" t="s">
        <v>1771</v>
      </c>
      <c r="U372">
        <v>50109142</v>
      </c>
      <c r="V372" t="s">
        <v>1818</v>
      </c>
      <c r="W372">
        <v>50106459</v>
      </c>
      <c r="X372" t="s">
        <v>1774</v>
      </c>
      <c r="Y372" t="e">
        <f>VLOOKUP(W372,Sheet2!A:D,3,0)</f>
        <v>#N/A</v>
      </c>
      <c r="Z372" t="e">
        <f>VLOOKUP(W372,Sheet2!A:D,4,0)</f>
        <v>#N/A</v>
      </c>
    </row>
    <row r="373" spans="12:26">
      <c r="L373">
        <v>50108935</v>
      </c>
      <c r="M373" t="s">
        <v>1810</v>
      </c>
      <c r="N373">
        <v>50104883</v>
      </c>
      <c r="O373" t="s">
        <v>932</v>
      </c>
      <c r="U373">
        <v>50109142</v>
      </c>
      <c r="V373" t="s">
        <v>1818</v>
      </c>
      <c r="W373">
        <v>50109141</v>
      </c>
      <c r="X373" t="s">
        <v>1817</v>
      </c>
      <c r="Y373" t="e">
        <f>VLOOKUP(W373,Sheet2!A:D,3,0)</f>
        <v>#N/A</v>
      </c>
      <c r="Z373" t="e">
        <f>VLOOKUP(W373,Sheet2!A:D,4,0)</f>
        <v>#N/A</v>
      </c>
    </row>
    <row r="374" spans="12:26">
      <c r="L374">
        <v>50108935</v>
      </c>
      <c r="M374" t="s">
        <v>1810</v>
      </c>
      <c r="N374">
        <v>50104909</v>
      </c>
      <c r="O374" t="s">
        <v>934</v>
      </c>
      <c r="U374">
        <v>50109235</v>
      </c>
      <c r="V374" t="s">
        <v>1819</v>
      </c>
      <c r="W374">
        <v>50082145</v>
      </c>
      <c r="X374" t="s">
        <v>710</v>
      </c>
      <c r="Y374">
        <f>VLOOKUP(W374,Sheet2!A:D,3,0)</f>
        <v>50082181</v>
      </c>
      <c r="Z374" t="str">
        <f>VLOOKUP(W374,Sheet2!A:D,4,0)</f>
        <v>PPHP: COPYLENE CH120LN</v>
      </c>
    </row>
    <row r="375" spans="12:26">
      <c r="L375">
        <v>50108935</v>
      </c>
      <c r="M375" t="s">
        <v>1810</v>
      </c>
      <c r="N375">
        <v>50105059</v>
      </c>
      <c r="O375" t="s">
        <v>946</v>
      </c>
      <c r="U375">
        <v>50109235</v>
      </c>
      <c r="V375" t="s">
        <v>1819</v>
      </c>
      <c r="W375">
        <v>50082178</v>
      </c>
      <c r="X375" t="s">
        <v>719</v>
      </c>
      <c r="Y375">
        <f>VLOOKUP(W375,Sheet2!A:D,3,0)</f>
        <v>50082181</v>
      </c>
      <c r="Z375" t="str">
        <f>VLOOKUP(W375,Sheet2!A:D,4,0)</f>
        <v>PPHP: COPYLENE CH120LN</v>
      </c>
    </row>
    <row r="376" spans="12:26">
      <c r="L376">
        <v>50108935</v>
      </c>
      <c r="M376" t="s">
        <v>1810</v>
      </c>
      <c r="N376">
        <v>50106459</v>
      </c>
      <c r="O376" t="s">
        <v>1774</v>
      </c>
      <c r="U376">
        <v>50109235</v>
      </c>
      <c r="V376" t="s">
        <v>1819</v>
      </c>
      <c r="W376">
        <v>50099204</v>
      </c>
      <c r="X376" t="s">
        <v>847</v>
      </c>
      <c r="Y376">
        <f>VLOOKUP(W376,Sheet2!A:D,3,0)</f>
        <v>50097522</v>
      </c>
      <c r="Z376" t="str">
        <f>VLOOKUP(W376,Sheet2!A:D,4,0)</f>
        <v>PPHP: REPOL H110MAS</v>
      </c>
    </row>
    <row r="377" spans="12:26">
      <c r="L377">
        <v>50108935</v>
      </c>
      <c r="M377" t="s">
        <v>1810</v>
      </c>
      <c r="N377">
        <v>50108932</v>
      </c>
      <c r="O377" t="s">
        <v>1034</v>
      </c>
      <c r="U377">
        <v>50109235</v>
      </c>
      <c r="V377" t="s">
        <v>1819</v>
      </c>
      <c r="W377">
        <v>50099333</v>
      </c>
      <c r="X377" t="s">
        <v>853</v>
      </c>
      <c r="Y377">
        <f>VLOOKUP(W377,Sheet2!A:D,3,0)</f>
        <v>50097522</v>
      </c>
      <c r="Z377" t="str">
        <f>VLOOKUP(W377,Sheet2!A:D,4,0)</f>
        <v>PPHP: REPOL H110MAS</v>
      </c>
    </row>
    <row r="378" spans="12:26">
      <c r="L378">
        <v>50108935</v>
      </c>
      <c r="M378" t="s">
        <v>1810</v>
      </c>
      <c r="N378">
        <v>50108933</v>
      </c>
      <c r="O378" t="s">
        <v>1809</v>
      </c>
      <c r="U378">
        <v>50109236</v>
      </c>
      <c r="V378" t="s">
        <v>1820</v>
      </c>
      <c r="W378">
        <v>50082144</v>
      </c>
      <c r="X378" t="s">
        <v>709</v>
      </c>
      <c r="Y378">
        <f>VLOOKUP(W378,Sheet2!A:D,3,0)</f>
        <v>50082181</v>
      </c>
      <c r="Z378" t="str">
        <f>VLOOKUP(W378,Sheet2!A:D,4,0)</f>
        <v>PPHP: COPYLENE CH120LN</v>
      </c>
    </row>
    <row r="379" spans="12:26">
      <c r="L379">
        <v>50108941</v>
      </c>
      <c r="M379" t="s">
        <v>1811</v>
      </c>
      <c r="N379">
        <v>50099204</v>
      </c>
      <c r="O379" t="s">
        <v>847</v>
      </c>
      <c r="U379">
        <v>50109236</v>
      </c>
      <c r="V379" t="s">
        <v>1820</v>
      </c>
      <c r="W379">
        <v>50082177</v>
      </c>
      <c r="X379" t="s">
        <v>718</v>
      </c>
      <c r="Y379">
        <f>VLOOKUP(W379,Sheet2!A:D,3,0)</f>
        <v>50082181</v>
      </c>
      <c r="Z379" t="str">
        <f>VLOOKUP(W379,Sheet2!A:D,4,0)</f>
        <v>PPHP: COPYLENE CH120LN</v>
      </c>
    </row>
    <row r="380" spans="12:26">
      <c r="L380">
        <v>50108941</v>
      </c>
      <c r="M380" t="s">
        <v>1811</v>
      </c>
      <c r="N380">
        <v>50099333</v>
      </c>
      <c r="O380" t="s">
        <v>853</v>
      </c>
      <c r="U380">
        <v>50109236</v>
      </c>
      <c r="V380" t="s">
        <v>1820</v>
      </c>
      <c r="W380">
        <v>50099205</v>
      </c>
      <c r="X380" t="s">
        <v>848</v>
      </c>
      <c r="Y380">
        <f>VLOOKUP(W380,Sheet2!A:D,3,0)</f>
        <v>50097522</v>
      </c>
      <c r="Z380" t="str">
        <f>VLOOKUP(W380,Sheet2!A:D,4,0)</f>
        <v>PPHP: REPOL H110MAS</v>
      </c>
    </row>
    <row r="381" spans="12:26">
      <c r="L381">
        <v>50108942</v>
      </c>
      <c r="M381" t="s">
        <v>1812</v>
      </c>
      <c r="N381">
        <v>50099205</v>
      </c>
      <c r="O381" t="s">
        <v>848</v>
      </c>
      <c r="U381">
        <v>50109236</v>
      </c>
      <c r="V381" t="s">
        <v>1820</v>
      </c>
      <c r="W381">
        <v>50099334</v>
      </c>
      <c r="X381" t="s">
        <v>854</v>
      </c>
      <c r="Y381">
        <f>VLOOKUP(W381,Sheet2!A:D,3,0)</f>
        <v>50097522</v>
      </c>
      <c r="Z381" t="str">
        <f>VLOOKUP(W381,Sheet2!A:D,4,0)</f>
        <v>PPHP: REPOL H110MAS</v>
      </c>
    </row>
    <row r="382" spans="12:26">
      <c r="L382">
        <v>50108942</v>
      </c>
      <c r="M382" t="s">
        <v>1812</v>
      </c>
      <c r="N382">
        <v>50099334</v>
      </c>
      <c r="O382" t="s">
        <v>854</v>
      </c>
      <c r="U382">
        <v>50109268</v>
      </c>
      <c r="V382" t="s">
        <v>1821</v>
      </c>
      <c r="W382">
        <v>50082144</v>
      </c>
      <c r="X382" t="s">
        <v>709</v>
      </c>
      <c r="Y382">
        <f>VLOOKUP(W382,Sheet2!A:D,3,0)</f>
        <v>50082181</v>
      </c>
      <c r="Z382" t="str">
        <f>VLOOKUP(W382,Sheet2!A:D,4,0)</f>
        <v>PPHP: COPYLENE CH120LN</v>
      </c>
    </row>
    <row r="383" spans="12:26">
      <c r="L383">
        <v>50108943</v>
      </c>
      <c r="M383" t="s">
        <v>1813</v>
      </c>
      <c r="N383">
        <v>50102095</v>
      </c>
      <c r="O383" t="s">
        <v>896</v>
      </c>
      <c r="U383">
        <v>50109268</v>
      </c>
      <c r="V383" t="s">
        <v>1821</v>
      </c>
      <c r="W383">
        <v>50082177</v>
      </c>
      <c r="X383" t="s">
        <v>718</v>
      </c>
      <c r="Y383">
        <f>VLOOKUP(W383,Sheet2!A:D,3,0)</f>
        <v>50082181</v>
      </c>
      <c r="Z383" t="str">
        <f>VLOOKUP(W383,Sheet2!A:D,4,0)</f>
        <v>PPHP: COPYLENE CH120LN</v>
      </c>
    </row>
    <row r="384" spans="12:26">
      <c r="L384">
        <v>50108943</v>
      </c>
      <c r="M384" t="s">
        <v>1813</v>
      </c>
      <c r="N384">
        <v>50102096</v>
      </c>
      <c r="O384" t="s">
        <v>897</v>
      </c>
      <c r="U384">
        <v>50109379</v>
      </c>
      <c r="V384" t="s">
        <v>1822</v>
      </c>
      <c r="W384">
        <v>50099205</v>
      </c>
      <c r="X384" t="s">
        <v>848</v>
      </c>
      <c r="Y384">
        <f>VLOOKUP(W384,Sheet2!A:D,3,0)</f>
        <v>50097522</v>
      </c>
      <c r="Z384" t="str">
        <f>VLOOKUP(W384,Sheet2!A:D,4,0)</f>
        <v>PPHP: REPOL H110MAS</v>
      </c>
    </row>
    <row r="385" spans="12:26">
      <c r="L385">
        <v>50109025</v>
      </c>
      <c r="M385" t="s">
        <v>1814</v>
      </c>
      <c r="N385">
        <v>50099204</v>
      </c>
      <c r="O385" t="s">
        <v>847</v>
      </c>
      <c r="U385">
        <v>50109379</v>
      </c>
      <c r="V385" t="s">
        <v>1822</v>
      </c>
      <c r="W385">
        <v>50099334</v>
      </c>
      <c r="X385" t="s">
        <v>854</v>
      </c>
      <c r="Y385">
        <f>VLOOKUP(W385,Sheet2!A:D,3,0)</f>
        <v>50097522</v>
      </c>
      <c r="Z385" t="str">
        <f>VLOOKUP(W385,Sheet2!A:D,4,0)</f>
        <v>PPHP: REPOL H110MAS</v>
      </c>
    </row>
    <row r="386" spans="12:26">
      <c r="L386">
        <v>50109025</v>
      </c>
      <c r="M386" t="s">
        <v>1814</v>
      </c>
      <c r="N386">
        <v>50099333</v>
      </c>
      <c r="O386" t="s">
        <v>853</v>
      </c>
      <c r="U386">
        <v>50109700</v>
      </c>
      <c r="V386" t="s">
        <v>1823</v>
      </c>
      <c r="W386">
        <v>50082144</v>
      </c>
      <c r="X386" t="s">
        <v>709</v>
      </c>
      <c r="Y386">
        <f>VLOOKUP(W386,Sheet2!A:D,3,0)</f>
        <v>50082181</v>
      </c>
      <c r="Z386" t="str">
        <f>VLOOKUP(W386,Sheet2!A:D,4,0)</f>
        <v>PPHP: COPYLENE CH120LN</v>
      </c>
    </row>
    <row r="387" spans="12:26">
      <c r="L387">
        <v>50109040</v>
      </c>
      <c r="M387" t="s">
        <v>1815</v>
      </c>
      <c r="N387">
        <v>50081954</v>
      </c>
      <c r="O387" t="s">
        <v>649</v>
      </c>
      <c r="U387">
        <v>50109700</v>
      </c>
      <c r="V387" t="s">
        <v>1823</v>
      </c>
      <c r="W387">
        <v>50082177</v>
      </c>
      <c r="X387" t="s">
        <v>718</v>
      </c>
      <c r="Y387">
        <f>VLOOKUP(W387,Sheet2!A:D,3,0)</f>
        <v>50082181</v>
      </c>
      <c r="Z387" t="str">
        <f>VLOOKUP(W387,Sheet2!A:D,4,0)</f>
        <v>PPHP: COPYLENE CH120LN</v>
      </c>
    </row>
    <row r="388" spans="12:26">
      <c r="L388">
        <v>50109041</v>
      </c>
      <c r="M388" t="s">
        <v>1816</v>
      </c>
      <c r="N388">
        <v>50082046</v>
      </c>
      <c r="O388" t="s">
        <v>682</v>
      </c>
      <c r="U388">
        <v>50109701</v>
      </c>
      <c r="V388" t="s">
        <v>1824</v>
      </c>
      <c r="W388">
        <v>50082145</v>
      </c>
      <c r="X388" t="s">
        <v>710</v>
      </c>
      <c r="Y388">
        <f>VLOOKUP(W388,Sheet2!A:D,3,0)</f>
        <v>50082181</v>
      </c>
      <c r="Z388" t="str">
        <f>VLOOKUP(W388,Sheet2!A:D,4,0)</f>
        <v>PPHP: COPYLENE CH120LN</v>
      </c>
    </row>
    <row r="389" spans="12:26">
      <c r="L389">
        <v>50109141</v>
      </c>
      <c r="M389" t="s">
        <v>1817</v>
      </c>
      <c r="N389">
        <v>50105026</v>
      </c>
      <c r="O389" t="s">
        <v>944</v>
      </c>
      <c r="U389">
        <v>50109701</v>
      </c>
      <c r="V389" t="s">
        <v>1824</v>
      </c>
      <c r="W389">
        <v>50082178</v>
      </c>
      <c r="X389" t="s">
        <v>719</v>
      </c>
      <c r="Y389">
        <f>VLOOKUP(W389,Sheet2!A:D,3,0)</f>
        <v>50082181</v>
      </c>
      <c r="Z389" t="str">
        <f>VLOOKUP(W389,Sheet2!A:D,4,0)</f>
        <v>PPHP: COPYLENE CH120LN</v>
      </c>
    </row>
    <row r="390" spans="12:26">
      <c r="L390">
        <v>50109142</v>
      </c>
      <c r="M390" t="s">
        <v>1818</v>
      </c>
      <c r="N390">
        <v>50104782</v>
      </c>
      <c r="O390" t="s">
        <v>1771</v>
      </c>
      <c r="U390">
        <v>50109708</v>
      </c>
      <c r="V390" t="s">
        <v>1802</v>
      </c>
      <c r="W390">
        <v>50099333</v>
      </c>
      <c r="X390" t="s">
        <v>853</v>
      </c>
      <c r="Y390">
        <f>VLOOKUP(W390,Sheet2!A:D,3,0)</f>
        <v>50097522</v>
      </c>
      <c r="Z390" t="str">
        <f>VLOOKUP(W390,Sheet2!A:D,4,0)</f>
        <v>PPHP: REPOL H110MAS</v>
      </c>
    </row>
    <row r="391" spans="12:26">
      <c r="L391">
        <v>50109142</v>
      </c>
      <c r="M391" t="s">
        <v>1818</v>
      </c>
      <c r="N391">
        <v>50104883</v>
      </c>
      <c r="O391" t="s">
        <v>932</v>
      </c>
      <c r="U391">
        <v>50109708</v>
      </c>
      <c r="V391" t="s">
        <v>1802</v>
      </c>
      <c r="W391">
        <v>50109709</v>
      </c>
      <c r="X391" t="s">
        <v>1011</v>
      </c>
      <c r="Y391">
        <f>VLOOKUP(W391,Sheet2!A:D,3,0)</f>
        <v>50097522</v>
      </c>
      <c r="Z391" t="str">
        <f>VLOOKUP(W391,Sheet2!A:D,4,0)</f>
        <v>PPHP: REPOL H110MAS</v>
      </c>
    </row>
    <row r="392" spans="12:26">
      <c r="L392">
        <v>50109142</v>
      </c>
      <c r="M392" t="s">
        <v>1818</v>
      </c>
      <c r="N392">
        <v>50104909</v>
      </c>
      <c r="O392" t="s">
        <v>934</v>
      </c>
      <c r="U392">
        <v>50109855</v>
      </c>
      <c r="V392" t="s">
        <v>1825</v>
      </c>
      <c r="W392">
        <v>50102095</v>
      </c>
      <c r="X392" t="s">
        <v>896</v>
      </c>
      <c r="Y392">
        <f>VLOOKUP(W392,Sheet2!A:D,3,0)</f>
        <v>50097522</v>
      </c>
      <c r="Z392" t="str">
        <f>VLOOKUP(W392,Sheet2!A:D,4,0)</f>
        <v>PPHP: REPOL H110MAS</v>
      </c>
    </row>
    <row r="393" spans="12:26">
      <c r="L393">
        <v>50109142</v>
      </c>
      <c r="M393" t="s">
        <v>1818</v>
      </c>
      <c r="N393">
        <v>50105059</v>
      </c>
      <c r="O393" t="s">
        <v>946</v>
      </c>
      <c r="U393">
        <v>50109855</v>
      </c>
      <c r="V393" t="s">
        <v>1825</v>
      </c>
      <c r="W393">
        <v>50102096</v>
      </c>
      <c r="X393" t="s">
        <v>897</v>
      </c>
      <c r="Y393">
        <f>VLOOKUP(W393,Sheet2!A:D,3,0)</f>
        <v>50097522</v>
      </c>
      <c r="Z393" t="str">
        <f>VLOOKUP(W393,Sheet2!A:D,4,0)</f>
        <v>PPHP: REPOL H110MAS</v>
      </c>
    </row>
    <row r="394" spans="12:26">
      <c r="L394">
        <v>50109142</v>
      </c>
      <c r="M394" t="s">
        <v>1818</v>
      </c>
      <c r="N394">
        <v>50105081</v>
      </c>
      <c r="O394" t="s">
        <v>948</v>
      </c>
      <c r="U394">
        <v>50109971</v>
      </c>
      <c r="V394" t="s">
        <v>1826</v>
      </c>
      <c r="W394">
        <v>50099204</v>
      </c>
      <c r="X394" t="s">
        <v>847</v>
      </c>
      <c r="Y394">
        <f>VLOOKUP(W394,Sheet2!A:D,3,0)</f>
        <v>50097522</v>
      </c>
      <c r="Z394" t="str">
        <f>VLOOKUP(W394,Sheet2!A:D,4,0)</f>
        <v>PPHP: REPOL H110MAS</v>
      </c>
    </row>
    <row r="395" spans="12:26">
      <c r="L395">
        <v>50109142</v>
      </c>
      <c r="M395" t="s">
        <v>1818</v>
      </c>
      <c r="N395">
        <v>50106459</v>
      </c>
      <c r="O395" t="s">
        <v>1774</v>
      </c>
      <c r="U395">
        <v>50109971</v>
      </c>
      <c r="V395" t="s">
        <v>1826</v>
      </c>
      <c r="W395">
        <v>50099333</v>
      </c>
      <c r="X395" t="s">
        <v>853</v>
      </c>
      <c r="Y395">
        <f>VLOOKUP(W395,Sheet2!A:D,3,0)</f>
        <v>50097522</v>
      </c>
      <c r="Z395" t="str">
        <f>VLOOKUP(W395,Sheet2!A:D,4,0)</f>
        <v>PPHP: REPOL H110MAS</v>
      </c>
    </row>
    <row r="396" spans="12:26">
      <c r="L396">
        <v>50109142</v>
      </c>
      <c r="M396" t="s">
        <v>1818</v>
      </c>
      <c r="N396">
        <v>50109141</v>
      </c>
      <c r="O396" t="s">
        <v>1817</v>
      </c>
      <c r="U396">
        <v>50109972</v>
      </c>
      <c r="V396" t="s">
        <v>1827</v>
      </c>
      <c r="W396">
        <v>50102095</v>
      </c>
      <c r="X396" t="s">
        <v>896</v>
      </c>
      <c r="Y396">
        <f>VLOOKUP(W396,Sheet2!A:D,3,0)</f>
        <v>50097522</v>
      </c>
      <c r="Z396" t="str">
        <f>VLOOKUP(W396,Sheet2!A:D,4,0)</f>
        <v>PPHP: REPOL H110MAS</v>
      </c>
    </row>
    <row r="397" spans="12:26">
      <c r="L397">
        <v>50109235</v>
      </c>
      <c r="M397" t="s">
        <v>1819</v>
      </c>
      <c r="N397">
        <v>50082145</v>
      </c>
      <c r="O397" t="s">
        <v>710</v>
      </c>
      <c r="U397">
        <v>50109972</v>
      </c>
      <c r="V397" t="s">
        <v>1827</v>
      </c>
      <c r="W397">
        <v>50102096</v>
      </c>
      <c r="X397" t="s">
        <v>897</v>
      </c>
      <c r="Y397">
        <f>VLOOKUP(W397,Sheet2!A:D,3,0)</f>
        <v>50097522</v>
      </c>
      <c r="Z397" t="str">
        <f>VLOOKUP(W397,Sheet2!A:D,4,0)</f>
        <v>PPHP: REPOL H110MAS</v>
      </c>
    </row>
    <row r="398" spans="12:26">
      <c r="L398">
        <v>50109235</v>
      </c>
      <c r="M398" t="s">
        <v>1819</v>
      </c>
      <c r="N398">
        <v>50082178</v>
      </c>
      <c r="O398" t="s">
        <v>719</v>
      </c>
      <c r="U398">
        <v>50110005</v>
      </c>
      <c r="V398" t="s">
        <v>1828</v>
      </c>
      <c r="W398">
        <v>50082145</v>
      </c>
      <c r="X398" t="s">
        <v>710</v>
      </c>
      <c r="Y398">
        <f>VLOOKUP(W398,Sheet2!A:D,3,0)</f>
        <v>50082181</v>
      </c>
      <c r="Z398" t="str">
        <f>VLOOKUP(W398,Sheet2!A:D,4,0)</f>
        <v>PPHP: COPYLENE CH120LN</v>
      </c>
    </row>
    <row r="399" spans="12:26">
      <c r="L399">
        <v>50109235</v>
      </c>
      <c r="M399" t="s">
        <v>1819</v>
      </c>
      <c r="N399">
        <v>50099204</v>
      </c>
      <c r="O399" t="s">
        <v>847</v>
      </c>
      <c r="U399">
        <v>50110005</v>
      </c>
      <c r="V399" t="s">
        <v>1828</v>
      </c>
      <c r="W399">
        <v>50109941</v>
      </c>
      <c r="X399" t="s">
        <v>1050</v>
      </c>
      <c r="Y399">
        <f>VLOOKUP(W399,Sheet2!A:D,3,0)</f>
        <v>50082181</v>
      </c>
      <c r="Z399" t="str">
        <f>VLOOKUP(W399,Sheet2!A:D,4,0)</f>
        <v>PPHP: COPYLENE CH120LN</v>
      </c>
    </row>
    <row r="400" spans="12:26">
      <c r="L400">
        <v>50109235</v>
      </c>
      <c r="M400" t="s">
        <v>1819</v>
      </c>
      <c r="N400">
        <v>50099333</v>
      </c>
      <c r="O400" t="s">
        <v>853</v>
      </c>
      <c r="U400">
        <v>50110006</v>
      </c>
      <c r="V400" t="s">
        <v>1829</v>
      </c>
      <c r="W400">
        <v>50082144</v>
      </c>
      <c r="X400" t="s">
        <v>709</v>
      </c>
      <c r="Y400">
        <f>VLOOKUP(W400,Sheet2!A:D,3,0)</f>
        <v>50082181</v>
      </c>
      <c r="Z400" t="str">
        <f>VLOOKUP(W400,Sheet2!A:D,4,0)</f>
        <v>PPHP: COPYLENE CH120LN</v>
      </c>
    </row>
    <row r="401" spans="12:26">
      <c r="L401">
        <v>50109236</v>
      </c>
      <c r="M401" t="s">
        <v>1820</v>
      </c>
      <c r="N401">
        <v>50082144</v>
      </c>
      <c r="O401" t="s">
        <v>709</v>
      </c>
      <c r="U401">
        <v>50110006</v>
      </c>
      <c r="V401" t="s">
        <v>1829</v>
      </c>
      <c r="W401">
        <v>50109942</v>
      </c>
      <c r="X401" t="s">
        <v>1051</v>
      </c>
      <c r="Y401">
        <f>VLOOKUP(W401,Sheet2!A:D,3,0)</f>
        <v>50082181</v>
      </c>
      <c r="Z401" t="str">
        <f>VLOOKUP(W401,Sheet2!A:D,4,0)</f>
        <v>PPHP: COPYLENE CH120LN</v>
      </c>
    </row>
    <row r="402" spans="12:26">
      <c r="L402">
        <v>50109236</v>
      </c>
      <c r="M402" t="s">
        <v>1820</v>
      </c>
      <c r="N402">
        <v>50082177</v>
      </c>
      <c r="O402" t="s">
        <v>718</v>
      </c>
      <c r="U402">
        <v>50110007</v>
      </c>
      <c r="V402" t="s">
        <v>1830</v>
      </c>
      <c r="W402">
        <v>50082145</v>
      </c>
      <c r="X402" t="s">
        <v>710</v>
      </c>
      <c r="Y402">
        <f>VLOOKUP(W402,Sheet2!A:D,3,0)</f>
        <v>50082181</v>
      </c>
      <c r="Z402" t="str">
        <f>VLOOKUP(W402,Sheet2!A:D,4,0)</f>
        <v>PPHP: COPYLENE CH120LN</v>
      </c>
    </row>
    <row r="403" spans="12:26">
      <c r="L403">
        <v>50109236</v>
      </c>
      <c r="M403" t="s">
        <v>1820</v>
      </c>
      <c r="N403">
        <v>50099205</v>
      </c>
      <c r="O403" t="s">
        <v>848</v>
      </c>
      <c r="U403">
        <v>50110007</v>
      </c>
      <c r="V403" t="s">
        <v>1830</v>
      </c>
      <c r="W403">
        <v>50110020</v>
      </c>
      <c r="X403" t="s">
        <v>1052</v>
      </c>
      <c r="Y403">
        <f>VLOOKUP(W403,Sheet2!A:D,3,0)</f>
        <v>50082181</v>
      </c>
      <c r="Z403" t="str">
        <f>VLOOKUP(W403,Sheet2!A:D,4,0)</f>
        <v>PPHP: COPYLENE CH120LN</v>
      </c>
    </row>
    <row r="404" spans="12:26">
      <c r="L404">
        <v>50109236</v>
      </c>
      <c r="M404" t="s">
        <v>1820</v>
      </c>
      <c r="N404">
        <v>50099334</v>
      </c>
      <c r="O404" t="s">
        <v>854</v>
      </c>
      <c r="U404">
        <v>50110008</v>
      </c>
      <c r="V404" t="s">
        <v>1831</v>
      </c>
      <c r="W404">
        <v>50082145</v>
      </c>
      <c r="X404" t="s">
        <v>710</v>
      </c>
      <c r="Y404">
        <f>VLOOKUP(W404,Sheet2!A:D,3,0)</f>
        <v>50082181</v>
      </c>
      <c r="Z404" t="str">
        <f>VLOOKUP(W404,Sheet2!A:D,4,0)</f>
        <v>PPHP: COPYLENE CH120LN</v>
      </c>
    </row>
    <row r="405" spans="12:26">
      <c r="L405">
        <v>50109268</v>
      </c>
      <c r="M405" t="s">
        <v>1821</v>
      </c>
      <c r="N405">
        <v>50082144</v>
      </c>
      <c r="O405" t="s">
        <v>709</v>
      </c>
      <c r="U405">
        <v>50110008</v>
      </c>
      <c r="V405" t="s">
        <v>1831</v>
      </c>
      <c r="W405">
        <v>50109941</v>
      </c>
      <c r="X405" t="s">
        <v>1050</v>
      </c>
      <c r="Y405">
        <f>VLOOKUP(W405,Sheet2!A:D,3,0)</f>
        <v>50082181</v>
      </c>
      <c r="Z405" t="str">
        <f>VLOOKUP(W405,Sheet2!A:D,4,0)</f>
        <v>PPHP: COPYLENE CH120LN</v>
      </c>
    </row>
    <row r="406" spans="12:26">
      <c r="L406">
        <v>50109268</v>
      </c>
      <c r="M406" t="s">
        <v>1821</v>
      </c>
      <c r="N406">
        <v>50082177</v>
      </c>
      <c r="O406" t="s">
        <v>718</v>
      </c>
      <c r="U406">
        <v>50110009</v>
      </c>
      <c r="V406" t="s">
        <v>1832</v>
      </c>
      <c r="W406">
        <v>50082144</v>
      </c>
      <c r="X406" t="s">
        <v>709</v>
      </c>
      <c r="Y406">
        <f>VLOOKUP(W406,Sheet2!A:D,3,0)</f>
        <v>50082181</v>
      </c>
      <c r="Z406" t="str">
        <f>VLOOKUP(W406,Sheet2!A:D,4,0)</f>
        <v>PPHP: COPYLENE CH120LN</v>
      </c>
    </row>
    <row r="407" spans="12:26">
      <c r="L407">
        <v>50109379</v>
      </c>
      <c r="M407" t="s">
        <v>1822</v>
      </c>
      <c r="N407">
        <v>50099205</v>
      </c>
      <c r="O407" t="s">
        <v>848</v>
      </c>
      <c r="U407">
        <v>50110009</v>
      </c>
      <c r="V407" t="s">
        <v>1832</v>
      </c>
      <c r="W407">
        <v>50109942</v>
      </c>
      <c r="X407" t="s">
        <v>1051</v>
      </c>
      <c r="Y407">
        <f>VLOOKUP(W407,Sheet2!A:D,3,0)</f>
        <v>50082181</v>
      </c>
      <c r="Z407" t="str">
        <f>VLOOKUP(W407,Sheet2!A:D,4,0)</f>
        <v>PPHP: COPYLENE CH120LN</v>
      </c>
    </row>
    <row r="408" spans="12:26">
      <c r="L408">
        <v>50109379</v>
      </c>
      <c r="M408" t="s">
        <v>1822</v>
      </c>
      <c r="N408">
        <v>50099334</v>
      </c>
      <c r="O408" t="s">
        <v>854</v>
      </c>
      <c r="U408">
        <v>50110010</v>
      </c>
      <c r="V408" t="s">
        <v>1833</v>
      </c>
      <c r="W408">
        <v>50082145</v>
      </c>
      <c r="X408" t="s">
        <v>710</v>
      </c>
      <c r="Y408">
        <f>VLOOKUP(W408,Sheet2!A:D,3,0)</f>
        <v>50082181</v>
      </c>
      <c r="Z408" t="str">
        <f>VLOOKUP(W408,Sheet2!A:D,4,0)</f>
        <v>PPHP: COPYLENE CH120LN</v>
      </c>
    </row>
    <row r="409" spans="12:26">
      <c r="L409">
        <v>50109700</v>
      </c>
      <c r="M409" t="s">
        <v>1823</v>
      </c>
      <c r="N409">
        <v>50082144</v>
      </c>
      <c r="O409" t="s">
        <v>709</v>
      </c>
      <c r="U409">
        <v>50110010</v>
      </c>
      <c r="V409" t="s">
        <v>1833</v>
      </c>
      <c r="W409">
        <v>50109941</v>
      </c>
      <c r="X409" t="s">
        <v>1050</v>
      </c>
      <c r="Y409">
        <f>VLOOKUP(W409,Sheet2!A:D,3,0)</f>
        <v>50082181</v>
      </c>
      <c r="Z409" t="str">
        <f>VLOOKUP(W409,Sheet2!A:D,4,0)</f>
        <v>PPHP: COPYLENE CH120LN</v>
      </c>
    </row>
    <row r="410" spans="12:26">
      <c r="L410">
        <v>50109700</v>
      </c>
      <c r="M410" t="s">
        <v>1823</v>
      </c>
      <c r="N410">
        <v>50082177</v>
      </c>
      <c r="O410" t="s">
        <v>718</v>
      </c>
      <c r="U410">
        <v>50110011</v>
      </c>
      <c r="V410" t="s">
        <v>101</v>
      </c>
      <c r="W410">
        <v>50099334</v>
      </c>
      <c r="X410" t="s">
        <v>854</v>
      </c>
      <c r="Y410">
        <f>VLOOKUP(W410,Sheet2!A:D,3,0)</f>
        <v>50097522</v>
      </c>
      <c r="Z410" t="str">
        <f>VLOOKUP(W410,Sheet2!A:D,4,0)</f>
        <v>PPHP: REPOL H110MAS</v>
      </c>
    </row>
    <row r="411" spans="12:26">
      <c r="L411">
        <v>50109701</v>
      </c>
      <c r="M411" t="s">
        <v>1824</v>
      </c>
      <c r="N411">
        <v>50082145</v>
      </c>
      <c r="O411" t="s">
        <v>710</v>
      </c>
      <c r="U411">
        <v>50110011</v>
      </c>
      <c r="V411" t="s">
        <v>101</v>
      </c>
      <c r="W411">
        <v>50109446</v>
      </c>
      <c r="X411" t="s">
        <v>1049</v>
      </c>
      <c r="Y411">
        <f>VLOOKUP(W411,Sheet2!A:D,3,0)</f>
        <v>50097522</v>
      </c>
      <c r="Z411" t="str">
        <f>VLOOKUP(W411,Sheet2!A:D,4,0)</f>
        <v>PPHP: REPOL H110MAS</v>
      </c>
    </row>
    <row r="412" spans="12:26">
      <c r="L412">
        <v>50109701</v>
      </c>
      <c r="M412" t="s">
        <v>1824</v>
      </c>
      <c r="N412">
        <v>50082178</v>
      </c>
      <c r="O412" t="s">
        <v>719</v>
      </c>
      <c r="U412">
        <v>50110012</v>
      </c>
      <c r="V412" t="s">
        <v>103</v>
      </c>
      <c r="W412">
        <v>50099333</v>
      </c>
      <c r="X412" t="s">
        <v>853</v>
      </c>
      <c r="Y412">
        <f>VLOOKUP(W412,Sheet2!A:D,3,0)</f>
        <v>50097522</v>
      </c>
      <c r="Z412" t="str">
        <f>VLOOKUP(W412,Sheet2!A:D,4,0)</f>
        <v>PPHP: REPOL H110MAS</v>
      </c>
    </row>
    <row r="413" spans="12:26">
      <c r="L413">
        <v>50109708</v>
      </c>
      <c r="M413" t="s">
        <v>1802</v>
      </c>
      <c r="N413">
        <v>50099333</v>
      </c>
      <c r="O413" t="s">
        <v>853</v>
      </c>
      <c r="U413">
        <v>50110012</v>
      </c>
      <c r="V413" t="s">
        <v>103</v>
      </c>
      <c r="W413">
        <v>50109445</v>
      </c>
      <c r="X413" t="s">
        <v>1048</v>
      </c>
      <c r="Y413">
        <f>VLOOKUP(W413,Sheet2!A:D,3,0)</f>
        <v>50097522</v>
      </c>
      <c r="Z413" t="str">
        <f>VLOOKUP(W413,Sheet2!A:D,4,0)</f>
        <v>PPHP: REPOL H110MAS</v>
      </c>
    </row>
    <row r="414" spans="12:26">
      <c r="L414">
        <v>50109708</v>
      </c>
      <c r="M414" t="s">
        <v>1802</v>
      </c>
      <c r="N414">
        <v>50109709</v>
      </c>
      <c r="O414" t="s">
        <v>1011</v>
      </c>
      <c r="U414">
        <v>50110013</v>
      </c>
      <c r="V414" t="s">
        <v>178</v>
      </c>
      <c r="W414">
        <v>50099333</v>
      </c>
      <c r="X414" t="s">
        <v>853</v>
      </c>
      <c r="Y414">
        <f>VLOOKUP(W414,Sheet2!A:D,3,0)</f>
        <v>50097522</v>
      </c>
      <c r="Z414" t="str">
        <f>VLOOKUP(W414,Sheet2!A:D,4,0)</f>
        <v>PPHP: REPOL H110MAS</v>
      </c>
    </row>
    <row r="415" spans="12:26">
      <c r="L415">
        <v>50109855</v>
      </c>
      <c r="M415" t="s">
        <v>1825</v>
      </c>
      <c r="N415">
        <v>50102095</v>
      </c>
      <c r="O415" t="s">
        <v>896</v>
      </c>
      <c r="U415">
        <v>50110013</v>
      </c>
      <c r="V415" t="s">
        <v>178</v>
      </c>
      <c r="W415">
        <v>50109445</v>
      </c>
      <c r="X415" t="s">
        <v>1048</v>
      </c>
      <c r="Y415">
        <f>VLOOKUP(W415,Sheet2!A:D,3,0)</f>
        <v>50097522</v>
      </c>
      <c r="Z415" t="str">
        <f>VLOOKUP(W415,Sheet2!A:D,4,0)</f>
        <v>PPHP: REPOL H110MAS</v>
      </c>
    </row>
    <row r="416" spans="12:26">
      <c r="L416">
        <v>50109855</v>
      </c>
      <c r="M416" t="s">
        <v>1825</v>
      </c>
      <c r="N416">
        <v>50102096</v>
      </c>
      <c r="O416" t="s">
        <v>897</v>
      </c>
      <c r="U416">
        <v>50110014</v>
      </c>
      <c r="V416" t="s">
        <v>1834</v>
      </c>
      <c r="W416">
        <v>50082144</v>
      </c>
      <c r="X416" t="s">
        <v>709</v>
      </c>
      <c r="Y416">
        <f>VLOOKUP(W416,Sheet2!A:D,3,0)</f>
        <v>50082181</v>
      </c>
      <c r="Z416" t="str">
        <f>VLOOKUP(W416,Sheet2!A:D,4,0)</f>
        <v>PPHP: COPYLENE CH120LN</v>
      </c>
    </row>
    <row r="417" spans="12:26">
      <c r="L417">
        <v>50109971</v>
      </c>
      <c r="M417" t="s">
        <v>1826</v>
      </c>
      <c r="N417">
        <v>50099204</v>
      </c>
      <c r="O417" t="s">
        <v>847</v>
      </c>
      <c r="U417">
        <v>50110014</v>
      </c>
      <c r="V417" t="s">
        <v>1834</v>
      </c>
      <c r="W417">
        <v>50109942</v>
      </c>
      <c r="X417" t="s">
        <v>1051</v>
      </c>
      <c r="Y417">
        <f>VLOOKUP(W417,Sheet2!A:D,3,0)</f>
        <v>50082181</v>
      </c>
      <c r="Z417" t="str">
        <f>VLOOKUP(W417,Sheet2!A:D,4,0)</f>
        <v>PPHP: COPYLENE CH120LN</v>
      </c>
    </row>
    <row r="418" spans="12:26">
      <c r="L418">
        <v>50109971</v>
      </c>
      <c r="M418" t="s">
        <v>1826</v>
      </c>
      <c r="N418">
        <v>50099333</v>
      </c>
      <c r="O418" t="s">
        <v>853</v>
      </c>
      <c r="U418">
        <v>50110015</v>
      </c>
      <c r="V418" t="s">
        <v>244</v>
      </c>
      <c r="W418">
        <v>50099334</v>
      </c>
      <c r="X418" t="s">
        <v>854</v>
      </c>
      <c r="Y418">
        <f>VLOOKUP(W418,Sheet2!A:D,3,0)</f>
        <v>50097522</v>
      </c>
      <c r="Z418" t="str">
        <f>VLOOKUP(W418,Sheet2!A:D,4,0)</f>
        <v>PPHP: REPOL H110MAS</v>
      </c>
    </row>
    <row r="419" spans="12:26">
      <c r="L419">
        <v>50109972</v>
      </c>
      <c r="M419" t="s">
        <v>1827</v>
      </c>
      <c r="N419">
        <v>50102095</v>
      </c>
      <c r="O419" t="s">
        <v>896</v>
      </c>
      <c r="U419">
        <v>50110015</v>
      </c>
      <c r="V419" t="s">
        <v>244</v>
      </c>
      <c r="W419">
        <v>50109446</v>
      </c>
      <c r="X419" t="s">
        <v>1049</v>
      </c>
      <c r="Y419">
        <f>VLOOKUP(W419,Sheet2!A:D,3,0)</f>
        <v>50097522</v>
      </c>
      <c r="Z419" t="str">
        <f>VLOOKUP(W419,Sheet2!A:D,4,0)</f>
        <v>PPHP: REPOL H110MAS</v>
      </c>
    </row>
    <row r="420" spans="12:26">
      <c r="L420">
        <v>50109972</v>
      </c>
      <c r="M420" t="s">
        <v>1827</v>
      </c>
      <c r="N420">
        <v>50102096</v>
      </c>
      <c r="O420" t="s">
        <v>897</v>
      </c>
      <c r="U420">
        <v>50110016</v>
      </c>
      <c r="V420" t="s">
        <v>256</v>
      </c>
      <c r="W420">
        <v>50099333</v>
      </c>
      <c r="X420" t="s">
        <v>853</v>
      </c>
      <c r="Y420">
        <f>VLOOKUP(W420,Sheet2!A:D,3,0)</f>
        <v>50097522</v>
      </c>
      <c r="Z420" t="str">
        <f>VLOOKUP(W420,Sheet2!A:D,4,0)</f>
        <v>PPHP: REPOL H110MAS</v>
      </c>
    </row>
    <row r="421" spans="12:26">
      <c r="L421">
        <v>50110005</v>
      </c>
      <c r="M421" t="s">
        <v>1828</v>
      </c>
      <c r="N421">
        <v>50082145</v>
      </c>
      <c r="O421" t="s">
        <v>710</v>
      </c>
      <c r="U421">
        <v>50110016</v>
      </c>
      <c r="V421" t="s">
        <v>256</v>
      </c>
      <c r="W421">
        <v>50107271</v>
      </c>
      <c r="X421" t="s">
        <v>996</v>
      </c>
      <c r="Y421">
        <f>VLOOKUP(W421,Sheet2!A:D,3,0)</f>
        <v>50097522</v>
      </c>
      <c r="Z421" t="str">
        <f>VLOOKUP(W421,Sheet2!A:D,4,0)</f>
        <v>PPHP: REPOL H110MAS</v>
      </c>
    </row>
    <row r="422" spans="12:26">
      <c r="L422">
        <v>50110005</v>
      </c>
      <c r="M422" t="s">
        <v>1828</v>
      </c>
      <c r="N422">
        <v>50109941</v>
      </c>
      <c r="O422" t="s">
        <v>1050</v>
      </c>
      <c r="U422">
        <v>50110016</v>
      </c>
      <c r="V422" t="s">
        <v>256</v>
      </c>
      <c r="W422">
        <v>50109445</v>
      </c>
      <c r="X422" t="s">
        <v>1048</v>
      </c>
      <c r="Y422">
        <f>VLOOKUP(W422,Sheet2!A:D,3,0)</f>
        <v>50097522</v>
      </c>
      <c r="Z422" t="str">
        <f>VLOOKUP(W422,Sheet2!A:D,4,0)</f>
        <v>PPHP: REPOL H110MAS</v>
      </c>
    </row>
    <row r="423" spans="12:26">
      <c r="L423">
        <v>50110006</v>
      </c>
      <c r="M423" t="s">
        <v>1829</v>
      </c>
      <c r="N423">
        <v>50082144</v>
      </c>
      <c r="O423" t="s">
        <v>709</v>
      </c>
      <c r="U423">
        <v>50110016</v>
      </c>
      <c r="V423" t="s">
        <v>256</v>
      </c>
      <c r="W423">
        <v>50112093</v>
      </c>
      <c r="X423" t="s">
        <v>1120</v>
      </c>
      <c r="Y423">
        <f>VLOOKUP(W423,Sheet2!A:D,3,0)</f>
        <v>50097522</v>
      </c>
      <c r="Z423" t="str">
        <f>VLOOKUP(W423,Sheet2!A:D,4,0)</f>
        <v>PPHP: REPOL H110MAS</v>
      </c>
    </row>
    <row r="424" spans="12:26">
      <c r="L424">
        <v>50110006</v>
      </c>
      <c r="M424" t="s">
        <v>1829</v>
      </c>
      <c r="N424">
        <v>50109942</v>
      </c>
      <c r="O424" t="s">
        <v>1051</v>
      </c>
      <c r="U424">
        <v>50110017</v>
      </c>
      <c r="V424" t="s">
        <v>255</v>
      </c>
      <c r="W424">
        <v>50099334</v>
      </c>
      <c r="X424" t="s">
        <v>854</v>
      </c>
      <c r="Y424">
        <f>VLOOKUP(W424,Sheet2!A:D,3,0)</f>
        <v>50097522</v>
      </c>
      <c r="Z424" t="str">
        <f>VLOOKUP(W424,Sheet2!A:D,4,0)</f>
        <v>PPHP: REPOL H110MAS</v>
      </c>
    </row>
    <row r="425" spans="12:26">
      <c r="L425">
        <v>50110007</v>
      </c>
      <c r="M425" t="s">
        <v>1830</v>
      </c>
      <c r="N425">
        <v>50082145</v>
      </c>
      <c r="O425" t="s">
        <v>710</v>
      </c>
      <c r="U425">
        <v>50110017</v>
      </c>
      <c r="V425" t="s">
        <v>255</v>
      </c>
      <c r="W425">
        <v>50109446</v>
      </c>
      <c r="X425" t="s">
        <v>1049</v>
      </c>
      <c r="Y425">
        <f>VLOOKUP(W425,Sheet2!A:D,3,0)</f>
        <v>50097522</v>
      </c>
      <c r="Z425" t="str">
        <f>VLOOKUP(W425,Sheet2!A:D,4,0)</f>
        <v>PPHP: REPOL H110MAS</v>
      </c>
    </row>
    <row r="426" spans="12:26">
      <c r="L426">
        <v>50110007</v>
      </c>
      <c r="M426" t="s">
        <v>1830</v>
      </c>
      <c r="N426">
        <v>50110020</v>
      </c>
      <c r="O426" t="s">
        <v>1052</v>
      </c>
      <c r="U426">
        <v>50110018</v>
      </c>
      <c r="V426" t="s">
        <v>1835</v>
      </c>
      <c r="W426">
        <v>50099333</v>
      </c>
      <c r="X426" t="s">
        <v>853</v>
      </c>
      <c r="Y426">
        <f>VLOOKUP(W426,Sheet2!A:D,3,0)</f>
        <v>50097522</v>
      </c>
      <c r="Z426" t="str">
        <f>VLOOKUP(W426,Sheet2!A:D,4,0)</f>
        <v>PPHP: REPOL H110MAS</v>
      </c>
    </row>
    <row r="427" spans="12:26">
      <c r="L427">
        <v>50110008</v>
      </c>
      <c r="M427" t="s">
        <v>1831</v>
      </c>
      <c r="N427">
        <v>50082145</v>
      </c>
      <c r="O427" t="s">
        <v>710</v>
      </c>
      <c r="U427">
        <v>50110018</v>
      </c>
      <c r="V427" t="s">
        <v>1835</v>
      </c>
      <c r="W427">
        <v>50109445</v>
      </c>
      <c r="X427" t="s">
        <v>1048</v>
      </c>
      <c r="Y427">
        <f>VLOOKUP(W427,Sheet2!A:D,3,0)</f>
        <v>50097522</v>
      </c>
      <c r="Z427" t="str">
        <f>VLOOKUP(W427,Sheet2!A:D,4,0)</f>
        <v>PPHP: REPOL H110MAS</v>
      </c>
    </row>
    <row r="428" spans="12:26">
      <c r="L428">
        <v>50110008</v>
      </c>
      <c r="M428" t="s">
        <v>1831</v>
      </c>
      <c r="N428">
        <v>50109941</v>
      </c>
      <c r="O428" t="s">
        <v>1050</v>
      </c>
      <c r="U428">
        <v>50110019</v>
      </c>
      <c r="V428" t="s">
        <v>1836</v>
      </c>
      <c r="W428">
        <v>50082145</v>
      </c>
      <c r="X428" t="s">
        <v>710</v>
      </c>
      <c r="Y428">
        <f>VLOOKUP(W428,Sheet2!A:D,3,0)</f>
        <v>50082181</v>
      </c>
      <c r="Z428" t="str">
        <f>VLOOKUP(W428,Sheet2!A:D,4,0)</f>
        <v>PPHP: COPYLENE CH120LN</v>
      </c>
    </row>
    <row r="429" spans="12:26">
      <c r="L429">
        <v>50110009</v>
      </c>
      <c r="M429" t="s">
        <v>1832</v>
      </c>
      <c r="N429">
        <v>50082144</v>
      </c>
      <c r="O429" t="s">
        <v>709</v>
      </c>
      <c r="U429">
        <v>50110019</v>
      </c>
      <c r="V429" t="s">
        <v>1836</v>
      </c>
      <c r="W429">
        <v>50109941</v>
      </c>
      <c r="X429" t="s">
        <v>1050</v>
      </c>
      <c r="Y429">
        <f>VLOOKUP(W429,Sheet2!A:D,3,0)</f>
        <v>50082181</v>
      </c>
      <c r="Z429" t="str">
        <f>VLOOKUP(W429,Sheet2!A:D,4,0)</f>
        <v>PPHP: COPYLENE CH120LN</v>
      </c>
    </row>
    <row r="430" spans="12:26">
      <c r="L430">
        <v>50110009</v>
      </c>
      <c r="M430" t="s">
        <v>1832</v>
      </c>
      <c r="N430">
        <v>50109942</v>
      </c>
      <c r="O430" t="s">
        <v>1051</v>
      </c>
      <c r="U430">
        <v>50110154</v>
      </c>
      <c r="V430" t="s">
        <v>1837</v>
      </c>
      <c r="W430">
        <v>50102095</v>
      </c>
      <c r="X430" t="s">
        <v>896</v>
      </c>
      <c r="Y430">
        <f>VLOOKUP(W430,Sheet2!A:D,3,0)</f>
        <v>50097522</v>
      </c>
      <c r="Z430" t="str">
        <f>VLOOKUP(W430,Sheet2!A:D,4,0)</f>
        <v>PPHP: REPOL H110MAS</v>
      </c>
    </row>
    <row r="431" spans="12:26">
      <c r="L431">
        <v>50110010</v>
      </c>
      <c r="M431" t="s">
        <v>1833</v>
      </c>
      <c r="N431">
        <v>50082145</v>
      </c>
      <c r="O431" t="s">
        <v>710</v>
      </c>
      <c r="U431">
        <v>50110154</v>
      </c>
      <c r="V431" t="s">
        <v>1837</v>
      </c>
      <c r="W431">
        <v>50102096</v>
      </c>
      <c r="X431" t="s">
        <v>897</v>
      </c>
      <c r="Y431">
        <f>VLOOKUP(W431,Sheet2!A:D,3,0)</f>
        <v>50097522</v>
      </c>
      <c r="Z431" t="str">
        <f>VLOOKUP(W431,Sheet2!A:D,4,0)</f>
        <v>PPHP: REPOL H110MAS</v>
      </c>
    </row>
    <row r="432" spans="12:26">
      <c r="L432">
        <v>50110010</v>
      </c>
      <c r="M432" t="s">
        <v>1833</v>
      </c>
      <c r="N432">
        <v>50109941</v>
      </c>
      <c r="O432" t="s">
        <v>1050</v>
      </c>
      <c r="U432">
        <v>50110651</v>
      </c>
      <c r="V432" t="s">
        <v>1838</v>
      </c>
      <c r="W432">
        <v>50104782</v>
      </c>
      <c r="X432" t="s">
        <v>1771</v>
      </c>
      <c r="Y432" t="e">
        <f>VLOOKUP(W432,Sheet2!A:D,3,0)</f>
        <v>#N/A</v>
      </c>
      <c r="Z432" t="e">
        <f>VLOOKUP(W432,Sheet2!A:D,4,0)</f>
        <v>#N/A</v>
      </c>
    </row>
    <row r="433" spans="12:26">
      <c r="L433">
        <v>50110011</v>
      </c>
      <c r="M433" t="s">
        <v>101</v>
      </c>
      <c r="N433">
        <v>50099334</v>
      </c>
      <c r="O433" t="s">
        <v>854</v>
      </c>
      <c r="U433">
        <v>50110651</v>
      </c>
      <c r="V433" t="s">
        <v>1838</v>
      </c>
      <c r="W433">
        <v>50104883</v>
      </c>
      <c r="X433" t="s">
        <v>932</v>
      </c>
      <c r="Y433">
        <f>VLOOKUP(W433,Sheet2!A:D,3,0)</f>
        <v>50104077</v>
      </c>
      <c r="Z433" t="str">
        <f>VLOOKUP(W433,Sheet2!A:D,4,0)</f>
        <v>ABS: NOVODUR HD M203FC</v>
      </c>
    </row>
    <row r="434" spans="12:26">
      <c r="L434">
        <v>50110011</v>
      </c>
      <c r="M434" t="s">
        <v>101</v>
      </c>
      <c r="N434">
        <v>50109446</v>
      </c>
      <c r="O434" t="s">
        <v>1049</v>
      </c>
      <c r="U434">
        <v>50110651</v>
      </c>
      <c r="V434" t="s">
        <v>1838</v>
      </c>
      <c r="W434">
        <v>50104909</v>
      </c>
      <c r="X434" t="s">
        <v>934</v>
      </c>
      <c r="Y434">
        <f>VLOOKUP(W434,Sheet2!A:D,3,0)</f>
        <v>50104077</v>
      </c>
      <c r="Z434" t="str">
        <f>VLOOKUP(W434,Sheet2!A:D,4,0)</f>
        <v>ABS: NOVODUR HD M203FC</v>
      </c>
    </row>
    <row r="435" spans="12:26">
      <c r="L435">
        <v>50110012</v>
      </c>
      <c r="M435" t="s">
        <v>103</v>
      </c>
      <c r="N435">
        <v>50099333</v>
      </c>
      <c r="O435" t="s">
        <v>853</v>
      </c>
      <c r="U435">
        <v>50110651</v>
      </c>
      <c r="V435" t="s">
        <v>1838</v>
      </c>
      <c r="W435">
        <v>50105059</v>
      </c>
      <c r="X435" t="s">
        <v>946</v>
      </c>
      <c r="Y435">
        <f>VLOOKUP(W435,Sheet2!A:D,3,0)</f>
        <v>50104077</v>
      </c>
      <c r="Z435" t="str">
        <f>VLOOKUP(W435,Sheet2!A:D,4,0)</f>
        <v>ABS: NOVODUR HD M203FC</v>
      </c>
    </row>
    <row r="436" spans="12:26">
      <c r="L436">
        <v>50110012</v>
      </c>
      <c r="M436" t="s">
        <v>103</v>
      </c>
      <c r="N436">
        <v>50109445</v>
      </c>
      <c r="O436" t="s">
        <v>1048</v>
      </c>
      <c r="U436">
        <v>50110651</v>
      </c>
      <c r="V436" t="s">
        <v>1838</v>
      </c>
      <c r="W436">
        <v>50105081</v>
      </c>
      <c r="X436" t="s">
        <v>948</v>
      </c>
      <c r="Y436">
        <f>VLOOKUP(W436,Sheet2!A:D,3,0)</f>
        <v>50104078</v>
      </c>
      <c r="Z436" t="str">
        <f>VLOOKUP(W436,Sheet2!A:D,4,0)</f>
        <v>MABS: TERLUX HD 2812</v>
      </c>
    </row>
    <row r="437" spans="12:26">
      <c r="L437">
        <v>50110013</v>
      </c>
      <c r="M437" t="s">
        <v>178</v>
      </c>
      <c r="N437">
        <v>50099333</v>
      </c>
      <c r="O437" t="s">
        <v>853</v>
      </c>
      <c r="U437">
        <v>50110651</v>
      </c>
      <c r="V437" t="s">
        <v>1838</v>
      </c>
      <c r="W437">
        <v>50106459</v>
      </c>
      <c r="X437" t="s">
        <v>1774</v>
      </c>
      <c r="Y437" t="e">
        <f>VLOOKUP(W437,Sheet2!A:D,3,0)</f>
        <v>#N/A</v>
      </c>
      <c r="Z437" t="e">
        <f>VLOOKUP(W437,Sheet2!A:D,4,0)</f>
        <v>#N/A</v>
      </c>
    </row>
    <row r="438" spans="12:26">
      <c r="L438">
        <v>50110013</v>
      </c>
      <c r="M438" t="s">
        <v>178</v>
      </c>
      <c r="N438">
        <v>50109445</v>
      </c>
      <c r="O438" t="s">
        <v>1048</v>
      </c>
      <c r="U438">
        <v>50110651</v>
      </c>
      <c r="V438" t="s">
        <v>1838</v>
      </c>
      <c r="W438">
        <v>50110652</v>
      </c>
      <c r="X438" t="s">
        <v>1839</v>
      </c>
      <c r="Y438" t="e">
        <f>VLOOKUP(W438,Sheet2!A:D,3,0)</f>
        <v>#N/A</v>
      </c>
      <c r="Z438" t="e">
        <f>VLOOKUP(W438,Sheet2!A:D,4,0)</f>
        <v>#N/A</v>
      </c>
    </row>
    <row r="439" spans="12:26">
      <c r="L439">
        <v>50110014</v>
      </c>
      <c r="M439" t="s">
        <v>1834</v>
      </c>
      <c r="N439">
        <v>50082144</v>
      </c>
      <c r="O439" t="s">
        <v>709</v>
      </c>
      <c r="U439">
        <v>50110828</v>
      </c>
      <c r="V439" t="s">
        <v>140</v>
      </c>
      <c r="W439">
        <v>50102096</v>
      </c>
      <c r="X439" t="s">
        <v>897</v>
      </c>
      <c r="Y439">
        <f>VLOOKUP(W439,Sheet2!A:D,3,0)</f>
        <v>50097522</v>
      </c>
      <c r="Z439" t="str">
        <f>VLOOKUP(W439,Sheet2!A:D,4,0)</f>
        <v>PPHP: REPOL H110MAS</v>
      </c>
    </row>
    <row r="440" spans="12:26">
      <c r="L440">
        <v>50110014</v>
      </c>
      <c r="M440" t="s">
        <v>1834</v>
      </c>
      <c r="N440">
        <v>50109942</v>
      </c>
      <c r="O440" t="s">
        <v>1051</v>
      </c>
      <c r="U440">
        <v>50110828</v>
      </c>
      <c r="V440" t="s">
        <v>140</v>
      </c>
      <c r="W440">
        <v>50109444</v>
      </c>
      <c r="X440" t="s">
        <v>1047</v>
      </c>
      <c r="Y440">
        <f>VLOOKUP(W440,Sheet2!A:D,3,0)</f>
        <v>50097522</v>
      </c>
      <c r="Z440" t="str">
        <f>VLOOKUP(W440,Sheet2!A:D,4,0)</f>
        <v>PPHP: REPOL H110MAS</v>
      </c>
    </row>
    <row r="441" spans="12:26">
      <c r="L441">
        <v>50110015</v>
      </c>
      <c r="M441" t="s">
        <v>244</v>
      </c>
      <c r="N441">
        <v>50099334</v>
      </c>
      <c r="O441" t="s">
        <v>854</v>
      </c>
      <c r="U441">
        <v>50110886</v>
      </c>
      <c r="V441" t="s">
        <v>1840</v>
      </c>
      <c r="W441">
        <v>50082145</v>
      </c>
      <c r="X441" t="s">
        <v>710</v>
      </c>
      <c r="Y441">
        <f>VLOOKUP(W441,Sheet2!A:D,3,0)</f>
        <v>50082181</v>
      </c>
      <c r="Z441" t="str">
        <f>VLOOKUP(W441,Sheet2!A:D,4,0)</f>
        <v>PPHP: COPYLENE CH120LN</v>
      </c>
    </row>
    <row r="442" spans="12:26">
      <c r="L442">
        <v>50110015</v>
      </c>
      <c r="M442" t="s">
        <v>244</v>
      </c>
      <c r="N442">
        <v>50109446</v>
      </c>
      <c r="O442" t="s">
        <v>1049</v>
      </c>
      <c r="U442">
        <v>50110886</v>
      </c>
      <c r="V442" t="s">
        <v>1840</v>
      </c>
      <c r="W442">
        <v>50109941</v>
      </c>
      <c r="X442" t="s">
        <v>1050</v>
      </c>
      <c r="Y442">
        <f>VLOOKUP(W442,Sheet2!A:D,3,0)</f>
        <v>50082181</v>
      </c>
      <c r="Z442" t="str">
        <f>VLOOKUP(W442,Sheet2!A:D,4,0)</f>
        <v>PPHP: COPYLENE CH120LN</v>
      </c>
    </row>
    <row r="443" spans="12:26">
      <c r="L443">
        <v>50110016</v>
      </c>
      <c r="M443" t="s">
        <v>256</v>
      </c>
      <c r="N443">
        <v>50099333</v>
      </c>
      <c r="O443" t="s">
        <v>853</v>
      </c>
      <c r="U443">
        <v>50110887</v>
      </c>
      <c r="V443" t="s">
        <v>1841</v>
      </c>
      <c r="W443">
        <v>50082144</v>
      </c>
      <c r="X443" t="s">
        <v>709</v>
      </c>
      <c r="Y443">
        <f>VLOOKUP(W443,Sheet2!A:D,3,0)</f>
        <v>50082181</v>
      </c>
      <c r="Z443" t="str">
        <f>VLOOKUP(W443,Sheet2!A:D,4,0)</f>
        <v>PPHP: COPYLENE CH120LN</v>
      </c>
    </row>
    <row r="444" spans="12:26">
      <c r="L444">
        <v>50110016</v>
      </c>
      <c r="M444" t="s">
        <v>256</v>
      </c>
      <c r="N444">
        <v>50107271</v>
      </c>
      <c r="O444" t="s">
        <v>996</v>
      </c>
      <c r="U444">
        <v>50110887</v>
      </c>
      <c r="V444" t="s">
        <v>1841</v>
      </c>
      <c r="W444">
        <v>50109942</v>
      </c>
      <c r="X444" t="s">
        <v>1051</v>
      </c>
      <c r="Y444">
        <f>VLOOKUP(W444,Sheet2!A:D,3,0)</f>
        <v>50082181</v>
      </c>
      <c r="Z444" t="str">
        <f>VLOOKUP(W444,Sheet2!A:D,4,0)</f>
        <v>PPHP: COPYLENE CH120LN</v>
      </c>
    </row>
    <row r="445" spans="12:26">
      <c r="L445">
        <v>50110016</v>
      </c>
      <c r="M445" t="s">
        <v>256</v>
      </c>
      <c r="N445">
        <v>50109445</v>
      </c>
      <c r="O445" t="s">
        <v>1048</v>
      </c>
      <c r="U445">
        <v>50110971</v>
      </c>
      <c r="V445" t="s">
        <v>1842</v>
      </c>
      <c r="W445">
        <v>50082145</v>
      </c>
      <c r="X445" t="s">
        <v>710</v>
      </c>
      <c r="Y445">
        <f>VLOOKUP(W445,Sheet2!A:D,3,0)</f>
        <v>50082181</v>
      </c>
      <c r="Z445" t="str">
        <f>VLOOKUP(W445,Sheet2!A:D,4,0)</f>
        <v>PPHP: COPYLENE CH120LN</v>
      </c>
    </row>
    <row r="446" spans="12:26">
      <c r="L446">
        <v>50110016</v>
      </c>
      <c r="M446" t="s">
        <v>256</v>
      </c>
      <c r="N446">
        <v>50112093</v>
      </c>
      <c r="O446" t="s">
        <v>1120</v>
      </c>
      <c r="U446">
        <v>50110971</v>
      </c>
      <c r="V446" t="s">
        <v>1842</v>
      </c>
      <c r="W446">
        <v>50082178</v>
      </c>
      <c r="X446" t="s">
        <v>719</v>
      </c>
      <c r="Y446">
        <f>VLOOKUP(W446,Sheet2!A:D,3,0)</f>
        <v>50082181</v>
      </c>
      <c r="Z446" t="str">
        <f>VLOOKUP(W446,Sheet2!A:D,4,0)</f>
        <v>PPHP: COPYLENE CH120LN</v>
      </c>
    </row>
    <row r="447" spans="12:26">
      <c r="L447">
        <v>50110017</v>
      </c>
      <c r="M447" t="s">
        <v>255</v>
      </c>
      <c r="N447">
        <v>50099334</v>
      </c>
      <c r="O447" t="s">
        <v>854</v>
      </c>
      <c r="U447">
        <v>50110972</v>
      </c>
      <c r="V447" t="s">
        <v>1843</v>
      </c>
      <c r="W447">
        <v>50082144</v>
      </c>
      <c r="X447" t="s">
        <v>709</v>
      </c>
      <c r="Y447">
        <f>VLOOKUP(W447,Sheet2!A:D,3,0)</f>
        <v>50082181</v>
      </c>
      <c r="Z447" t="str">
        <f>VLOOKUP(W447,Sheet2!A:D,4,0)</f>
        <v>PPHP: COPYLENE CH120LN</v>
      </c>
    </row>
    <row r="448" spans="12:26">
      <c r="L448">
        <v>50110017</v>
      </c>
      <c r="M448" t="s">
        <v>255</v>
      </c>
      <c r="N448">
        <v>50109446</v>
      </c>
      <c r="O448" t="s">
        <v>1049</v>
      </c>
      <c r="U448">
        <v>50110972</v>
      </c>
      <c r="V448" t="s">
        <v>1843</v>
      </c>
      <c r="W448">
        <v>50082177</v>
      </c>
      <c r="X448" t="s">
        <v>718</v>
      </c>
      <c r="Y448">
        <f>VLOOKUP(W448,Sheet2!A:D,3,0)</f>
        <v>50082181</v>
      </c>
      <c r="Z448" t="str">
        <f>VLOOKUP(W448,Sheet2!A:D,4,0)</f>
        <v>PPHP: COPYLENE CH120LN</v>
      </c>
    </row>
    <row r="449" spans="12:26">
      <c r="L449">
        <v>50110018</v>
      </c>
      <c r="M449" t="s">
        <v>1835</v>
      </c>
      <c r="N449">
        <v>50099333</v>
      </c>
      <c r="O449" t="s">
        <v>853</v>
      </c>
      <c r="U449">
        <v>50110979</v>
      </c>
      <c r="V449" t="s">
        <v>1844</v>
      </c>
      <c r="W449">
        <v>50106011</v>
      </c>
      <c r="X449" t="s">
        <v>1772</v>
      </c>
      <c r="Y449" t="e">
        <f>VLOOKUP(W449,Sheet2!A:D,3,0)</f>
        <v>#N/A</v>
      </c>
      <c r="Z449" t="e">
        <f>VLOOKUP(W449,Sheet2!A:D,4,0)</f>
        <v>#N/A</v>
      </c>
    </row>
    <row r="450" spans="12:26">
      <c r="L450">
        <v>50110018</v>
      </c>
      <c r="M450" t="s">
        <v>1835</v>
      </c>
      <c r="N450">
        <v>50109445</v>
      </c>
      <c r="O450" t="s">
        <v>1048</v>
      </c>
      <c r="U450">
        <v>50111092</v>
      </c>
      <c r="V450" t="s">
        <v>1845</v>
      </c>
      <c r="W450">
        <v>50102095</v>
      </c>
      <c r="X450" t="s">
        <v>896</v>
      </c>
      <c r="Y450">
        <f>VLOOKUP(W450,Sheet2!A:D,3,0)</f>
        <v>50097522</v>
      </c>
      <c r="Z450" t="str">
        <f>VLOOKUP(W450,Sheet2!A:D,4,0)</f>
        <v>PPHP: REPOL H110MAS</v>
      </c>
    </row>
    <row r="451" spans="12:26">
      <c r="L451">
        <v>50110019</v>
      </c>
      <c r="M451" t="s">
        <v>1836</v>
      </c>
      <c r="N451">
        <v>50082145</v>
      </c>
      <c r="O451" t="s">
        <v>710</v>
      </c>
      <c r="U451">
        <v>50111092</v>
      </c>
      <c r="V451" t="s">
        <v>1845</v>
      </c>
      <c r="W451">
        <v>50102096</v>
      </c>
      <c r="X451" t="s">
        <v>897</v>
      </c>
      <c r="Y451">
        <f>VLOOKUP(W451,Sheet2!A:D,3,0)</f>
        <v>50097522</v>
      </c>
      <c r="Z451" t="str">
        <f>VLOOKUP(W451,Sheet2!A:D,4,0)</f>
        <v>PPHP: REPOL H110MAS</v>
      </c>
    </row>
    <row r="452" spans="12:26">
      <c r="L452">
        <v>50110019</v>
      </c>
      <c r="M452" t="s">
        <v>1836</v>
      </c>
      <c r="N452">
        <v>50109941</v>
      </c>
      <c r="O452" t="s">
        <v>1050</v>
      </c>
      <c r="U452">
        <v>50111093</v>
      </c>
      <c r="V452" t="s">
        <v>1846</v>
      </c>
      <c r="W452">
        <v>50099204</v>
      </c>
      <c r="X452" t="s">
        <v>847</v>
      </c>
      <c r="Y452">
        <f>VLOOKUP(W452,Sheet2!A:D,3,0)</f>
        <v>50097522</v>
      </c>
      <c r="Z452" t="str">
        <f>VLOOKUP(W452,Sheet2!A:D,4,0)</f>
        <v>PPHP: REPOL H110MAS</v>
      </c>
    </row>
    <row r="453" spans="12:26">
      <c r="L453">
        <v>50110154</v>
      </c>
      <c r="M453" t="s">
        <v>1837</v>
      </c>
      <c r="N453">
        <v>50102095</v>
      </c>
      <c r="O453" t="s">
        <v>896</v>
      </c>
      <c r="U453">
        <v>50111093</v>
      </c>
      <c r="V453" t="s">
        <v>1846</v>
      </c>
      <c r="W453">
        <v>50099333</v>
      </c>
      <c r="X453" t="s">
        <v>853</v>
      </c>
      <c r="Y453">
        <f>VLOOKUP(W453,Sheet2!A:D,3,0)</f>
        <v>50097522</v>
      </c>
      <c r="Z453" t="str">
        <f>VLOOKUP(W453,Sheet2!A:D,4,0)</f>
        <v>PPHP: REPOL H110MAS</v>
      </c>
    </row>
    <row r="454" spans="12:26">
      <c r="L454">
        <v>50110154</v>
      </c>
      <c r="M454" t="s">
        <v>1837</v>
      </c>
      <c r="N454">
        <v>50102096</v>
      </c>
      <c r="O454" t="s">
        <v>897</v>
      </c>
      <c r="U454">
        <v>50111094</v>
      </c>
      <c r="V454" t="s">
        <v>1847</v>
      </c>
      <c r="W454">
        <v>50099205</v>
      </c>
      <c r="X454" t="s">
        <v>848</v>
      </c>
      <c r="Y454">
        <f>VLOOKUP(W454,Sheet2!A:D,3,0)</f>
        <v>50097522</v>
      </c>
      <c r="Z454" t="str">
        <f>VLOOKUP(W454,Sheet2!A:D,4,0)</f>
        <v>PPHP: REPOL H110MAS</v>
      </c>
    </row>
    <row r="455" spans="12:26">
      <c r="L455">
        <v>50110651</v>
      </c>
      <c r="M455" t="s">
        <v>1838</v>
      </c>
      <c r="N455">
        <v>50104782</v>
      </c>
      <c r="O455" t="s">
        <v>1771</v>
      </c>
      <c r="U455">
        <v>50111094</v>
      </c>
      <c r="V455" t="s">
        <v>1847</v>
      </c>
      <c r="W455">
        <v>50099334</v>
      </c>
      <c r="X455" t="s">
        <v>854</v>
      </c>
      <c r="Y455">
        <f>VLOOKUP(W455,Sheet2!A:D,3,0)</f>
        <v>50097522</v>
      </c>
      <c r="Z455" t="str">
        <f>VLOOKUP(W455,Sheet2!A:D,4,0)</f>
        <v>PPHP: REPOL H110MAS</v>
      </c>
    </row>
    <row r="456" spans="12:26">
      <c r="L456">
        <v>50110651</v>
      </c>
      <c r="M456" t="s">
        <v>1838</v>
      </c>
      <c r="N456">
        <v>50104883</v>
      </c>
      <c r="O456" t="s">
        <v>932</v>
      </c>
      <c r="U456">
        <v>50111120</v>
      </c>
      <c r="V456" t="s">
        <v>1848</v>
      </c>
      <c r="W456">
        <v>50099333</v>
      </c>
      <c r="X456" t="s">
        <v>853</v>
      </c>
      <c r="Y456">
        <f>VLOOKUP(W456,Sheet2!A:D,3,0)</f>
        <v>50097522</v>
      </c>
      <c r="Z456" t="str">
        <f>VLOOKUP(W456,Sheet2!A:D,4,0)</f>
        <v>PPHP: REPOL H110MAS</v>
      </c>
    </row>
    <row r="457" spans="12:26">
      <c r="L457">
        <v>50110651</v>
      </c>
      <c r="M457" t="s">
        <v>1838</v>
      </c>
      <c r="N457">
        <v>50104909</v>
      </c>
      <c r="O457" t="s">
        <v>934</v>
      </c>
      <c r="U457">
        <v>50111120</v>
      </c>
      <c r="V457" t="s">
        <v>1848</v>
      </c>
      <c r="W457">
        <v>50109709</v>
      </c>
      <c r="X457" t="s">
        <v>1011</v>
      </c>
      <c r="Y457">
        <f>VLOOKUP(W457,Sheet2!A:D,3,0)</f>
        <v>50097522</v>
      </c>
      <c r="Z457" t="str">
        <f>VLOOKUP(W457,Sheet2!A:D,4,0)</f>
        <v>PPHP: REPOL H110MAS</v>
      </c>
    </row>
    <row r="458" spans="12:26">
      <c r="L458">
        <v>50110651</v>
      </c>
      <c r="M458" t="s">
        <v>1838</v>
      </c>
      <c r="N458">
        <v>50105059</v>
      </c>
      <c r="O458" t="s">
        <v>946</v>
      </c>
      <c r="U458">
        <v>50111591</v>
      </c>
      <c r="V458" t="s">
        <v>1849</v>
      </c>
      <c r="W458">
        <v>50102095</v>
      </c>
      <c r="X458" t="s">
        <v>896</v>
      </c>
      <c r="Y458">
        <f>VLOOKUP(W458,Sheet2!A:D,3,0)</f>
        <v>50097522</v>
      </c>
      <c r="Z458" t="str">
        <f>VLOOKUP(W458,Sheet2!A:D,4,0)</f>
        <v>PPHP: REPOL H110MAS</v>
      </c>
    </row>
    <row r="459" spans="12:26">
      <c r="L459">
        <v>50110651</v>
      </c>
      <c r="M459" t="s">
        <v>1838</v>
      </c>
      <c r="N459">
        <v>50105081</v>
      </c>
      <c r="O459" t="s">
        <v>948</v>
      </c>
      <c r="U459">
        <v>50111591</v>
      </c>
      <c r="V459" t="s">
        <v>1849</v>
      </c>
      <c r="W459">
        <v>50102096</v>
      </c>
      <c r="X459" t="s">
        <v>897</v>
      </c>
      <c r="Y459">
        <f>VLOOKUP(W459,Sheet2!A:D,3,0)</f>
        <v>50097522</v>
      </c>
      <c r="Z459" t="str">
        <f>VLOOKUP(W459,Sheet2!A:D,4,0)</f>
        <v>PPHP: REPOL H110MAS</v>
      </c>
    </row>
    <row r="460" spans="12:26">
      <c r="L460">
        <v>50110651</v>
      </c>
      <c r="M460" t="s">
        <v>1838</v>
      </c>
      <c r="N460">
        <v>50106459</v>
      </c>
      <c r="O460" t="s">
        <v>1774</v>
      </c>
      <c r="U460">
        <v>50111681</v>
      </c>
      <c r="V460" t="s">
        <v>1850</v>
      </c>
      <c r="W460">
        <v>50099205</v>
      </c>
      <c r="X460" t="s">
        <v>848</v>
      </c>
      <c r="Y460">
        <f>VLOOKUP(W460,Sheet2!A:D,3,0)</f>
        <v>50097522</v>
      </c>
      <c r="Z460" t="str">
        <f>VLOOKUP(W460,Sheet2!A:D,4,0)</f>
        <v>PPHP: REPOL H110MAS</v>
      </c>
    </row>
    <row r="461" spans="12:26">
      <c r="L461">
        <v>50110651</v>
      </c>
      <c r="M461" t="s">
        <v>1838</v>
      </c>
      <c r="N461">
        <v>50110652</v>
      </c>
      <c r="O461" t="s">
        <v>1839</v>
      </c>
      <c r="U461">
        <v>50111681</v>
      </c>
      <c r="V461" t="s">
        <v>1850</v>
      </c>
      <c r="W461">
        <v>50099334</v>
      </c>
      <c r="X461" t="s">
        <v>854</v>
      </c>
      <c r="Y461">
        <f>VLOOKUP(W461,Sheet2!A:D,3,0)</f>
        <v>50097522</v>
      </c>
      <c r="Z461" t="str">
        <f>VLOOKUP(W461,Sheet2!A:D,4,0)</f>
        <v>PPHP: REPOL H110MAS</v>
      </c>
    </row>
    <row r="462" spans="12:26">
      <c r="L462">
        <v>50110652</v>
      </c>
      <c r="M462" t="s">
        <v>1839</v>
      </c>
      <c r="N462">
        <v>50105026</v>
      </c>
      <c r="O462" t="s">
        <v>944</v>
      </c>
      <c r="U462">
        <v>50111682</v>
      </c>
      <c r="V462" t="s">
        <v>1851</v>
      </c>
      <c r="W462">
        <v>50099204</v>
      </c>
      <c r="X462" t="s">
        <v>847</v>
      </c>
      <c r="Y462">
        <f>VLOOKUP(W462,Sheet2!A:D,3,0)</f>
        <v>50097522</v>
      </c>
      <c r="Z462" t="str">
        <f>VLOOKUP(W462,Sheet2!A:D,4,0)</f>
        <v>PPHP: REPOL H110MAS</v>
      </c>
    </row>
    <row r="463" spans="12:26">
      <c r="L463">
        <v>50110828</v>
      </c>
      <c r="M463" t="s">
        <v>140</v>
      </c>
      <c r="N463">
        <v>50102096</v>
      </c>
      <c r="O463" t="s">
        <v>897</v>
      </c>
      <c r="U463">
        <v>50111682</v>
      </c>
      <c r="V463" t="s">
        <v>1851</v>
      </c>
      <c r="W463">
        <v>50099333</v>
      </c>
      <c r="X463" t="s">
        <v>853</v>
      </c>
      <c r="Y463">
        <f>VLOOKUP(W463,Sheet2!A:D,3,0)</f>
        <v>50097522</v>
      </c>
      <c r="Z463" t="str">
        <f>VLOOKUP(W463,Sheet2!A:D,4,0)</f>
        <v>PPHP: REPOL H110MAS</v>
      </c>
    </row>
    <row r="464" spans="12:26">
      <c r="L464">
        <v>50110828</v>
      </c>
      <c r="M464" t="s">
        <v>140</v>
      </c>
      <c r="N464">
        <v>50109444</v>
      </c>
      <c r="O464" t="s">
        <v>1047</v>
      </c>
      <c r="U464">
        <v>50111977</v>
      </c>
      <c r="V464" t="s">
        <v>1852</v>
      </c>
      <c r="W464">
        <v>50099333</v>
      </c>
      <c r="X464" t="s">
        <v>853</v>
      </c>
      <c r="Y464">
        <f>VLOOKUP(W464,Sheet2!A:D,3,0)</f>
        <v>50097522</v>
      </c>
      <c r="Z464" t="str">
        <f>VLOOKUP(W464,Sheet2!A:D,4,0)</f>
        <v>PPHP: REPOL H110MAS</v>
      </c>
    </row>
    <row r="465" spans="12:26">
      <c r="L465">
        <v>50110886</v>
      </c>
      <c r="M465" t="s">
        <v>1840</v>
      </c>
      <c r="N465">
        <v>50082145</v>
      </c>
      <c r="O465" t="s">
        <v>710</v>
      </c>
      <c r="U465">
        <v>50111977</v>
      </c>
      <c r="V465" t="s">
        <v>1852</v>
      </c>
      <c r="W465">
        <v>50109445</v>
      </c>
      <c r="X465" t="s">
        <v>1048</v>
      </c>
      <c r="Y465">
        <f>VLOOKUP(W465,Sheet2!A:D,3,0)</f>
        <v>50097522</v>
      </c>
      <c r="Z465" t="str">
        <f>VLOOKUP(W465,Sheet2!A:D,4,0)</f>
        <v>PPHP: REPOL H110MAS</v>
      </c>
    </row>
    <row r="466" spans="12:26">
      <c r="L466">
        <v>50110886</v>
      </c>
      <c r="M466" t="s">
        <v>1840</v>
      </c>
      <c r="N466">
        <v>50109941</v>
      </c>
      <c r="O466" t="s">
        <v>1050</v>
      </c>
      <c r="U466">
        <v>50111978</v>
      </c>
      <c r="V466" t="s">
        <v>1853</v>
      </c>
      <c r="W466">
        <v>50099334</v>
      </c>
      <c r="X466" t="s">
        <v>854</v>
      </c>
      <c r="Y466">
        <f>VLOOKUP(W466,Sheet2!A:D,3,0)</f>
        <v>50097522</v>
      </c>
      <c r="Z466" t="str">
        <f>VLOOKUP(W466,Sheet2!A:D,4,0)</f>
        <v>PPHP: REPOL H110MAS</v>
      </c>
    </row>
    <row r="467" spans="12:26">
      <c r="L467">
        <v>50110887</v>
      </c>
      <c r="M467" t="s">
        <v>1841</v>
      </c>
      <c r="N467">
        <v>50082144</v>
      </c>
      <c r="O467" t="s">
        <v>709</v>
      </c>
      <c r="U467">
        <v>50111978</v>
      </c>
      <c r="V467" t="s">
        <v>1853</v>
      </c>
      <c r="W467">
        <v>50109446</v>
      </c>
      <c r="X467" t="s">
        <v>1049</v>
      </c>
      <c r="Y467">
        <f>VLOOKUP(W467,Sheet2!A:D,3,0)</f>
        <v>50097522</v>
      </c>
      <c r="Z467" t="str">
        <f>VLOOKUP(W467,Sheet2!A:D,4,0)</f>
        <v>PPHP: REPOL H110MAS</v>
      </c>
    </row>
    <row r="468" spans="12:26">
      <c r="L468">
        <v>50110887</v>
      </c>
      <c r="M468" t="s">
        <v>1841</v>
      </c>
      <c r="N468">
        <v>50109942</v>
      </c>
      <c r="O468" t="s">
        <v>1051</v>
      </c>
      <c r="U468">
        <v>50111979</v>
      </c>
      <c r="V468" t="s">
        <v>1854</v>
      </c>
      <c r="W468">
        <v>50099333</v>
      </c>
      <c r="X468" t="s">
        <v>853</v>
      </c>
      <c r="Y468">
        <f>VLOOKUP(W468,Sheet2!A:D,3,0)</f>
        <v>50097522</v>
      </c>
      <c r="Z468" t="str">
        <f>VLOOKUP(W468,Sheet2!A:D,4,0)</f>
        <v>PPHP: REPOL H110MAS</v>
      </c>
    </row>
    <row r="469" spans="12:26">
      <c r="L469">
        <v>50110971</v>
      </c>
      <c r="M469" t="s">
        <v>1842</v>
      </c>
      <c r="N469">
        <v>50082145</v>
      </c>
      <c r="O469" t="s">
        <v>710</v>
      </c>
      <c r="U469">
        <v>50111979</v>
      </c>
      <c r="V469" t="s">
        <v>1854</v>
      </c>
      <c r="W469">
        <v>50109445</v>
      </c>
      <c r="X469" t="s">
        <v>1048</v>
      </c>
      <c r="Y469">
        <f>VLOOKUP(W469,Sheet2!A:D,3,0)</f>
        <v>50097522</v>
      </c>
      <c r="Z469" t="str">
        <f>VLOOKUP(W469,Sheet2!A:D,4,0)</f>
        <v>PPHP: REPOL H110MAS</v>
      </c>
    </row>
    <row r="470" spans="12:26">
      <c r="L470">
        <v>50110971</v>
      </c>
      <c r="M470" t="s">
        <v>1842</v>
      </c>
      <c r="N470">
        <v>50082178</v>
      </c>
      <c r="O470" t="s">
        <v>719</v>
      </c>
      <c r="U470">
        <v>50111980</v>
      </c>
      <c r="V470" t="s">
        <v>1855</v>
      </c>
      <c r="W470">
        <v>50099334</v>
      </c>
      <c r="X470" t="s">
        <v>854</v>
      </c>
      <c r="Y470">
        <f>VLOOKUP(W470,Sheet2!A:D,3,0)</f>
        <v>50097522</v>
      </c>
      <c r="Z470" t="str">
        <f>VLOOKUP(W470,Sheet2!A:D,4,0)</f>
        <v>PPHP: REPOL H110MAS</v>
      </c>
    </row>
    <row r="471" spans="12:26">
      <c r="L471">
        <v>50110972</v>
      </c>
      <c r="M471" t="s">
        <v>1843</v>
      </c>
      <c r="N471">
        <v>50082144</v>
      </c>
      <c r="O471" t="s">
        <v>709</v>
      </c>
      <c r="U471">
        <v>50111980</v>
      </c>
      <c r="V471" t="s">
        <v>1855</v>
      </c>
      <c r="W471">
        <v>50109446</v>
      </c>
      <c r="X471" t="s">
        <v>1049</v>
      </c>
      <c r="Y471">
        <f>VLOOKUP(W471,Sheet2!A:D,3,0)</f>
        <v>50097522</v>
      </c>
      <c r="Z471" t="str">
        <f>VLOOKUP(W471,Sheet2!A:D,4,0)</f>
        <v>PPHP: REPOL H110MAS</v>
      </c>
    </row>
    <row r="472" spans="12:26">
      <c r="L472">
        <v>50110972</v>
      </c>
      <c r="M472" t="s">
        <v>1843</v>
      </c>
      <c r="N472">
        <v>50082177</v>
      </c>
      <c r="O472" t="s">
        <v>718</v>
      </c>
      <c r="U472">
        <v>50112049</v>
      </c>
      <c r="V472" t="s">
        <v>1856</v>
      </c>
      <c r="W472">
        <v>50106011</v>
      </c>
      <c r="X472" t="s">
        <v>1772</v>
      </c>
      <c r="Y472" t="e">
        <f>VLOOKUP(W472,Sheet2!A:D,3,0)</f>
        <v>#N/A</v>
      </c>
      <c r="Z472" t="e">
        <f>VLOOKUP(W472,Sheet2!A:D,4,0)</f>
        <v>#N/A</v>
      </c>
    </row>
    <row r="473" spans="12:26">
      <c r="L473">
        <v>50110979</v>
      </c>
      <c r="M473" t="s">
        <v>1844</v>
      </c>
      <c r="N473">
        <v>50106011</v>
      </c>
      <c r="O473" t="s">
        <v>1772</v>
      </c>
      <c r="U473">
        <v>50112051</v>
      </c>
      <c r="V473" t="s">
        <v>1857</v>
      </c>
      <c r="W473">
        <v>50104883</v>
      </c>
      <c r="X473" t="s">
        <v>932</v>
      </c>
      <c r="Y473">
        <f>VLOOKUP(W473,Sheet2!A:D,3,0)</f>
        <v>50104077</v>
      </c>
      <c r="Z473" t="str">
        <f>VLOOKUP(W473,Sheet2!A:D,4,0)</f>
        <v>ABS: NOVODUR HD M203FC</v>
      </c>
    </row>
    <row r="474" spans="12:26">
      <c r="L474">
        <v>50111092</v>
      </c>
      <c r="M474" t="s">
        <v>1845</v>
      </c>
      <c r="N474">
        <v>50102095</v>
      </c>
      <c r="O474" t="s">
        <v>896</v>
      </c>
      <c r="U474">
        <v>50112051</v>
      </c>
      <c r="V474" t="s">
        <v>1857</v>
      </c>
      <c r="W474">
        <v>50104909</v>
      </c>
      <c r="X474" t="s">
        <v>934</v>
      </c>
      <c r="Y474">
        <f>VLOOKUP(W474,Sheet2!A:D,3,0)</f>
        <v>50104077</v>
      </c>
      <c r="Z474" t="str">
        <f>VLOOKUP(W474,Sheet2!A:D,4,0)</f>
        <v>ABS: NOVODUR HD M203FC</v>
      </c>
    </row>
    <row r="475" spans="12:26">
      <c r="L475">
        <v>50111092</v>
      </c>
      <c r="M475" t="s">
        <v>1845</v>
      </c>
      <c r="N475">
        <v>50102096</v>
      </c>
      <c r="O475" t="s">
        <v>897</v>
      </c>
      <c r="U475">
        <v>50112051</v>
      </c>
      <c r="V475" t="s">
        <v>1857</v>
      </c>
      <c r="W475">
        <v>50105059</v>
      </c>
      <c r="X475" t="s">
        <v>946</v>
      </c>
      <c r="Y475">
        <f>VLOOKUP(W475,Sheet2!A:D,3,0)</f>
        <v>50104077</v>
      </c>
      <c r="Z475" t="str">
        <f>VLOOKUP(W475,Sheet2!A:D,4,0)</f>
        <v>ABS: NOVODUR HD M203FC</v>
      </c>
    </row>
    <row r="476" spans="12:26">
      <c r="L476">
        <v>50111093</v>
      </c>
      <c r="M476" t="s">
        <v>1846</v>
      </c>
      <c r="N476">
        <v>50099204</v>
      </c>
      <c r="O476" t="s">
        <v>847</v>
      </c>
      <c r="U476">
        <v>50112051</v>
      </c>
      <c r="V476" t="s">
        <v>1857</v>
      </c>
      <c r="W476">
        <v>50111588</v>
      </c>
      <c r="X476" t="s">
        <v>1098</v>
      </c>
      <c r="Y476">
        <f>VLOOKUP(W476,Sheet2!A:D,3,0)</f>
        <v>50104078</v>
      </c>
      <c r="Z476" t="str">
        <f>VLOOKUP(W476,Sheet2!A:D,4,0)</f>
        <v>MABS: TERLUX HD 2812</v>
      </c>
    </row>
    <row r="477" spans="12:26">
      <c r="L477">
        <v>50111093</v>
      </c>
      <c r="M477" t="s">
        <v>1846</v>
      </c>
      <c r="N477">
        <v>50099333</v>
      </c>
      <c r="O477" t="s">
        <v>853</v>
      </c>
      <c r="U477">
        <v>50112051</v>
      </c>
      <c r="V477" t="s">
        <v>1857</v>
      </c>
      <c r="W477">
        <v>50111589</v>
      </c>
      <c r="X477" t="s">
        <v>1099</v>
      </c>
      <c r="Y477">
        <f>VLOOKUP(W477,Sheet2!A:D,3,0)</f>
        <v>50104078</v>
      </c>
      <c r="Z477" t="str">
        <f>VLOOKUP(W477,Sheet2!A:D,4,0)</f>
        <v>MABS: TERLUX HD 2812</v>
      </c>
    </row>
    <row r="478" spans="12:26">
      <c r="L478">
        <v>50111094</v>
      </c>
      <c r="M478" t="s">
        <v>1847</v>
      </c>
      <c r="N478">
        <v>50099205</v>
      </c>
      <c r="O478" t="s">
        <v>848</v>
      </c>
      <c r="U478">
        <v>50112245</v>
      </c>
      <c r="V478" t="s">
        <v>1858</v>
      </c>
      <c r="W478">
        <v>50112246</v>
      </c>
      <c r="X478" t="s">
        <v>1859</v>
      </c>
      <c r="Y478" t="e">
        <f>VLOOKUP(W478,Sheet2!A:D,3,0)</f>
        <v>#N/A</v>
      </c>
      <c r="Z478" t="e">
        <f>VLOOKUP(W478,Sheet2!A:D,4,0)</f>
        <v>#N/A</v>
      </c>
    </row>
    <row r="479" spans="12:26">
      <c r="L479">
        <v>50111094</v>
      </c>
      <c r="M479" t="s">
        <v>1847</v>
      </c>
      <c r="N479">
        <v>50099334</v>
      </c>
      <c r="O479" t="s">
        <v>854</v>
      </c>
      <c r="U479">
        <v>50112246</v>
      </c>
      <c r="V479" t="s">
        <v>1859</v>
      </c>
      <c r="W479">
        <v>50104782</v>
      </c>
      <c r="X479" t="s">
        <v>1771</v>
      </c>
      <c r="Y479" t="e">
        <f>VLOOKUP(W479,Sheet2!A:D,3,0)</f>
        <v>#N/A</v>
      </c>
      <c r="Z479" t="e">
        <f>VLOOKUP(W479,Sheet2!A:D,4,0)</f>
        <v>#N/A</v>
      </c>
    </row>
    <row r="480" spans="12:26">
      <c r="L480">
        <v>50111120</v>
      </c>
      <c r="M480" t="s">
        <v>1848</v>
      </c>
      <c r="N480">
        <v>50099333</v>
      </c>
      <c r="O480" t="s">
        <v>853</v>
      </c>
      <c r="U480">
        <v>50112246</v>
      </c>
      <c r="V480" t="s">
        <v>1859</v>
      </c>
      <c r="W480">
        <v>50104883</v>
      </c>
      <c r="X480" t="s">
        <v>932</v>
      </c>
      <c r="Y480">
        <f>VLOOKUP(W480,Sheet2!A:D,3,0)</f>
        <v>50104077</v>
      </c>
      <c r="Z480" t="str">
        <f>VLOOKUP(W480,Sheet2!A:D,4,0)</f>
        <v>ABS: NOVODUR HD M203FC</v>
      </c>
    </row>
    <row r="481" spans="12:26">
      <c r="L481">
        <v>50111120</v>
      </c>
      <c r="M481" t="s">
        <v>1848</v>
      </c>
      <c r="N481">
        <v>50109709</v>
      </c>
      <c r="O481" t="s">
        <v>1011</v>
      </c>
      <c r="U481">
        <v>50112246</v>
      </c>
      <c r="V481" t="s">
        <v>1859</v>
      </c>
      <c r="W481">
        <v>50104909</v>
      </c>
      <c r="X481" t="s">
        <v>934</v>
      </c>
      <c r="Y481">
        <f>VLOOKUP(W481,Sheet2!A:D,3,0)</f>
        <v>50104077</v>
      </c>
      <c r="Z481" t="str">
        <f>VLOOKUP(W481,Sheet2!A:D,4,0)</f>
        <v>ABS: NOVODUR HD M203FC</v>
      </c>
    </row>
    <row r="482" spans="12:26">
      <c r="L482">
        <v>50111591</v>
      </c>
      <c r="M482" t="s">
        <v>1849</v>
      </c>
      <c r="N482">
        <v>50102095</v>
      </c>
      <c r="O482" t="s">
        <v>896</v>
      </c>
      <c r="U482">
        <v>50112246</v>
      </c>
      <c r="V482" t="s">
        <v>1859</v>
      </c>
      <c r="W482">
        <v>50105059</v>
      </c>
      <c r="X482" t="s">
        <v>946</v>
      </c>
      <c r="Y482">
        <f>VLOOKUP(W482,Sheet2!A:D,3,0)</f>
        <v>50104077</v>
      </c>
      <c r="Z482" t="str">
        <f>VLOOKUP(W482,Sheet2!A:D,4,0)</f>
        <v>ABS: NOVODUR HD M203FC</v>
      </c>
    </row>
    <row r="483" spans="12:26">
      <c r="L483">
        <v>50111591</v>
      </c>
      <c r="M483" t="s">
        <v>1849</v>
      </c>
      <c r="N483">
        <v>50102096</v>
      </c>
      <c r="O483" t="s">
        <v>897</v>
      </c>
      <c r="U483">
        <v>50112246</v>
      </c>
      <c r="V483" t="s">
        <v>1859</v>
      </c>
      <c r="W483">
        <v>50105492</v>
      </c>
      <c r="X483" t="s">
        <v>970</v>
      </c>
      <c r="Y483">
        <f>VLOOKUP(W483,Sheet2!A:D,3,0)</f>
        <v>50104078</v>
      </c>
      <c r="Z483" t="str">
        <f>VLOOKUP(W483,Sheet2!A:D,4,0)</f>
        <v>MABS: TERLUX HD 2812</v>
      </c>
    </row>
    <row r="484" spans="12:26">
      <c r="L484">
        <v>50111681</v>
      </c>
      <c r="M484" t="s">
        <v>1850</v>
      </c>
      <c r="N484">
        <v>50099205</v>
      </c>
      <c r="O484" t="s">
        <v>848</v>
      </c>
      <c r="U484">
        <v>50112246</v>
      </c>
      <c r="V484" t="s">
        <v>1859</v>
      </c>
      <c r="W484">
        <v>50105504</v>
      </c>
      <c r="X484" t="s">
        <v>971</v>
      </c>
      <c r="Y484">
        <f>VLOOKUP(W484,Sheet2!A:D,3,0)</f>
        <v>50104078</v>
      </c>
      <c r="Z484" t="str">
        <f>VLOOKUP(W484,Sheet2!A:D,4,0)</f>
        <v>MABS: TERLUX HD 2812</v>
      </c>
    </row>
    <row r="485" spans="12:26">
      <c r="L485">
        <v>50111681</v>
      </c>
      <c r="M485" t="s">
        <v>1850</v>
      </c>
      <c r="N485">
        <v>50099334</v>
      </c>
      <c r="O485" t="s">
        <v>854</v>
      </c>
      <c r="U485">
        <v>50112246</v>
      </c>
      <c r="V485" t="s">
        <v>1859</v>
      </c>
      <c r="W485">
        <v>50106459</v>
      </c>
      <c r="X485" t="s">
        <v>1774</v>
      </c>
      <c r="Y485" t="e">
        <f>VLOOKUP(W485,Sheet2!A:D,3,0)</f>
        <v>#N/A</v>
      </c>
      <c r="Z485" t="e">
        <f>VLOOKUP(W485,Sheet2!A:D,4,0)</f>
        <v>#N/A</v>
      </c>
    </row>
    <row r="486" spans="12:26">
      <c r="L486">
        <v>50111682</v>
      </c>
      <c r="M486" t="s">
        <v>1851</v>
      </c>
      <c r="N486">
        <v>50099204</v>
      </c>
      <c r="O486" t="s">
        <v>847</v>
      </c>
      <c r="U486">
        <v>50112674</v>
      </c>
      <c r="V486" t="s">
        <v>1860</v>
      </c>
      <c r="W486">
        <v>50104782</v>
      </c>
      <c r="X486" t="s">
        <v>1771</v>
      </c>
      <c r="Y486" t="e">
        <f>VLOOKUP(W486,Sheet2!A:D,3,0)</f>
        <v>#N/A</v>
      </c>
      <c r="Z486" t="e">
        <f>VLOOKUP(W486,Sheet2!A:D,4,0)</f>
        <v>#N/A</v>
      </c>
    </row>
    <row r="487" spans="12:26">
      <c r="L487">
        <v>50111682</v>
      </c>
      <c r="M487" t="s">
        <v>1851</v>
      </c>
      <c r="N487">
        <v>50099333</v>
      </c>
      <c r="O487" t="s">
        <v>853</v>
      </c>
      <c r="U487">
        <v>50112674</v>
      </c>
      <c r="V487" t="s">
        <v>1860</v>
      </c>
      <c r="W487">
        <v>50104883</v>
      </c>
      <c r="X487" t="s">
        <v>932</v>
      </c>
      <c r="Y487">
        <f>VLOOKUP(W487,Sheet2!A:D,3,0)</f>
        <v>50104077</v>
      </c>
      <c r="Z487" t="str">
        <f>VLOOKUP(W487,Sheet2!A:D,4,0)</f>
        <v>ABS: NOVODUR HD M203FC</v>
      </c>
    </row>
    <row r="488" spans="12:26">
      <c r="L488">
        <v>50111977</v>
      </c>
      <c r="M488" t="s">
        <v>1852</v>
      </c>
      <c r="N488">
        <v>50099333</v>
      </c>
      <c r="O488" t="s">
        <v>853</v>
      </c>
      <c r="U488">
        <v>50112674</v>
      </c>
      <c r="V488" t="s">
        <v>1860</v>
      </c>
      <c r="W488">
        <v>50104909</v>
      </c>
      <c r="X488" t="s">
        <v>934</v>
      </c>
      <c r="Y488">
        <f>VLOOKUP(W488,Sheet2!A:D,3,0)</f>
        <v>50104077</v>
      </c>
      <c r="Z488" t="str">
        <f>VLOOKUP(W488,Sheet2!A:D,4,0)</f>
        <v>ABS: NOVODUR HD M203FC</v>
      </c>
    </row>
    <row r="489" spans="12:26">
      <c r="L489">
        <v>50111977</v>
      </c>
      <c r="M489" t="s">
        <v>1852</v>
      </c>
      <c r="N489">
        <v>50109445</v>
      </c>
      <c r="O489" t="s">
        <v>1048</v>
      </c>
      <c r="U489">
        <v>50112674</v>
      </c>
      <c r="V489" t="s">
        <v>1860</v>
      </c>
      <c r="W489">
        <v>50105059</v>
      </c>
      <c r="X489" t="s">
        <v>946</v>
      </c>
      <c r="Y489">
        <f>VLOOKUP(W489,Sheet2!A:D,3,0)</f>
        <v>50104077</v>
      </c>
      <c r="Z489" t="str">
        <f>VLOOKUP(W489,Sheet2!A:D,4,0)</f>
        <v>ABS: NOVODUR HD M203FC</v>
      </c>
    </row>
    <row r="490" spans="12:26">
      <c r="L490">
        <v>50111978</v>
      </c>
      <c r="M490" t="s">
        <v>1853</v>
      </c>
      <c r="N490">
        <v>50099334</v>
      </c>
      <c r="O490" t="s">
        <v>854</v>
      </c>
      <c r="U490">
        <v>50112674</v>
      </c>
      <c r="V490" t="s">
        <v>1860</v>
      </c>
      <c r="W490">
        <v>50105504</v>
      </c>
      <c r="X490" t="s">
        <v>971</v>
      </c>
      <c r="Y490">
        <f>VLOOKUP(W490,Sheet2!A:D,3,0)</f>
        <v>50104078</v>
      </c>
      <c r="Z490" t="str">
        <f>VLOOKUP(W490,Sheet2!A:D,4,0)</f>
        <v>MABS: TERLUX HD 2812</v>
      </c>
    </row>
    <row r="491" spans="12:26">
      <c r="L491">
        <v>50111978</v>
      </c>
      <c r="M491" t="s">
        <v>1853</v>
      </c>
      <c r="N491">
        <v>50109446</v>
      </c>
      <c r="O491" t="s">
        <v>1049</v>
      </c>
      <c r="U491">
        <v>50112674</v>
      </c>
      <c r="V491" t="s">
        <v>1860</v>
      </c>
      <c r="W491">
        <v>50106459</v>
      </c>
      <c r="X491" t="s">
        <v>1774</v>
      </c>
      <c r="Y491" t="e">
        <f>VLOOKUP(W491,Sheet2!A:D,3,0)</f>
        <v>#N/A</v>
      </c>
      <c r="Z491" t="e">
        <f>VLOOKUP(W491,Sheet2!A:D,4,0)</f>
        <v>#N/A</v>
      </c>
    </row>
    <row r="492" spans="12:26">
      <c r="L492">
        <v>50111979</v>
      </c>
      <c r="M492" t="s">
        <v>1854</v>
      </c>
      <c r="N492">
        <v>50099333</v>
      </c>
      <c r="O492" t="s">
        <v>853</v>
      </c>
      <c r="U492">
        <v>50112674</v>
      </c>
      <c r="V492" t="s">
        <v>1860</v>
      </c>
      <c r="W492">
        <v>50112675</v>
      </c>
      <c r="X492" t="s">
        <v>1861</v>
      </c>
      <c r="Y492" t="e">
        <f>VLOOKUP(W492,Sheet2!A:D,3,0)</f>
        <v>#N/A</v>
      </c>
      <c r="Z492" t="e">
        <f>VLOOKUP(W492,Sheet2!A:D,4,0)</f>
        <v>#N/A</v>
      </c>
    </row>
    <row r="493" spans="12:26">
      <c r="L493">
        <v>50111979</v>
      </c>
      <c r="M493" t="s">
        <v>1854</v>
      </c>
      <c r="N493">
        <v>50109445</v>
      </c>
      <c r="O493" t="s">
        <v>1048</v>
      </c>
      <c r="U493">
        <v>50112766</v>
      </c>
      <c r="V493" t="s">
        <v>1862</v>
      </c>
      <c r="W493">
        <v>50104782</v>
      </c>
      <c r="X493" t="s">
        <v>1771</v>
      </c>
      <c r="Y493" t="e">
        <f>VLOOKUP(W493,Sheet2!A:D,3,0)</f>
        <v>#N/A</v>
      </c>
      <c r="Z493" t="e">
        <f>VLOOKUP(W493,Sheet2!A:D,4,0)</f>
        <v>#N/A</v>
      </c>
    </row>
    <row r="494" spans="12:26">
      <c r="L494">
        <v>50111980</v>
      </c>
      <c r="M494" t="s">
        <v>1855</v>
      </c>
      <c r="N494">
        <v>50099334</v>
      </c>
      <c r="O494" t="s">
        <v>854</v>
      </c>
      <c r="U494">
        <v>50112766</v>
      </c>
      <c r="V494" t="s">
        <v>1862</v>
      </c>
      <c r="W494">
        <v>50104883</v>
      </c>
      <c r="X494" t="s">
        <v>932</v>
      </c>
      <c r="Y494">
        <f>VLOOKUP(W494,Sheet2!A:D,3,0)</f>
        <v>50104077</v>
      </c>
      <c r="Z494" t="str">
        <f>VLOOKUP(W494,Sheet2!A:D,4,0)</f>
        <v>ABS: NOVODUR HD M203FC</v>
      </c>
    </row>
    <row r="495" spans="12:26">
      <c r="L495">
        <v>50111980</v>
      </c>
      <c r="M495" t="s">
        <v>1855</v>
      </c>
      <c r="N495">
        <v>50109446</v>
      </c>
      <c r="O495" t="s">
        <v>1049</v>
      </c>
      <c r="U495">
        <v>50112766</v>
      </c>
      <c r="V495" t="s">
        <v>1862</v>
      </c>
      <c r="W495">
        <v>50105026</v>
      </c>
      <c r="X495" t="s">
        <v>944</v>
      </c>
      <c r="Y495">
        <f>VLOOKUP(W495,Sheet2!A:D,3,0)</f>
        <v>50104077</v>
      </c>
      <c r="Z495" t="str">
        <f>VLOOKUP(W495,Sheet2!A:D,4,0)</f>
        <v>ABS: NOVODUR HD M203FC</v>
      </c>
    </row>
    <row r="496" spans="12:26">
      <c r="L496">
        <v>50112049</v>
      </c>
      <c r="M496" t="s">
        <v>1856</v>
      </c>
      <c r="N496">
        <v>50106011</v>
      </c>
      <c r="O496" t="s">
        <v>1772</v>
      </c>
      <c r="U496">
        <v>50112766</v>
      </c>
      <c r="V496" t="s">
        <v>1862</v>
      </c>
      <c r="W496">
        <v>50105059</v>
      </c>
      <c r="X496" t="s">
        <v>946</v>
      </c>
      <c r="Y496">
        <f>VLOOKUP(W496,Sheet2!A:D,3,0)</f>
        <v>50104077</v>
      </c>
      <c r="Z496" t="str">
        <f>VLOOKUP(W496,Sheet2!A:D,4,0)</f>
        <v>ABS: NOVODUR HD M203FC</v>
      </c>
    </row>
    <row r="497" spans="12:26">
      <c r="L497">
        <v>50112051</v>
      </c>
      <c r="M497" t="s">
        <v>1857</v>
      </c>
      <c r="N497">
        <v>50104883</v>
      </c>
      <c r="O497" t="s">
        <v>932</v>
      </c>
      <c r="U497">
        <v>50112766</v>
      </c>
      <c r="V497" t="s">
        <v>1862</v>
      </c>
      <c r="W497">
        <v>50105081</v>
      </c>
      <c r="X497" t="s">
        <v>948</v>
      </c>
      <c r="Y497">
        <f>VLOOKUP(W497,Sheet2!A:D,3,0)</f>
        <v>50104078</v>
      </c>
      <c r="Z497" t="str">
        <f>VLOOKUP(W497,Sheet2!A:D,4,0)</f>
        <v>MABS: TERLUX HD 2812</v>
      </c>
    </row>
    <row r="498" spans="12:26">
      <c r="L498">
        <v>50112051</v>
      </c>
      <c r="M498" t="s">
        <v>1857</v>
      </c>
      <c r="N498">
        <v>50104909</v>
      </c>
      <c r="O498" t="s">
        <v>934</v>
      </c>
      <c r="U498">
        <v>50112766</v>
      </c>
      <c r="V498" t="s">
        <v>1862</v>
      </c>
      <c r="W498">
        <v>50106459</v>
      </c>
      <c r="X498" t="s">
        <v>1774</v>
      </c>
      <c r="Y498" t="e">
        <f>VLOOKUP(W498,Sheet2!A:D,3,0)</f>
        <v>#N/A</v>
      </c>
      <c r="Z498" t="e">
        <f>VLOOKUP(W498,Sheet2!A:D,4,0)</f>
        <v>#N/A</v>
      </c>
    </row>
    <row r="499" spans="12:26">
      <c r="L499">
        <v>50112051</v>
      </c>
      <c r="M499" t="s">
        <v>1857</v>
      </c>
      <c r="N499">
        <v>50105059</v>
      </c>
      <c r="O499" t="s">
        <v>946</v>
      </c>
      <c r="U499">
        <v>50112766</v>
      </c>
      <c r="V499" t="s">
        <v>1862</v>
      </c>
      <c r="W499">
        <v>50112765</v>
      </c>
      <c r="X499" t="s">
        <v>1137</v>
      </c>
      <c r="Y499">
        <f>VLOOKUP(W499,Sheet2!A:D,3,0)</f>
        <v>50104077</v>
      </c>
      <c r="Z499" t="str">
        <f>VLOOKUP(W499,Sheet2!A:D,4,0)</f>
        <v>ABS: NOVODUR HD M203FC</v>
      </c>
    </row>
    <row r="500" spans="12:26">
      <c r="L500">
        <v>50112051</v>
      </c>
      <c r="M500" t="s">
        <v>1857</v>
      </c>
      <c r="N500">
        <v>50111588</v>
      </c>
      <c r="O500" t="s">
        <v>1098</v>
      </c>
      <c r="U500">
        <v>50112945</v>
      </c>
      <c r="V500" t="s">
        <v>1863</v>
      </c>
      <c r="W500">
        <v>50102096</v>
      </c>
      <c r="X500" t="s">
        <v>897</v>
      </c>
      <c r="Y500">
        <f>VLOOKUP(W500,Sheet2!A:D,3,0)</f>
        <v>50097522</v>
      </c>
      <c r="Z500" t="str">
        <f>VLOOKUP(W500,Sheet2!A:D,4,0)</f>
        <v>PPHP: REPOL H110MAS</v>
      </c>
    </row>
    <row r="501" spans="12:26">
      <c r="L501">
        <v>50112051</v>
      </c>
      <c r="M501" t="s">
        <v>1857</v>
      </c>
      <c r="N501">
        <v>50111589</v>
      </c>
      <c r="O501" t="s">
        <v>1099</v>
      </c>
      <c r="U501">
        <v>50112945</v>
      </c>
      <c r="V501" t="s">
        <v>1863</v>
      </c>
      <c r="W501">
        <v>50109444</v>
      </c>
      <c r="X501" t="s">
        <v>1047</v>
      </c>
      <c r="Y501">
        <f>VLOOKUP(W501,Sheet2!A:D,3,0)</f>
        <v>50097522</v>
      </c>
      <c r="Z501" t="str">
        <f>VLOOKUP(W501,Sheet2!A:D,4,0)</f>
        <v>PPHP: REPOL H110MAS</v>
      </c>
    </row>
    <row r="502" spans="12:26">
      <c r="L502">
        <v>50112245</v>
      </c>
      <c r="M502" t="s">
        <v>1858</v>
      </c>
      <c r="N502">
        <v>50112246</v>
      </c>
      <c r="O502" t="s">
        <v>1859</v>
      </c>
      <c r="U502">
        <v>50112946</v>
      </c>
      <c r="V502" t="s">
        <v>4</v>
      </c>
      <c r="W502">
        <v>50099333</v>
      </c>
      <c r="X502" t="s">
        <v>853</v>
      </c>
      <c r="Y502">
        <f>VLOOKUP(W502,Sheet2!A:D,3,0)</f>
        <v>50097522</v>
      </c>
      <c r="Z502" t="str">
        <f>VLOOKUP(W502,Sheet2!A:D,4,0)</f>
        <v>PPHP: REPOL H110MAS</v>
      </c>
    </row>
    <row r="503" spans="12:26">
      <c r="L503">
        <v>50112246</v>
      </c>
      <c r="M503" t="s">
        <v>1859</v>
      </c>
      <c r="N503">
        <v>50104782</v>
      </c>
      <c r="O503" t="s">
        <v>1771</v>
      </c>
      <c r="U503">
        <v>50112946</v>
      </c>
      <c r="V503" t="s">
        <v>4</v>
      </c>
      <c r="W503">
        <v>50109445</v>
      </c>
      <c r="X503" t="s">
        <v>1048</v>
      </c>
      <c r="Y503">
        <f>VLOOKUP(W503,Sheet2!A:D,3,0)</f>
        <v>50097522</v>
      </c>
      <c r="Z503" t="str">
        <f>VLOOKUP(W503,Sheet2!A:D,4,0)</f>
        <v>PPHP: REPOL H110MAS</v>
      </c>
    </row>
    <row r="504" spans="12:26">
      <c r="L504">
        <v>50112246</v>
      </c>
      <c r="M504" t="s">
        <v>1859</v>
      </c>
      <c r="N504">
        <v>50104883</v>
      </c>
      <c r="O504" t="s">
        <v>932</v>
      </c>
      <c r="U504">
        <v>50112947</v>
      </c>
      <c r="V504" t="s">
        <v>131</v>
      </c>
      <c r="W504">
        <v>50099334</v>
      </c>
      <c r="X504" t="s">
        <v>854</v>
      </c>
      <c r="Y504">
        <f>VLOOKUP(W504,Sheet2!A:D,3,0)</f>
        <v>50097522</v>
      </c>
      <c r="Z504" t="str">
        <f>VLOOKUP(W504,Sheet2!A:D,4,0)</f>
        <v>PPHP: REPOL H110MAS</v>
      </c>
    </row>
    <row r="505" spans="12:26">
      <c r="L505">
        <v>50112246</v>
      </c>
      <c r="M505" t="s">
        <v>1859</v>
      </c>
      <c r="N505">
        <v>50104909</v>
      </c>
      <c r="O505" t="s">
        <v>934</v>
      </c>
      <c r="U505">
        <v>50112947</v>
      </c>
      <c r="V505" t="s">
        <v>131</v>
      </c>
      <c r="W505">
        <v>50109446</v>
      </c>
      <c r="X505" t="s">
        <v>1049</v>
      </c>
      <c r="Y505">
        <f>VLOOKUP(W505,Sheet2!A:D,3,0)</f>
        <v>50097522</v>
      </c>
      <c r="Z505" t="str">
        <f>VLOOKUP(W505,Sheet2!A:D,4,0)</f>
        <v>PPHP: REPOL H110MAS</v>
      </c>
    </row>
    <row r="506" spans="12:26">
      <c r="L506">
        <v>50112246</v>
      </c>
      <c r="M506" t="s">
        <v>1859</v>
      </c>
      <c r="N506">
        <v>50105059</v>
      </c>
      <c r="O506" t="s">
        <v>946</v>
      </c>
      <c r="U506">
        <v>50112952</v>
      </c>
      <c r="V506" t="s">
        <v>203</v>
      </c>
      <c r="W506">
        <v>50104782</v>
      </c>
      <c r="X506" t="s">
        <v>1771</v>
      </c>
      <c r="Y506" t="e">
        <f>VLOOKUP(W506,Sheet2!A:D,3,0)</f>
        <v>#N/A</v>
      </c>
      <c r="Z506" t="e">
        <f>VLOOKUP(W506,Sheet2!A:D,4,0)</f>
        <v>#N/A</v>
      </c>
    </row>
    <row r="507" spans="12:26">
      <c r="L507">
        <v>50112246</v>
      </c>
      <c r="M507" t="s">
        <v>1859</v>
      </c>
      <c r="N507">
        <v>50105492</v>
      </c>
      <c r="O507" t="s">
        <v>970</v>
      </c>
      <c r="U507">
        <v>50112952</v>
      </c>
      <c r="V507" t="s">
        <v>203</v>
      </c>
      <c r="W507">
        <v>50104883</v>
      </c>
      <c r="X507" t="s">
        <v>932</v>
      </c>
      <c r="Y507">
        <f>VLOOKUP(W507,Sheet2!A:D,3,0)</f>
        <v>50104077</v>
      </c>
      <c r="Z507" t="str">
        <f>VLOOKUP(W507,Sheet2!A:D,4,0)</f>
        <v>ABS: NOVODUR HD M203FC</v>
      </c>
    </row>
    <row r="508" spans="12:26">
      <c r="L508">
        <v>50112246</v>
      </c>
      <c r="M508" t="s">
        <v>1859</v>
      </c>
      <c r="N508">
        <v>50105504</v>
      </c>
      <c r="O508" t="s">
        <v>971</v>
      </c>
      <c r="U508">
        <v>50112952</v>
      </c>
      <c r="V508" t="s">
        <v>203</v>
      </c>
      <c r="W508">
        <v>50104909</v>
      </c>
      <c r="X508" t="s">
        <v>934</v>
      </c>
      <c r="Y508">
        <f>VLOOKUP(W508,Sheet2!A:D,3,0)</f>
        <v>50104077</v>
      </c>
      <c r="Z508" t="str">
        <f>VLOOKUP(W508,Sheet2!A:D,4,0)</f>
        <v>ABS: NOVODUR HD M203FC</v>
      </c>
    </row>
    <row r="509" spans="12:26">
      <c r="L509">
        <v>50112246</v>
      </c>
      <c r="M509" t="s">
        <v>1859</v>
      </c>
      <c r="N509">
        <v>50106459</v>
      </c>
      <c r="O509" t="s">
        <v>1774</v>
      </c>
      <c r="U509">
        <v>50112952</v>
      </c>
      <c r="V509" t="s">
        <v>203</v>
      </c>
      <c r="W509">
        <v>50105059</v>
      </c>
      <c r="X509" t="s">
        <v>946</v>
      </c>
      <c r="Y509">
        <f>VLOOKUP(W509,Sheet2!A:D,3,0)</f>
        <v>50104077</v>
      </c>
      <c r="Z509" t="str">
        <f>VLOOKUP(W509,Sheet2!A:D,4,0)</f>
        <v>ABS: NOVODUR HD M203FC</v>
      </c>
    </row>
    <row r="510" spans="12:26">
      <c r="L510">
        <v>50112674</v>
      </c>
      <c r="M510" t="s">
        <v>1860</v>
      </c>
      <c r="N510">
        <v>50104782</v>
      </c>
      <c r="O510" t="s">
        <v>1771</v>
      </c>
      <c r="U510">
        <v>50112952</v>
      </c>
      <c r="V510" t="s">
        <v>203</v>
      </c>
      <c r="W510">
        <v>50105081</v>
      </c>
      <c r="X510" t="s">
        <v>948</v>
      </c>
      <c r="Y510">
        <f>VLOOKUP(W510,Sheet2!A:D,3,0)</f>
        <v>50104078</v>
      </c>
      <c r="Z510" t="str">
        <f>VLOOKUP(W510,Sheet2!A:D,4,0)</f>
        <v>MABS: TERLUX HD 2812</v>
      </c>
    </row>
    <row r="511" spans="12:26">
      <c r="L511">
        <v>50112674</v>
      </c>
      <c r="M511" t="s">
        <v>1860</v>
      </c>
      <c r="N511">
        <v>50104883</v>
      </c>
      <c r="O511" t="s">
        <v>932</v>
      </c>
      <c r="U511">
        <v>50112952</v>
      </c>
      <c r="V511" t="s">
        <v>203</v>
      </c>
      <c r="W511">
        <v>50106459</v>
      </c>
      <c r="X511" t="s">
        <v>1774</v>
      </c>
      <c r="Y511" t="e">
        <f>VLOOKUP(W511,Sheet2!A:D,3,0)</f>
        <v>#N/A</v>
      </c>
      <c r="Z511" t="e">
        <f>VLOOKUP(W511,Sheet2!A:D,4,0)</f>
        <v>#N/A</v>
      </c>
    </row>
    <row r="512" spans="12:26">
      <c r="L512">
        <v>50112674</v>
      </c>
      <c r="M512" t="s">
        <v>1860</v>
      </c>
      <c r="N512">
        <v>50104909</v>
      </c>
      <c r="O512" t="s">
        <v>934</v>
      </c>
      <c r="U512">
        <v>50112952</v>
      </c>
      <c r="V512" t="s">
        <v>203</v>
      </c>
      <c r="W512">
        <v>50112953</v>
      </c>
      <c r="X512" t="s">
        <v>1864</v>
      </c>
      <c r="Y512" t="e">
        <f>VLOOKUP(W512,Sheet2!A:D,3,0)</f>
        <v>#N/A</v>
      </c>
      <c r="Z512" t="e">
        <f>VLOOKUP(W512,Sheet2!A:D,4,0)</f>
        <v>#N/A</v>
      </c>
    </row>
    <row r="513" spans="12:26">
      <c r="L513">
        <v>50112674</v>
      </c>
      <c r="M513" t="s">
        <v>1860</v>
      </c>
      <c r="N513">
        <v>50105059</v>
      </c>
      <c r="O513" t="s">
        <v>946</v>
      </c>
      <c r="U513">
        <v>50113108</v>
      </c>
      <c r="V513" t="s">
        <v>1865</v>
      </c>
      <c r="W513">
        <v>50102096</v>
      </c>
      <c r="X513" t="s">
        <v>897</v>
      </c>
      <c r="Y513">
        <f>VLOOKUP(W513,Sheet2!A:D,3,0)</f>
        <v>50097522</v>
      </c>
      <c r="Z513" t="str">
        <f>VLOOKUP(W513,Sheet2!A:D,4,0)</f>
        <v>PPHP: REPOL H110MAS</v>
      </c>
    </row>
    <row r="514" spans="12:26">
      <c r="L514">
        <v>50112674</v>
      </c>
      <c r="M514" t="s">
        <v>1860</v>
      </c>
      <c r="N514">
        <v>50105504</v>
      </c>
      <c r="O514" t="s">
        <v>971</v>
      </c>
      <c r="U514">
        <v>50113108</v>
      </c>
      <c r="V514" t="s">
        <v>1865</v>
      </c>
      <c r="W514">
        <v>50109444</v>
      </c>
      <c r="X514" t="s">
        <v>1047</v>
      </c>
      <c r="Y514">
        <f>VLOOKUP(W514,Sheet2!A:D,3,0)</f>
        <v>50097522</v>
      </c>
      <c r="Z514" t="str">
        <f>VLOOKUP(W514,Sheet2!A:D,4,0)</f>
        <v>PPHP: REPOL H110MAS</v>
      </c>
    </row>
    <row r="515" spans="12:26">
      <c r="L515">
        <v>50112674</v>
      </c>
      <c r="M515" t="s">
        <v>1860</v>
      </c>
      <c r="N515">
        <v>50106459</v>
      </c>
      <c r="O515" t="s">
        <v>1774</v>
      </c>
      <c r="U515">
        <v>50113109</v>
      </c>
      <c r="V515" t="s">
        <v>1866</v>
      </c>
      <c r="W515">
        <v>50099333</v>
      </c>
      <c r="X515" t="s">
        <v>853</v>
      </c>
      <c r="Y515">
        <f>VLOOKUP(W515,Sheet2!A:D,3,0)</f>
        <v>50097522</v>
      </c>
      <c r="Z515" t="str">
        <f>VLOOKUP(W515,Sheet2!A:D,4,0)</f>
        <v>PPHP: REPOL H110MAS</v>
      </c>
    </row>
    <row r="516" spans="12:26">
      <c r="L516">
        <v>50112674</v>
      </c>
      <c r="M516" t="s">
        <v>1860</v>
      </c>
      <c r="N516">
        <v>50112675</v>
      </c>
      <c r="O516" t="s">
        <v>1861</v>
      </c>
      <c r="U516">
        <v>50113109</v>
      </c>
      <c r="V516" t="s">
        <v>1866</v>
      </c>
      <c r="W516">
        <v>50109445</v>
      </c>
      <c r="X516" t="s">
        <v>1048</v>
      </c>
      <c r="Y516">
        <f>VLOOKUP(W516,Sheet2!A:D,3,0)</f>
        <v>50097522</v>
      </c>
      <c r="Z516" t="str">
        <f>VLOOKUP(W516,Sheet2!A:D,4,0)</f>
        <v>PPHP: REPOL H110MAS</v>
      </c>
    </row>
    <row r="517" spans="12:26">
      <c r="L517">
        <v>50112675</v>
      </c>
      <c r="M517" t="s">
        <v>1861</v>
      </c>
      <c r="N517">
        <v>50105026</v>
      </c>
      <c r="O517" t="s">
        <v>944</v>
      </c>
      <c r="U517">
        <v>50113110</v>
      </c>
      <c r="V517" t="s">
        <v>1867</v>
      </c>
      <c r="W517">
        <v>50099334</v>
      </c>
      <c r="X517" t="s">
        <v>854</v>
      </c>
      <c r="Y517">
        <f>VLOOKUP(W517,Sheet2!A:D,3,0)</f>
        <v>50097522</v>
      </c>
      <c r="Z517" t="str">
        <f>VLOOKUP(W517,Sheet2!A:D,4,0)</f>
        <v>PPHP: REPOL H110MAS</v>
      </c>
    </row>
    <row r="518" spans="12:26">
      <c r="L518">
        <v>50112766</v>
      </c>
      <c r="M518" t="s">
        <v>1862</v>
      </c>
      <c r="N518">
        <v>50104782</v>
      </c>
      <c r="O518" t="s">
        <v>1771</v>
      </c>
      <c r="U518">
        <v>50113110</v>
      </c>
      <c r="V518" t="s">
        <v>1867</v>
      </c>
      <c r="W518">
        <v>50109446</v>
      </c>
      <c r="X518" t="s">
        <v>1049</v>
      </c>
      <c r="Y518">
        <f>VLOOKUP(W518,Sheet2!A:D,3,0)</f>
        <v>50097522</v>
      </c>
      <c r="Z518" t="str">
        <f>VLOOKUP(W518,Sheet2!A:D,4,0)</f>
        <v>PPHP: REPOL H110MAS</v>
      </c>
    </row>
    <row r="519" spans="12:26">
      <c r="L519">
        <v>50112766</v>
      </c>
      <c r="M519" t="s">
        <v>1862</v>
      </c>
      <c r="N519">
        <v>50104883</v>
      </c>
      <c r="O519" t="s">
        <v>932</v>
      </c>
      <c r="U519">
        <v>50113111</v>
      </c>
      <c r="V519" t="s">
        <v>1868</v>
      </c>
      <c r="W519">
        <v>50102096</v>
      </c>
      <c r="X519" t="s">
        <v>897</v>
      </c>
      <c r="Y519">
        <f>VLOOKUP(W519,Sheet2!A:D,3,0)</f>
        <v>50097522</v>
      </c>
      <c r="Z519" t="str">
        <f>VLOOKUP(W519,Sheet2!A:D,4,0)</f>
        <v>PPHP: REPOL H110MAS</v>
      </c>
    </row>
    <row r="520" spans="12:26">
      <c r="L520">
        <v>50112766</v>
      </c>
      <c r="M520" t="s">
        <v>1862</v>
      </c>
      <c r="N520">
        <v>50105026</v>
      </c>
      <c r="O520" t="s">
        <v>944</v>
      </c>
      <c r="U520">
        <v>50113111</v>
      </c>
      <c r="V520" t="s">
        <v>1868</v>
      </c>
      <c r="W520">
        <v>50109444</v>
      </c>
      <c r="X520" t="s">
        <v>1047</v>
      </c>
      <c r="Y520">
        <f>VLOOKUP(W520,Sheet2!A:D,3,0)</f>
        <v>50097522</v>
      </c>
      <c r="Z520" t="str">
        <f>VLOOKUP(W520,Sheet2!A:D,4,0)</f>
        <v>PPHP: REPOL H110MAS</v>
      </c>
    </row>
    <row r="521" spans="12:26">
      <c r="L521">
        <v>50112766</v>
      </c>
      <c r="M521" t="s">
        <v>1862</v>
      </c>
      <c r="N521">
        <v>50105059</v>
      </c>
      <c r="O521" t="s">
        <v>946</v>
      </c>
      <c r="U521">
        <v>50113112</v>
      </c>
      <c r="V521" t="s">
        <v>1869</v>
      </c>
      <c r="W521">
        <v>50099333</v>
      </c>
      <c r="X521" t="s">
        <v>853</v>
      </c>
      <c r="Y521">
        <f>VLOOKUP(W521,Sheet2!A:D,3,0)</f>
        <v>50097522</v>
      </c>
      <c r="Z521" t="str">
        <f>VLOOKUP(W521,Sheet2!A:D,4,0)</f>
        <v>PPHP: REPOL H110MAS</v>
      </c>
    </row>
    <row r="522" spans="12:26">
      <c r="L522">
        <v>50112766</v>
      </c>
      <c r="M522" t="s">
        <v>1862</v>
      </c>
      <c r="N522">
        <v>50105081</v>
      </c>
      <c r="O522" t="s">
        <v>948</v>
      </c>
      <c r="U522">
        <v>50113112</v>
      </c>
      <c r="V522" t="s">
        <v>1869</v>
      </c>
      <c r="W522">
        <v>50109445</v>
      </c>
      <c r="X522" t="s">
        <v>1048</v>
      </c>
      <c r="Y522">
        <f>VLOOKUP(W522,Sheet2!A:D,3,0)</f>
        <v>50097522</v>
      </c>
      <c r="Z522" t="str">
        <f>VLOOKUP(W522,Sheet2!A:D,4,0)</f>
        <v>PPHP: REPOL H110MAS</v>
      </c>
    </row>
    <row r="523" spans="12:26">
      <c r="L523">
        <v>50112766</v>
      </c>
      <c r="M523" t="s">
        <v>1862</v>
      </c>
      <c r="N523">
        <v>50106459</v>
      </c>
      <c r="O523" t="s">
        <v>1774</v>
      </c>
      <c r="U523">
        <v>50113113</v>
      </c>
      <c r="V523" t="s">
        <v>1870</v>
      </c>
      <c r="W523">
        <v>50099334</v>
      </c>
      <c r="X523" t="s">
        <v>854</v>
      </c>
      <c r="Y523">
        <f>VLOOKUP(W523,Sheet2!A:D,3,0)</f>
        <v>50097522</v>
      </c>
      <c r="Z523" t="str">
        <f>VLOOKUP(W523,Sheet2!A:D,4,0)</f>
        <v>PPHP: REPOL H110MAS</v>
      </c>
    </row>
    <row r="524" spans="12:26">
      <c r="L524">
        <v>50112766</v>
      </c>
      <c r="M524" t="s">
        <v>1862</v>
      </c>
      <c r="N524">
        <v>50112765</v>
      </c>
      <c r="O524" t="s">
        <v>1137</v>
      </c>
      <c r="U524">
        <v>50113113</v>
      </c>
      <c r="V524" t="s">
        <v>1870</v>
      </c>
      <c r="W524">
        <v>50109446</v>
      </c>
      <c r="X524" t="s">
        <v>1049</v>
      </c>
      <c r="Y524">
        <f>VLOOKUP(W524,Sheet2!A:D,3,0)</f>
        <v>50097522</v>
      </c>
      <c r="Z524" t="str">
        <f>VLOOKUP(W524,Sheet2!A:D,4,0)</f>
        <v>PPHP: REPOL H110MAS</v>
      </c>
    </row>
    <row r="525" spans="12:26">
      <c r="L525">
        <v>50112945</v>
      </c>
      <c r="M525" t="s">
        <v>1863</v>
      </c>
      <c r="N525">
        <v>50102096</v>
      </c>
      <c r="O525" t="s">
        <v>897</v>
      </c>
      <c r="U525">
        <v>50113251</v>
      </c>
      <c r="V525" t="s">
        <v>1871</v>
      </c>
      <c r="W525">
        <v>50104782</v>
      </c>
      <c r="X525" t="s">
        <v>1771</v>
      </c>
      <c r="Y525" t="e">
        <f>VLOOKUP(W525,Sheet2!A:D,3,0)</f>
        <v>#N/A</v>
      </c>
      <c r="Z525" t="e">
        <f>VLOOKUP(W525,Sheet2!A:D,4,0)</f>
        <v>#N/A</v>
      </c>
    </row>
    <row r="526" spans="12:26">
      <c r="L526">
        <v>50112945</v>
      </c>
      <c r="M526" t="s">
        <v>1863</v>
      </c>
      <c r="N526">
        <v>50109444</v>
      </c>
      <c r="O526" t="s">
        <v>1047</v>
      </c>
      <c r="U526">
        <v>50113251</v>
      </c>
      <c r="V526" t="s">
        <v>1871</v>
      </c>
      <c r="W526">
        <v>50104883</v>
      </c>
      <c r="X526" t="s">
        <v>932</v>
      </c>
      <c r="Y526">
        <f>VLOOKUP(W526,Sheet2!A:D,3,0)</f>
        <v>50104077</v>
      </c>
      <c r="Z526" t="str">
        <f>VLOOKUP(W526,Sheet2!A:D,4,0)</f>
        <v>ABS: NOVODUR HD M203FC</v>
      </c>
    </row>
    <row r="527" spans="12:26">
      <c r="L527">
        <v>50112946</v>
      </c>
      <c r="M527" t="s">
        <v>4</v>
      </c>
      <c r="N527">
        <v>50099333</v>
      </c>
      <c r="O527" t="s">
        <v>853</v>
      </c>
      <c r="U527">
        <v>50113251</v>
      </c>
      <c r="V527" t="s">
        <v>1871</v>
      </c>
      <c r="W527">
        <v>50104909</v>
      </c>
      <c r="X527" t="s">
        <v>934</v>
      </c>
      <c r="Y527">
        <f>VLOOKUP(W527,Sheet2!A:D,3,0)</f>
        <v>50104077</v>
      </c>
      <c r="Z527" t="str">
        <f>VLOOKUP(W527,Sheet2!A:D,4,0)</f>
        <v>ABS: NOVODUR HD M203FC</v>
      </c>
    </row>
    <row r="528" spans="12:26">
      <c r="L528">
        <v>50112946</v>
      </c>
      <c r="M528" t="s">
        <v>4</v>
      </c>
      <c r="N528">
        <v>50109445</v>
      </c>
      <c r="O528" t="s">
        <v>1048</v>
      </c>
      <c r="U528">
        <v>50113251</v>
      </c>
      <c r="V528" t="s">
        <v>1871</v>
      </c>
      <c r="W528">
        <v>50105059</v>
      </c>
      <c r="X528" t="s">
        <v>946</v>
      </c>
      <c r="Y528">
        <f>VLOOKUP(W528,Sheet2!A:D,3,0)</f>
        <v>50104077</v>
      </c>
      <c r="Z528" t="str">
        <f>VLOOKUP(W528,Sheet2!A:D,4,0)</f>
        <v>ABS: NOVODUR HD M203FC</v>
      </c>
    </row>
    <row r="529" spans="12:26">
      <c r="L529">
        <v>50112947</v>
      </c>
      <c r="M529" t="s">
        <v>131</v>
      </c>
      <c r="N529">
        <v>50099334</v>
      </c>
      <c r="O529" t="s">
        <v>854</v>
      </c>
      <c r="U529">
        <v>50113251</v>
      </c>
      <c r="V529" t="s">
        <v>1871</v>
      </c>
      <c r="W529">
        <v>50105504</v>
      </c>
      <c r="X529" t="s">
        <v>971</v>
      </c>
      <c r="Y529">
        <f>VLOOKUP(W529,Sheet2!A:D,3,0)</f>
        <v>50104078</v>
      </c>
      <c r="Z529" t="str">
        <f>VLOOKUP(W529,Sheet2!A:D,4,0)</f>
        <v>MABS: TERLUX HD 2812</v>
      </c>
    </row>
    <row r="530" spans="12:26">
      <c r="L530">
        <v>50112947</v>
      </c>
      <c r="M530" t="s">
        <v>131</v>
      </c>
      <c r="N530">
        <v>50109446</v>
      </c>
      <c r="O530" t="s">
        <v>1049</v>
      </c>
      <c r="U530">
        <v>50113251</v>
      </c>
      <c r="V530" t="s">
        <v>1871</v>
      </c>
      <c r="W530">
        <v>50106459</v>
      </c>
      <c r="X530" t="s">
        <v>1774</v>
      </c>
      <c r="Y530" t="e">
        <f>VLOOKUP(W530,Sheet2!A:D,3,0)</f>
        <v>#N/A</v>
      </c>
      <c r="Z530" t="e">
        <f>VLOOKUP(W530,Sheet2!A:D,4,0)</f>
        <v>#N/A</v>
      </c>
    </row>
    <row r="531" spans="12:26">
      <c r="L531">
        <v>50112952</v>
      </c>
      <c r="M531" t="s">
        <v>203</v>
      </c>
      <c r="N531">
        <v>50104782</v>
      </c>
      <c r="O531" t="s">
        <v>1771</v>
      </c>
      <c r="U531">
        <v>50113251</v>
      </c>
      <c r="V531" t="s">
        <v>1871</v>
      </c>
      <c r="W531">
        <v>50113252</v>
      </c>
      <c r="X531" t="s">
        <v>1872</v>
      </c>
      <c r="Y531" t="e">
        <f>VLOOKUP(W531,Sheet2!A:D,3,0)</f>
        <v>#N/A</v>
      </c>
      <c r="Z531" t="e">
        <f>VLOOKUP(W531,Sheet2!A:D,4,0)</f>
        <v>#N/A</v>
      </c>
    </row>
    <row r="532" spans="12:26">
      <c r="L532">
        <v>50112952</v>
      </c>
      <c r="M532" t="s">
        <v>203</v>
      </c>
      <c r="N532">
        <v>50104883</v>
      </c>
      <c r="O532" t="s">
        <v>932</v>
      </c>
      <c r="U532">
        <v>50113264</v>
      </c>
      <c r="V532" t="s">
        <v>1873</v>
      </c>
      <c r="W532">
        <v>50102096</v>
      </c>
      <c r="X532" t="s">
        <v>897</v>
      </c>
      <c r="Y532">
        <f>VLOOKUP(W532,Sheet2!A:D,3,0)</f>
        <v>50097522</v>
      </c>
      <c r="Z532" t="str">
        <f>VLOOKUP(W532,Sheet2!A:D,4,0)</f>
        <v>PPHP: REPOL H110MAS</v>
      </c>
    </row>
    <row r="533" spans="12:26">
      <c r="L533">
        <v>50112952</v>
      </c>
      <c r="M533" t="s">
        <v>203</v>
      </c>
      <c r="N533">
        <v>50104909</v>
      </c>
      <c r="O533" t="s">
        <v>934</v>
      </c>
      <c r="U533">
        <v>50113264</v>
      </c>
      <c r="V533" t="s">
        <v>1873</v>
      </c>
      <c r="W533">
        <v>50109444</v>
      </c>
      <c r="X533" t="s">
        <v>1047</v>
      </c>
      <c r="Y533">
        <f>VLOOKUP(W533,Sheet2!A:D,3,0)</f>
        <v>50097522</v>
      </c>
      <c r="Z533" t="str">
        <f>VLOOKUP(W533,Sheet2!A:D,4,0)</f>
        <v>PPHP: REPOL H110MAS</v>
      </c>
    </row>
    <row r="534" spans="12:26">
      <c r="L534">
        <v>50112952</v>
      </c>
      <c r="M534" t="s">
        <v>203</v>
      </c>
      <c r="N534">
        <v>50105059</v>
      </c>
      <c r="O534" t="s">
        <v>946</v>
      </c>
      <c r="U534">
        <v>50113265</v>
      </c>
      <c r="V534" t="s">
        <v>1874</v>
      </c>
      <c r="W534">
        <v>50102096</v>
      </c>
      <c r="X534" t="s">
        <v>897</v>
      </c>
      <c r="Y534">
        <f>VLOOKUP(W534,Sheet2!A:D,3,0)</f>
        <v>50097522</v>
      </c>
      <c r="Z534" t="str">
        <f>VLOOKUP(W534,Sheet2!A:D,4,0)</f>
        <v>PPHP: REPOL H110MAS</v>
      </c>
    </row>
    <row r="535" spans="12:26">
      <c r="L535">
        <v>50112952</v>
      </c>
      <c r="M535" t="s">
        <v>203</v>
      </c>
      <c r="N535">
        <v>50105081</v>
      </c>
      <c r="O535" t="s">
        <v>948</v>
      </c>
      <c r="U535">
        <v>50113265</v>
      </c>
      <c r="V535" t="s">
        <v>1874</v>
      </c>
      <c r="W535">
        <v>50109444</v>
      </c>
      <c r="X535" t="s">
        <v>1047</v>
      </c>
      <c r="Y535">
        <f>VLOOKUP(W535,Sheet2!A:D,3,0)</f>
        <v>50097522</v>
      </c>
      <c r="Z535" t="str">
        <f>VLOOKUP(W535,Sheet2!A:D,4,0)</f>
        <v>PPHP: REPOL H110MAS</v>
      </c>
    </row>
    <row r="536" spans="12:26">
      <c r="L536">
        <v>50112952</v>
      </c>
      <c r="M536" t="s">
        <v>203</v>
      </c>
      <c r="N536">
        <v>50106459</v>
      </c>
      <c r="O536" t="s">
        <v>1774</v>
      </c>
      <c r="U536">
        <v>50113267</v>
      </c>
      <c r="V536" t="s">
        <v>1875</v>
      </c>
      <c r="W536">
        <v>50102096</v>
      </c>
      <c r="X536" t="s">
        <v>897</v>
      </c>
      <c r="Y536">
        <f>VLOOKUP(W536,Sheet2!A:D,3,0)</f>
        <v>50097522</v>
      </c>
      <c r="Z536" t="str">
        <f>VLOOKUP(W536,Sheet2!A:D,4,0)</f>
        <v>PPHP: REPOL H110MAS</v>
      </c>
    </row>
    <row r="537" spans="12:26">
      <c r="L537">
        <v>50112952</v>
      </c>
      <c r="M537" t="s">
        <v>203</v>
      </c>
      <c r="N537">
        <v>50112953</v>
      </c>
      <c r="O537" t="s">
        <v>1864</v>
      </c>
      <c r="U537">
        <v>50113267</v>
      </c>
      <c r="V537" t="s">
        <v>1875</v>
      </c>
      <c r="W537">
        <v>50109444</v>
      </c>
      <c r="X537" t="s">
        <v>1047</v>
      </c>
      <c r="Y537">
        <f>VLOOKUP(W537,Sheet2!A:D,3,0)</f>
        <v>50097522</v>
      </c>
      <c r="Z537" t="str">
        <f>VLOOKUP(W537,Sheet2!A:D,4,0)</f>
        <v>PPHP: REPOL H110MAS</v>
      </c>
    </row>
    <row r="538" spans="12:26">
      <c r="L538">
        <v>50112953</v>
      </c>
      <c r="M538" t="s">
        <v>1864</v>
      </c>
      <c r="N538">
        <v>50105026</v>
      </c>
      <c r="O538" t="s">
        <v>944</v>
      </c>
      <c r="U538">
        <v>50113314</v>
      </c>
      <c r="V538" t="s">
        <v>150</v>
      </c>
      <c r="W538">
        <v>50099334</v>
      </c>
      <c r="X538" t="s">
        <v>854</v>
      </c>
      <c r="Y538">
        <f>VLOOKUP(W538,Sheet2!A:D,3,0)</f>
        <v>50097522</v>
      </c>
      <c r="Z538" t="str">
        <f>VLOOKUP(W538,Sheet2!A:D,4,0)</f>
        <v>PPHP: REPOL H110MAS</v>
      </c>
    </row>
    <row r="539" spans="12:26">
      <c r="L539">
        <v>50113108</v>
      </c>
      <c r="M539" t="s">
        <v>1865</v>
      </c>
      <c r="N539">
        <v>50102096</v>
      </c>
      <c r="O539" t="s">
        <v>897</v>
      </c>
      <c r="U539">
        <v>50113314</v>
      </c>
      <c r="V539" t="s">
        <v>150</v>
      </c>
      <c r="W539">
        <v>50109942</v>
      </c>
      <c r="X539" t="s">
        <v>1051</v>
      </c>
      <c r="Y539">
        <f>VLOOKUP(W539,Sheet2!A:D,3,0)</f>
        <v>50082181</v>
      </c>
      <c r="Z539" t="str">
        <f>VLOOKUP(W539,Sheet2!A:D,4,0)</f>
        <v>PPHP: COPYLENE CH120LN</v>
      </c>
    </row>
    <row r="540" spans="12:26">
      <c r="L540">
        <v>50113108</v>
      </c>
      <c r="M540" t="s">
        <v>1865</v>
      </c>
      <c r="N540">
        <v>50109444</v>
      </c>
      <c r="O540" t="s">
        <v>1047</v>
      </c>
      <c r="U540">
        <v>50113442</v>
      </c>
      <c r="V540" t="s">
        <v>1877</v>
      </c>
      <c r="W540">
        <v>50102096</v>
      </c>
      <c r="X540" t="s">
        <v>897</v>
      </c>
      <c r="Y540">
        <f>VLOOKUP(W540,Sheet2!A:D,3,0)</f>
        <v>50097522</v>
      </c>
      <c r="Z540" t="str">
        <f>VLOOKUP(W540,Sheet2!A:D,4,0)</f>
        <v>PPHP: REPOL H110MAS</v>
      </c>
    </row>
    <row r="541" spans="12:26">
      <c r="L541">
        <v>50113109</v>
      </c>
      <c r="M541" t="s">
        <v>1866</v>
      </c>
      <c r="N541">
        <v>50099333</v>
      </c>
      <c r="O541" t="s">
        <v>853</v>
      </c>
      <c r="U541">
        <v>50113442</v>
      </c>
      <c r="V541" t="s">
        <v>1877</v>
      </c>
      <c r="W541">
        <v>50109444</v>
      </c>
      <c r="X541" t="s">
        <v>1047</v>
      </c>
      <c r="Y541">
        <f>VLOOKUP(W541,Sheet2!A:D,3,0)</f>
        <v>50097522</v>
      </c>
      <c r="Z541" t="str">
        <f>VLOOKUP(W541,Sheet2!A:D,4,0)</f>
        <v>PPHP: REPOL H110MAS</v>
      </c>
    </row>
    <row r="542" spans="12:26">
      <c r="L542">
        <v>50113109</v>
      </c>
      <c r="M542" t="s">
        <v>1866</v>
      </c>
      <c r="N542">
        <v>50109445</v>
      </c>
      <c r="O542" t="s">
        <v>1048</v>
      </c>
      <c r="U542">
        <v>50113461</v>
      </c>
      <c r="V542" t="s">
        <v>91</v>
      </c>
      <c r="W542">
        <v>50102096</v>
      </c>
      <c r="X542" t="s">
        <v>897</v>
      </c>
      <c r="Y542">
        <f>VLOOKUP(W542,Sheet2!A:D,3,0)</f>
        <v>50097522</v>
      </c>
      <c r="Z542" t="str">
        <f>VLOOKUP(W542,Sheet2!A:D,4,0)</f>
        <v>PPHP: REPOL H110MAS</v>
      </c>
    </row>
    <row r="543" spans="12:26">
      <c r="L543">
        <v>50113110</v>
      </c>
      <c r="M543" t="s">
        <v>1867</v>
      </c>
      <c r="N543">
        <v>50099334</v>
      </c>
      <c r="O543" t="s">
        <v>854</v>
      </c>
      <c r="U543">
        <v>50113461</v>
      </c>
      <c r="V543" t="s">
        <v>91</v>
      </c>
      <c r="W543">
        <v>50109444</v>
      </c>
      <c r="X543" t="s">
        <v>1047</v>
      </c>
      <c r="Y543">
        <f>VLOOKUP(W543,Sheet2!A:D,3,0)</f>
        <v>50097522</v>
      </c>
      <c r="Z543" t="str">
        <f>VLOOKUP(W543,Sheet2!A:D,4,0)</f>
        <v>PPHP: REPOL H110MAS</v>
      </c>
    </row>
    <row r="544" spans="12:26">
      <c r="L544">
        <v>50113110</v>
      </c>
      <c r="M544" t="s">
        <v>1867</v>
      </c>
      <c r="N544">
        <v>50109446</v>
      </c>
      <c r="O544" t="s">
        <v>1049</v>
      </c>
      <c r="U544">
        <v>50113469</v>
      </c>
      <c r="V544" t="s">
        <v>1878</v>
      </c>
      <c r="W544">
        <v>50099334</v>
      </c>
      <c r="X544" t="s">
        <v>854</v>
      </c>
      <c r="Y544">
        <f>VLOOKUP(W544,Sheet2!A:D,3,0)</f>
        <v>50097522</v>
      </c>
      <c r="Z544" t="str">
        <f>VLOOKUP(W544,Sheet2!A:D,4,0)</f>
        <v>PPHP: REPOL H110MAS</v>
      </c>
    </row>
    <row r="545" spans="12:26">
      <c r="L545">
        <v>50113111</v>
      </c>
      <c r="M545" t="s">
        <v>1868</v>
      </c>
      <c r="N545">
        <v>50102096</v>
      </c>
      <c r="O545" t="s">
        <v>897</v>
      </c>
      <c r="U545">
        <v>50113469</v>
      </c>
      <c r="V545" t="s">
        <v>1878</v>
      </c>
      <c r="W545">
        <v>50113467</v>
      </c>
      <c r="X545" t="s">
        <v>1165</v>
      </c>
      <c r="Y545">
        <f>VLOOKUP(W545,Sheet2!A:D,3,0)</f>
        <v>50097522</v>
      </c>
      <c r="Z545" t="str">
        <f>VLOOKUP(W545,Sheet2!A:D,4,0)</f>
        <v>PPHP: REPOL H110MAS</v>
      </c>
    </row>
    <row r="546" spans="12:26">
      <c r="L546">
        <v>50113111</v>
      </c>
      <c r="M546" t="s">
        <v>1868</v>
      </c>
      <c r="N546">
        <v>50109444</v>
      </c>
      <c r="O546" t="s">
        <v>1047</v>
      </c>
      <c r="U546">
        <v>50113470</v>
      </c>
      <c r="V546" t="s">
        <v>1879</v>
      </c>
      <c r="W546">
        <v>50099333</v>
      </c>
      <c r="X546" t="s">
        <v>853</v>
      </c>
      <c r="Y546">
        <f>VLOOKUP(W546,Sheet2!A:D,3,0)</f>
        <v>50097522</v>
      </c>
      <c r="Z546" t="str">
        <f>VLOOKUP(W546,Sheet2!A:D,4,0)</f>
        <v>PPHP: REPOL H110MAS</v>
      </c>
    </row>
    <row r="547" spans="12:26">
      <c r="L547">
        <v>50113112</v>
      </c>
      <c r="M547" t="s">
        <v>1869</v>
      </c>
      <c r="N547">
        <v>50099333</v>
      </c>
      <c r="O547" t="s">
        <v>853</v>
      </c>
      <c r="U547">
        <v>50113470</v>
      </c>
      <c r="V547" t="s">
        <v>1879</v>
      </c>
      <c r="W547">
        <v>50113468</v>
      </c>
      <c r="X547" t="s">
        <v>1166</v>
      </c>
      <c r="Y547">
        <f>VLOOKUP(W547,Sheet2!A:D,3,0)</f>
        <v>50097522</v>
      </c>
      <c r="Z547" t="str">
        <f>VLOOKUP(W547,Sheet2!A:D,4,0)</f>
        <v>PPHP: REPOL H110MAS</v>
      </c>
    </row>
    <row r="548" spans="12:26">
      <c r="L548">
        <v>50113112</v>
      </c>
      <c r="M548" t="s">
        <v>1869</v>
      </c>
      <c r="N548">
        <v>50109445</v>
      </c>
      <c r="O548" t="s">
        <v>1048</v>
      </c>
      <c r="U548">
        <v>50113492</v>
      </c>
      <c r="V548" t="s">
        <v>1880</v>
      </c>
      <c r="W548">
        <v>50102095</v>
      </c>
      <c r="X548" t="s">
        <v>896</v>
      </c>
      <c r="Y548">
        <f>VLOOKUP(W548,Sheet2!A:D,3,0)</f>
        <v>50097522</v>
      </c>
      <c r="Z548" t="str">
        <f>VLOOKUP(W548,Sheet2!A:D,4,0)</f>
        <v>PPHP: REPOL H110MAS</v>
      </c>
    </row>
    <row r="549" spans="12:26">
      <c r="L549">
        <v>50113113</v>
      </c>
      <c r="M549" t="s">
        <v>1870</v>
      </c>
      <c r="N549">
        <v>50099334</v>
      </c>
      <c r="O549" t="s">
        <v>854</v>
      </c>
      <c r="U549">
        <v>50113492</v>
      </c>
      <c r="V549" t="s">
        <v>1880</v>
      </c>
      <c r="W549">
        <v>50102096</v>
      </c>
      <c r="X549" t="s">
        <v>897</v>
      </c>
      <c r="Y549">
        <f>VLOOKUP(W549,Sheet2!A:D,3,0)</f>
        <v>50097522</v>
      </c>
      <c r="Z549" t="str">
        <f>VLOOKUP(W549,Sheet2!A:D,4,0)</f>
        <v>PPHP: REPOL H110MAS</v>
      </c>
    </row>
    <row r="550" spans="12:26">
      <c r="L550">
        <v>50113113</v>
      </c>
      <c r="M550" t="s">
        <v>1870</v>
      </c>
      <c r="N550">
        <v>50109446</v>
      </c>
      <c r="O550" t="s">
        <v>1049</v>
      </c>
      <c r="U550">
        <v>50113537</v>
      </c>
      <c r="V550" t="s">
        <v>1882</v>
      </c>
      <c r="W550">
        <v>50104782</v>
      </c>
      <c r="X550" t="s">
        <v>1771</v>
      </c>
      <c r="Y550" t="e">
        <f>VLOOKUP(W550,Sheet2!A:D,3,0)</f>
        <v>#N/A</v>
      </c>
      <c r="Z550" t="e">
        <f>VLOOKUP(W550,Sheet2!A:D,4,0)</f>
        <v>#N/A</v>
      </c>
    </row>
    <row r="551" spans="12:26">
      <c r="L551">
        <v>50113251</v>
      </c>
      <c r="M551" t="s">
        <v>1871</v>
      </c>
      <c r="N551">
        <v>50104782</v>
      </c>
      <c r="O551" t="s">
        <v>1771</v>
      </c>
      <c r="U551">
        <v>50113537</v>
      </c>
      <c r="V551" t="s">
        <v>1882</v>
      </c>
      <c r="W551">
        <v>50104883</v>
      </c>
      <c r="X551" t="s">
        <v>932</v>
      </c>
      <c r="Y551">
        <f>VLOOKUP(W551,Sheet2!A:D,3,0)</f>
        <v>50104077</v>
      </c>
      <c r="Z551" t="str">
        <f>VLOOKUP(W551,Sheet2!A:D,4,0)</f>
        <v>ABS: NOVODUR HD M203FC</v>
      </c>
    </row>
    <row r="552" spans="12:26">
      <c r="L552">
        <v>50113251</v>
      </c>
      <c r="M552" t="s">
        <v>1871</v>
      </c>
      <c r="N552">
        <v>50104883</v>
      </c>
      <c r="O552" t="s">
        <v>932</v>
      </c>
      <c r="U552">
        <v>50113537</v>
      </c>
      <c r="V552" t="s">
        <v>1882</v>
      </c>
      <c r="W552">
        <v>50104909</v>
      </c>
      <c r="X552" t="s">
        <v>934</v>
      </c>
      <c r="Y552">
        <f>VLOOKUP(W552,Sheet2!A:D,3,0)</f>
        <v>50104077</v>
      </c>
      <c r="Z552" t="str">
        <f>VLOOKUP(W552,Sheet2!A:D,4,0)</f>
        <v>ABS: NOVODUR HD M203FC</v>
      </c>
    </row>
    <row r="553" spans="12:26">
      <c r="L553">
        <v>50113251</v>
      </c>
      <c r="M553" t="s">
        <v>1871</v>
      </c>
      <c r="N553">
        <v>50104909</v>
      </c>
      <c r="O553" t="s">
        <v>934</v>
      </c>
      <c r="U553">
        <v>50113537</v>
      </c>
      <c r="V553" t="s">
        <v>1882</v>
      </c>
      <c r="W553">
        <v>50105059</v>
      </c>
      <c r="X553" t="s">
        <v>946</v>
      </c>
      <c r="Y553">
        <f>VLOOKUP(W553,Sheet2!A:D,3,0)</f>
        <v>50104077</v>
      </c>
      <c r="Z553" t="str">
        <f>VLOOKUP(W553,Sheet2!A:D,4,0)</f>
        <v>ABS: NOVODUR HD M203FC</v>
      </c>
    </row>
    <row r="554" spans="12:26">
      <c r="L554">
        <v>50113251</v>
      </c>
      <c r="M554" t="s">
        <v>1871</v>
      </c>
      <c r="N554">
        <v>50105059</v>
      </c>
      <c r="O554" t="s">
        <v>946</v>
      </c>
      <c r="U554">
        <v>50113537</v>
      </c>
      <c r="V554" t="s">
        <v>1882</v>
      </c>
      <c r="W554">
        <v>50105081</v>
      </c>
      <c r="X554" t="s">
        <v>948</v>
      </c>
      <c r="Y554">
        <f>VLOOKUP(W554,Sheet2!A:D,3,0)</f>
        <v>50104078</v>
      </c>
      <c r="Z554" t="str">
        <f>VLOOKUP(W554,Sheet2!A:D,4,0)</f>
        <v>MABS: TERLUX HD 2812</v>
      </c>
    </row>
    <row r="555" spans="12:26">
      <c r="L555">
        <v>50113251</v>
      </c>
      <c r="M555" t="s">
        <v>1871</v>
      </c>
      <c r="N555">
        <v>50105504</v>
      </c>
      <c r="O555" t="s">
        <v>971</v>
      </c>
      <c r="U555">
        <v>50113537</v>
      </c>
      <c r="V555" t="s">
        <v>1882</v>
      </c>
      <c r="W555">
        <v>50106459</v>
      </c>
      <c r="X555" t="s">
        <v>1774</v>
      </c>
      <c r="Y555" t="e">
        <f>VLOOKUP(W555,Sheet2!A:D,3,0)</f>
        <v>#N/A</v>
      </c>
      <c r="Z555" t="e">
        <f>VLOOKUP(W555,Sheet2!A:D,4,0)</f>
        <v>#N/A</v>
      </c>
    </row>
    <row r="556" spans="12:26">
      <c r="L556">
        <v>50113251</v>
      </c>
      <c r="M556" t="s">
        <v>1871</v>
      </c>
      <c r="N556">
        <v>50106459</v>
      </c>
      <c r="O556" t="s">
        <v>1774</v>
      </c>
      <c r="U556">
        <v>50113537</v>
      </c>
      <c r="V556" t="s">
        <v>1882</v>
      </c>
      <c r="W556">
        <v>50113536</v>
      </c>
      <c r="X556" t="s">
        <v>1881</v>
      </c>
      <c r="Y556" t="e">
        <f>VLOOKUP(W556,Sheet2!A:D,3,0)</f>
        <v>#N/A</v>
      </c>
      <c r="Z556" t="e">
        <f>VLOOKUP(W556,Sheet2!A:D,4,0)</f>
        <v>#N/A</v>
      </c>
    </row>
    <row r="557" spans="12:26">
      <c r="L557">
        <v>50113251</v>
      </c>
      <c r="M557" t="s">
        <v>1871</v>
      </c>
      <c r="N557">
        <v>50113252</v>
      </c>
      <c r="O557" t="s">
        <v>1872</v>
      </c>
      <c r="U557">
        <v>50113729</v>
      </c>
      <c r="V557" t="s">
        <v>105</v>
      </c>
      <c r="W557">
        <v>50102096</v>
      </c>
      <c r="X557" t="s">
        <v>897</v>
      </c>
      <c r="Y557">
        <f>VLOOKUP(W557,Sheet2!A:D,3,0)</f>
        <v>50097522</v>
      </c>
      <c r="Z557" t="str">
        <f>VLOOKUP(W557,Sheet2!A:D,4,0)</f>
        <v>PPHP: REPOL H110MAS</v>
      </c>
    </row>
    <row r="558" spans="12:26">
      <c r="L558">
        <v>50113252</v>
      </c>
      <c r="M558" t="s">
        <v>1872</v>
      </c>
      <c r="N558">
        <v>50105026</v>
      </c>
      <c r="O558" t="s">
        <v>944</v>
      </c>
      <c r="U558">
        <v>50113729</v>
      </c>
      <c r="V558" t="s">
        <v>105</v>
      </c>
      <c r="W558">
        <v>50109444</v>
      </c>
      <c r="X558" t="s">
        <v>1047</v>
      </c>
      <c r="Y558">
        <f>VLOOKUP(W558,Sheet2!A:D,3,0)</f>
        <v>50097522</v>
      </c>
      <c r="Z558" t="str">
        <f>VLOOKUP(W558,Sheet2!A:D,4,0)</f>
        <v>PPHP: REPOL H110MAS</v>
      </c>
    </row>
    <row r="559" spans="12:26">
      <c r="L559">
        <v>50113264</v>
      </c>
      <c r="M559" t="s">
        <v>1873</v>
      </c>
      <c r="N559">
        <v>50102096</v>
      </c>
      <c r="O559" t="s">
        <v>897</v>
      </c>
      <c r="U559">
        <v>50114027</v>
      </c>
      <c r="V559" t="s">
        <v>1883</v>
      </c>
      <c r="W559">
        <v>50102095</v>
      </c>
      <c r="X559" t="s">
        <v>896</v>
      </c>
      <c r="Y559">
        <f>VLOOKUP(W559,Sheet2!A:D,3,0)</f>
        <v>50097522</v>
      </c>
      <c r="Z559" t="str">
        <f>VLOOKUP(W559,Sheet2!A:D,4,0)</f>
        <v>PPHP: REPOL H110MAS</v>
      </c>
    </row>
    <row r="560" spans="12:26">
      <c r="L560">
        <v>50113264</v>
      </c>
      <c r="M560" t="s">
        <v>1873</v>
      </c>
      <c r="N560">
        <v>50109444</v>
      </c>
      <c r="O560" t="s">
        <v>1047</v>
      </c>
      <c r="U560">
        <v>50114027</v>
      </c>
      <c r="V560" t="s">
        <v>1883</v>
      </c>
      <c r="W560">
        <v>50102096</v>
      </c>
      <c r="X560" t="s">
        <v>897</v>
      </c>
      <c r="Y560">
        <f>VLOOKUP(W560,Sheet2!A:D,3,0)</f>
        <v>50097522</v>
      </c>
      <c r="Z560" t="str">
        <f>VLOOKUP(W560,Sheet2!A:D,4,0)</f>
        <v>PPHP: REPOL H110MAS</v>
      </c>
    </row>
    <row r="561" spans="12:26">
      <c r="L561">
        <v>50113265</v>
      </c>
      <c r="M561" t="s">
        <v>1874</v>
      </c>
      <c r="N561">
        <v>50102096</v>
      </c>
      <c r="O561" t="s">
        <v>897</v>
      </c>
      <c r="U561">
        <v>50114184</v>
      </c>
      <c r="V561" t="s">
        <v>324</v>
      </c>
      <c r="W561">
        <v>50114186</v>
      </c>
      <c r="X561" t="s">
        <v>1205</v>
      </c>
      <c r="Y561">
        <f>VLOOKUP(W561,Sheet2!A:D,3,0)</f>
        <v>50113127</v>
      </c>
      <c r="Z561" t="str">
        <f>VLOOKUP(W561,Sheet2!A:D,4,0)</f>
        <v>RELENE HD50MA180</v>
      </c>
    </row>
    <row r="562" spans="12:26">
      <c r="L562">
        <v>50113265</v>
      </c>
      <c r="M562" t="s">
        <v>1874</v>
      </c>
      <c r="N562">
        <v>50109444</v>
      </c>
      <c r="O562" t="s">
        <v>1047</v>
      </c>
      <c r="U562">
        <v>50114184</v>
      </c>
      <c r="V562" t="s">
        <v>324</v>
      </c>
      <c r="W562">
        <v>50114188</v>
      </c>
      <c r="X562" t="s">
        <v>1207</v>
      </c>
      <c r="Y562">
        <f>VLOOKUP(W562,Sheet2!A:D,3,0)</f>
        <v>50097522</v>
      </c>
      <c r="Z562" t="str">
        <f>VLOOKUP(W562,Sheet2!A:D,4,0)</f>
        <v>PPHP: REPOL H110MAS</v>
      </c>
    </row>
    <row r="563" spans="12:26">
      <c r="L563">
        <v>50113267</v>
      </c>
      <c r="M563" t="s">
        <v>1875</v>
      </c>
      <c r="N563">
        <v>50102096</v>
      </c>
      <c r="O563" t="s">
        <v>897</v>
      </c>
      <c r="U563">
        <v>50114377</v>
      </c>
      <c r="V563" t="s">
        <v>1890</v>
      </c>
      <c r="W563">
        <v>50104782</v>
      </c>
      <c r="X563" t="s">
        <v>1771</v>
      </c>
      <c r="Y563" t="e">
        <f>VLOOKUP(W563,Sheet2!A:D,3,0)</f>
        <v>#N/A</v>
      </c>
      <c r="Z563" t="e">
        <f>VLOOKUP(W563,Sheet2!A:D,4,0)</f>
        <v>#N/A</v>
      </c>
    </row>
    <row r="564" spans="12:26">
      <c r="L564">
        <v>50113267</v>
      </c>
      <c r="M564" t="s">
        <v>1875</v>
      </c>
      <c r="N564">
        <v>50109444</v>
      </c>
      <c r="O564" t="s">
        <v>1047</v>
      </c>
      <c r="U564">
        <v>50114377</v>
      </c>
      <c r="V564" t="s">
        <v>1890</v>
      </c>
      <c r="W564">
        <v>50105081</v>
      </c>
      <c r="X564" t="s">
        <v>948</v>
      </c>
      <c r="Y564">
        <f>VLOOKUP(W564,Sheet2!A:D,3,0)</f>
        <v>50104078</v>
      </c>
      <c r="Z564" t="str">
        <f>VLOOKUP(W564,Sheet2!A:D,4,0)</f>
        <v>MABS: TERLUX HD 2812</v>
      </c>
    </row>
    <row r="565" spans="12:26">
      <c r="L565">
        <v>50113314</v>
      </c>
      <c r="M565" t="s">
        <v>150</v>
      </c>
      <c r="N565">
        <v>50099334</v>
      </c>
      <c r="O565" t="s">
        <v>854</v>
      </c>
      <c r="U565">
        <v>50114377</v>
      </c>
      <c r="V565" t="s">
        <v>1890</v>
      </c>
      <c r="W565">
        <v>50106459</v>
      </c>
      <c r="X565" t="s">
        <v>1774</v>
      </c>
      <c r="Y565" t="e">
        <f>VLOOKUP(W565,Sheet2!A:D,3,0)</f>
        <v>#N/A</v>
      </c>
      <c r="Z565" t="e">
        <f>VLOOKUP(W565,Sheet2!A:D,4,0)</f>
        <v>#N/A</v>
      </c>
    </row>
    <row r="566" spans="12:26">
      <c r="L566">
        <v>50113314</v>
      </c>
      <c r="M566" t="s">
        <v>150</v>
      </c>
      <c r="N566">
        <v>50109942</v>
      </c>
      <c r="O566" t="s">
        <v>1051</v>
      </c>
      <c r="U566">
        <v>50114377</v>
      </c>
      <c r="V566" t="s">
        <v>1890</v>
      </c>
      <c r="W566">
        <v>50109035</v>
      </c>
      <c r="X566" t="s">
        <v>1039</v>
      </c>
      <c r="Y566">
        <f>VLOOKUP(W566,Sheet2!A:D,3,0)</f>
        <v>50097522</v>
      </c>
      <c r="Z566" t="str">
        <f>VLOOKUP(W566,Sheet2!A:D,4,0)</f>
        <v>PPHP: REPOL H110MAS</v>
      </c>
    </row>
    <row r="567" spans="12:26">
      <c r="L567">
        <v>50113440</v>
      </c>
      <c r="M567" t="s">
        <v>1876</v>
      </c>
      <c r="N567">
        <v>50113439</v>
      </c>
      <c r="O567" t="s">
        <v>1163</v>
      </c>
      <c r="U567">
        <v>50114377</v>
      </c>
      <c r="V567" t="s">
        <v>1890</v>
      </c>
      <c r="W567">
        <v>50109036</v>
      </c>
      <c r="X567" t="s">
        <v>1040</v>
      </c>
      <c r="Y567">
        <f>VLOOKUP(W567,Sheet2!A:D,3,0)</f>
        <v>50097522</v>
      </c>
      <c r="Z567" t="str">
        <f>VLOOKUP(W567,Sheet2!A:D,4,0)</f>
        <v>PPHP: REPOL H110MAS</v>
      </c>
    </row>
    <row r="568" spans="12:26">
      <c r="L568">
        <v>50113440</v>
      </c>
      <c r="M568" t="s">
        <v>1876</v>
      </c>
      <c r="N568">
        <v>50114165</v>
      </c>
      <c r="O568" t="s">
        <v>1204</v>
      </c>
      <c r="U568">
        <v>50114377</v>
      </c>
      <c r="V568" t="s">
        <v>1890</v>
      </c>
      <c r="W568">
        <v>50109037</v>
      </c>
      <c r="X568" t="s">
        <v>1041</v>
      </c>
      <c r="Y568">
        <f>VLOOKUP(W568,Sheet2!A:D,3,0)</f>
        <v>50097522</v>
      </c>
      <c r="Z568" t="str">
        <f>VLOOKUP(W568,Sheet2!A:D,4,0)</f>
        <v>PPHP: REPOL H110MAS</v>
      </c>
    </row>
    <row r="569" spans="12:26">
      <c r="L569">
        <v>50113442</v>
      </c>
      <c r="M569" t="s">
        <v>1877</v>
      </c>
      <c r="N569">
        <v>50102096</v>
      </c>
      <c r="O569" t="s">
        <v>897</v>
      </c>
      <c r="U569">
        <v>50114377</v>
      </c>
      <c r="V569" t="s">
        <v>1890</v>
      </c>
      <c r="W569">
        <v>50109039</v>
      </c>
      <c r="X569" t="s">
        <v>1043</v>
      </c>
      <c r="Y569">
        <f>VLOOKUP(W569,Sheet2!A:D,3,0)</f>
        <v>50097522</v>
      </c>
      <c r="Z569" t="str">
        <f>VLOOKUP(W569,Sheet2!A:D,4,0)</f>
        <v>PPHP: REPOL H110MAS</v>
      </c>
    </row>
    <row r="570" spans="12:26">
      <c r="L570">
        <v>50113442</v>
      </c>
      <c r="M570" t="s">
        <v>1877</v>
      </c>
      <c r="N570">
        <v>50109444</v>
      </c>
      <c r="O570" t="s">
        <v>1047</v>
      </c>
      <c r="U570">
        <v>50114463</v>
      </c>
      <c r="V570" t="s">
        <v>1892</v>
      </c>
      <c r="W570">
        <v>50104782</v>
      </c>
      <c r="X570" t="s">
        <v>1771</v>
      </c>
      <c r="Y570" t="e">
        <f>VLOOKUP(W570,Sheet2!A:D,3,0)</f>
        <v>#N/A</v>
      </c>
      <c r="Z570" t="e">
        <f>VLOOKUP(W570,Sheet2!A:D,4,0)</f>
        <v>#N/A</v>
      </c>
    </row>
    <row r="571" spans="12:26">
      <c r="L571">
        <v>50113461</v>
      </c>
      <c r="M571" t="s">
        <v>91</v>
      </c>
      <c r="N571">
        <v>50102096</v>
      </c>
      <c r="O571" t="s">
        <v>897</v>
      </c>
      <c r="U571">
        <v>50114463</v>
      </c>
      <c r="V571" t="s">
        <v>1892</v>
      </c>
      <c r="W571">
        <v>50104883</v>
      </c>
      <c r="X571" t="s">
        <v>932</v>
      </c>
      <c r="Y571">
        <f>VLOOKUP(W571,Sheet2!A:D,3,0)</f>
        <v>50104077</v>
      </c>
      <c r="Z571" t="str">
        <f>VLOOKUP(W571,Sheet2!A:D,4,0)</f>
        <v>ABS: NOVODUR HD M203FC</v>
      </c>
    </row>
    <row r="572" spans="12:26">
      <c r="L572">
        <v>50113461</v>
      </c>
      <c r="M572" t="s">
        <v>91</v>
      </c>
      <c r="N572">
        <v>50109444</v>
      </c>
      <c r="O572" t="s">
        <v>1047</v>
      </c>
      <c r="U572">
        <v>50114463</v>
      </c>
      <c r="V572" t="s">
        <v>1892</v>
      </c>
      <c r="W572">
        <v>50104909</v>
      </c>
      <c r="X572" t="s">
        <v>934</v>
      </c>
      <c r="Y572">
        <f>VLOOKUP(W572,Sheet2!A:D,3,0)</f>
        <v>50104077</v>
      </c>
      <c r="Z572" t="str">
        <f>VLOOKUP(W572,Sheet2!A:D,4,0)</f>
        <v>ABS: NOVODUR HD M203FC</v>
      </c>
    </row>
    <row r="573" spans="12:26">
      <c r="L573">
        <v>50113469</v>
      </c>
      <c r="M573" t="s">
        <v>1878</v>
      </c>
      <c r="N573">
        <v>50099334</v>
      </c>
      <c r="O573" t="s">
        <v>854</v>
      </c>
      <c r="U573">
        <v>50114463</v>
      </c>
      <c r="V573" t="s">
        <v>1892</v>
      </c>
      <c r="W573">
        <v>50105059</v>
      </c>
      <c r="X573" t="s">
        <v>946</v>
      </c>
      <c r="Y573">
        <f>VLOOKUP(W573,Sheet2!A:D,3,0)</f>
        <v>50104077</v>
      </c>
      <c r="Z573" t="str">
        <f>VLOOKUP(W573,Sheet2!A:D,4,0)</f>
        <v>ABS: NOVODUR HD M203FC</v>
      </c>
    </row>
    <row r="574" spans="12:26">
      <c r="L574">
        <v>50113469</v>
      </c>
      <c r="M574" t="s">
        <v>1878</v>
      </c>
      <c r="N574">
        <v>50113467</v>
      </c>
      <c r="O574" t="s">
        <v>1165</v>
      </c>
      <c r="U574">
        <v>50114463</v>
      </c>
      <c r="V574" t="s">
        <v>1892</v>
      </c>
      <c r="W574">
        <v>50105081</v>
      </c>
      <c r="X574" t="s">
        <v>948</v>
      </c>
      <c r="Y574">
        <f>VLOOKUP(W574,Sheet2!A:D,3,0)</f>
        <v>50104078</v>
      </c>
      <c r="Z574" t="str">
        <f>VLOOKUP(W574,Sheet2!A:D,4,0)</f>
        <v>MABS: TERLUX HD 2812</v>
      </c>
    </row>
    <row r="575" spans="12:26">
      <c r="L575">
        <v>50113470</v>
      </c>
      <c r="M575" t="s">
        <v>1879</v>
      </c>
      <c r="N575">
        <v>50099333</v>
      </c>
      <c r="O575" t="s">
        <v>853</v>
      </c>
      <c r="U575">
        <v>50114463</v>
      </c>
      <c r="V575" t="s">
        <v>1892</v>
      </c>
      <c r="W575">
        <v>50106459</v>
      </c>
      <c r="X575" t="s">
        <v>1774</v>
      </c>
      <c r="Y575" t="e">
        <f>VLOOKUP(W575,Sheet2!A:D,3,0)</f>
        <v>#N/A</v>
      </c>
      <c r="Z575" t="e">
        <f>VLOOKUP(W575,Sheet2!A:D,4,0)</f>
        <v>#N/A</v>
      </c>
    </row>
    <row r="576" spans="12:26">
      <c r="L576">
        <v>50113470</v>
      </c>
      <c r="M576" t="s">
        <v>1879</v>
      </c>
      <c r="N576">
        <v>50113468</v>
      </c>
      <c r="O576" t="s">
        <v>1166</v>
      </c>
      <c r="U576">
        <v>50114463</v>
      </c>
      <c r="V576" t="s">
        <v>1892</v>
      </c>
      <c r="W576">
        <v>50114464</v>
      </c>
      <c r="X576" t="s">
        <v>1893</v>
      </c>
      <c r="Y576" t="e">
        <f>VLOOKUP(W576,Sheet2!A:D,3,0)</f>
        <v>#N/A</v>
      </c>
      <c r="Z576" t="e">
        <f>VLOOKUP(W576,Sheet2!A:D,4,0)</f>
        <v>#N/A</v>
      </c>
    </row>
    <row r="577" spans="12:26">
      <c r="L577">
        <v>50113492</v>
      </c>
      <c r="M577" t="s">
        <v>1880</v>
      </c>
      <c r="N577">
        <v>50102095</v>
      </c>
      <c r="O577" t="s">
        <v>896</v>
      </c>
      <c r="U577">
        <v>50114596</v>
      </c>
      <c r="V577" t="s">
        <v>1895</v>
      </c>
      <c r="W577">
        <v>50104782</v>
      </c>
      <c r="X577" t="s">
        <v>1771</v>
      </c>
      <c r="Y577" t="e">
        <f>VLOOKUP(W577,Sheet2!A:D,3,0)</f>
        <v>#N/A</v>
      </c>
      <c r="Z577" t="e">
        <f>VLOOKUP(W577,Sheet2!A:D,4,0)</f>
        <v>#N/A</v>
      </c>
    </row>
    <row r="578" spans="12:26">
      <c r="L578">
        <v>50113492</v>
      </c>
      <c r="M578" t="s">
        <v>1880</v>
      </c>
      <c r="N578">
        <v>50102096</v>
      </c>
      <c r="O578" t="s">
        <v>897</v>
      </c>
      <c r="U578">
        <v>50114596</v>
      </c>
      <c r="V578" t="s">
        <v>1895</v>
      </c>
      <c r="W578">
        <v>50104883</v>
      </c>
      <c r="X578" t="s">
        <v>932</v>
      </c>
      <c r="Y578">
        <f>VLOOKUP(W578,Sheet2!A:D,3,0)</f>
        <v>50104077</v>
      </c>
      <c r="Z578" t="str">
        <f>VLOOKUP(W578,Sheet2!A:D,4,0)</f>
        <v>ABS: NOVODUR HD M203FC</v>
      </c>
    </row>
    <row r="579" spans="12:26">
      <c r="L579">
        <v>50113536</v>
      </c>
      <c r="M579" t="s">
        <v>1881</v>
      </c>
      <c r="N579">
        <v>50105026</v>
      </c>
      <c r="O579" t="s">
        <v>944</v>
      </c>
      <c r="U579">
        <v>50114596</v>
      </c>
      <c r="V579" t="s">
        <v>1895</v>
      </c>
      <c r="W579">
        <v>50104909</v>
      </c>
      <c r="X579" t="s">
        <v>934</v>
      </c>
      <c r="Y579">
        <f>VLOOKUP(W579,Sheet2!A:D,3,0)</f>
        <v>50104077</v>
      </c>
      <c r="Z579" t="str">
        <f>VLOOKUP(W579,Sheet2!A:D,4,0)</f>
        <v>ABS: NOVODUR HD M203FC</v>
      </c>
    </row>
    <row r="580" spans="12:26">
      <c r="L580">
        <v>50113537</v>
      </c>
      <c r="M580" t="s">
        <v>1882</v>
      </c>
      <c r="N580">
        <v>50104782</v>
      </c>
      <c r="O580" t="s">
        <v>1771</v>
      </c>
      <c r="U580">
        <v>50114596</v>
      </c>
      <c r="V580" t="s">
        <v>1895</v>
      </c>
      <c r="W580">
        <v>50105059</v>
      </c>
      <c r="X580" t="s">
        <v>946</v>
      </c>
      <c r="Y580">
        <f>VLOOKUP(W580,Sheet2!A:D,3,0)</f>
        <v>50104077</v>
      </c>
      <c r="Z580" t="str">
        <f>VLOOKUP(W580,Sheet2!A:D,4,0)</f>
        <v>ABS: NOVODUR HD M203FC</v>
      </c>
    </row>
    <row r="581" spans="12:26">
      <c r="L581">
        <v>50113537</v>
      </c>
      <c r="M581" t="s">
        <v>1882</v>
      </c>
      <c r="N581">
        <v>50104883</v>
      </c>
      <c r="O581" t="s">
        <v>932</v>
      </c>
      <c r="U581">
        <v>50114596</v>
      </c>
      <c r="V581" t="s">
        <v>1895</v>
      </c>
      <c r="W581">
        <v>50105081</v>
      </c>
      <c r="X581" t="s">
        <v>948</v>
      </c>
      <c r="Y581">
        <f>VLOOKUP(W581,Sheet2!A:D,3,0)</f>
        <v>50104078</v>
      </c>
      <c r="Z581" t="str">
        <f>VLOOKUP(W581,Sheet2!A:D,4,0)</f>
        <v>MABS: TERLUX HD 2812</v>
      </c>
    </row>
    <row r="582" spans="12:26">
      <c r="L582">
        <v>50113537</v>
      </c>
      <c r="M582" t="s">
        <v>1882</v>
      </c>
      <c r="N582">
        <v>50104909</v>
      </c>
      <c r="O582" t="s">
        <v>934</v>
      </c>
      <c r="U582">
        <v>50114596</v>
      </c>
      <c r="V582" t="s">
        <v>1895</v>
      </c>
      <c r="W582">
        <v>50114597</v>
      </c>
      <c r="X582" t="s">
        <v>1896</v>
      </c>
      <c r="Y582" t="e">
        <f>VLOOKUP(W582,Sheet2!A:D,3,0)</f>
        <v>#N/A</v>
      </c>
      <c r="Z582" t="e">
        <f>VLOOKUP(W582,Sheet2!A:D,4,0)</f>
        <v>#N/A</v>
      </c>
    </row>
    <row r="583" spans="12:26">
      <c r="L583">
        <v>50113537</v>
      </c>
      <c r="M583" t="s">
        <v>1882</v>
      </c>
      <c r="N583">
        <v>50105059</v>
      </c>
      <c r="O583" t="s">
        <v>946</v>
      </c>
      <c r="U583">
        <v>50114673</v>
      </c>
      <c r="V583" t="s">
        <v>1897</v>
      </c>
      <c r="W583">
        <v>50104541</v>
      </c>
      <c r="X583" t="s">
        <v>924</v>
      </c>
      <c r="Y583">
        <f>VLOOKUP(W583,Sheet2!A:D,3,0)</f>
        <v>50103359</v>
      </c>
      <c r="Z583" t="str">
        <f>VLOOKUP(W583,Sheet2!A:D,4,0)</f>
        <v>HDPE: MARLEX 9012</v>
      </c>
    </row>
    <row r="584" spans="12:26">
      <c r="L584">
        <v>50113537</v>
      </c>
      <c r="M584" t="s">
        <v>1882</v>
      </c>
      <c r="N584">
        <v>50105081</v>
      </c>
      <c r="O584" t="s">
        <v>948</v>
      </c>
      <c r="U584">
        <v>50114673</v>
      </c>
      <c r="V584" t="s">
        <v>1897</v>
      </c>
      <c r="W584">
        <v>50104543</v>
      </c>
      <c r="X584" t="s">
        <v>927</v>
      </c>
      <c r="Y584">
        <f>VLOOKUP(W584,Sheet2!A:D,3,0)</f>
        <v>50103359</v>
      </c>
      <c r="Z584" t="str">
        <f>VLOOKUP(W584,Sheet2!A:D,4,0)</f>
        <v>HDPE: MARLEX 9012</v>
      </c>
    </row>
    <row r="585" spans="12:26">
      <c r="L585">
        <v>50113537</v>
      </c>
      <c r="M585" t="s">
        <v>1882</v>
      </c>
      <c r="N585">
        <v>50106459</v>
      </c>
      <c r="O585" t="s">
        <v>1774</v>
      </c>
      <c r="U585">
        <v>50114673</v>
      </c>
      <c r="V585" t="s">
        <v>1897</v>
      </c>
      <c r="W585">
        <v>50104544</v>
      </c>
      <c r="X585" t="s">
        <v>928</v>
      </c>
      <c r="Y585">
        <f>VLOOKUP(W585,Sheet2!A:D,3,0)</f>
        <v>50103359</v>
      </c>
      <c r="Z585" t="str">
        <f>VLOOKUP(W585,Sheet2!A:D,4,0)</f>
        <v>HDPE: MARLEX 9012</v>
      </c>
    </row>
    <row r="586" spans="12:26">
      <c r="L586">
        <v>50113537</v>
      </c>
      <c r="M586" t="s">
        <v>1882</v>
      </c>
      <c r="N586">
        <v>50113536</v>
      </c>
      <c r="O586" t="s">
        <v>1881</v>
      </c>
      <c r="U586">
        <v>50114673</v>
      </c>
      <c r="V586" t="s">
        <v>1897</v>
      </c>
      <c r="W586">
        <v>50114676</v>
      </c>
      <c r="X586" t="s">
        <v>1228</v>
      </c>
      <c r="Y586">
        <f>VLOOKUP(W586,Sheet2!A:D,3,0)</f>
        <v>50103359</v>
      </c>
      <c r="Z586" t="str">
        <f>VLOOKUP(W586,Sheet2!A:D,4,0)</f>
        <v>HDPE: MARLEX 9012</v>
      </c>
    </row>
    <row r="587" spans="12:26">
      <c r="L587">
        <v>50113729</v>
      </c>
      <c r="M587" t="s">
        <v>105</v>
      </c>
      <c r="N587">
        <v>50102096</v>
      </c>
      <c r="O587" t="s">
        <v>897</v>
      </c>
      <c r="U587">
        <v>50114838</v>
      </c>
      <c r="V587" t="s">
        <v>1898</v>
      </c>
      <c r="W587">
        <v>50099204</v>
      </c>
      <c r="X587" t="s">
        <v>847</v>
      </c>
      <c r="Y587">
        <f>VLOOKUP(W587,Sheet2!A:D,3,0)</f>
        <v>50097522</v>
      </c>
      <c r="Z587" t="str">
        <f>VLOOKUP(W587,Sheet2!A:D,4,0)</f>
        <v>PPHP: REPOL H110MAS</v>
      </c>
    </row>
    <row r="588" spans="12:26">
      <c r="L588">
        <v>50113729</v>
      </c>
      <c r="M588" t="s">
        <v>105</v>
      </c>
      <c r="N588">
        <v>50109444</v>
      </c>
      <c r="O588" t="s">
        <v>1047</v>
      </c>
      <c r="U588">
        <v>50114838</v>
      </c>
      <c r="V588" t="s">
        <v>1898</v>
      </c>
      <c r="W588">
        <v>50099333</v>
      </c>
      <c r="X588" t="s">
        <v>853</v>
      </c>
      <c r="Y588">
        <f>VLOOKUP(W588,Sheet2!A:D,3,0)</f>
        <v>50097522</v>
      </c>
      <c r="Z588" t="str">
        <f>VLOOKUP(W588,Sheet2!A:D,4,0)</f>
        <v>PPHP: REPOL H110MAS</v>
      </c>
    </row>
    <row r="589" spans="12:26">
      <c r="L589">
        <v>50114027</v>
      </c>
      <c r="M589" t="s">
        <v>1883</v>
      </c>
      <c r="N589">
        <v>50102095</v>
      </c>
      <c r="O589" t="s">
        <v>896</v>
      </c>
      <c r="U589">
        <v>50114839</v>
      </c>
      <c r="V589" t="s">
        <v>1899</v>
      </c>
      <c r="W589">
        <v>50099205</v>
      </c>
      <c r="X589" t="s">
        <v>848</v>
      </c>
      <c r="Y589">
        <f>VLOOKUP(W589,Sheet2!A:D,3,0)</f>
        <v>50097522</v>
      </c>
      <c r="Z589" t="str">
        <f>VLOOKUP(W589,Sheet2!A:D,4,0)</f>
        <v>PPHP: REPOL H110MAS</v>
      </c>
    </row>
    <row r="590" spans="12:26">
      <c r="L590">
        <v>50114027</v>
      </c>
      <c r="M590" t="s">
        <v>1883</v>
      </c>
      <c r="N590">
        <v>50102096</v>
      </c>
      <c r="O590" t="s">
        <v>897</v>
      </c>
      <c r="U590">
        <v>50114839</v>
      </c>
      <c r="V590" t="s">
        <v>1899</v>
      </c>
      <c r="W590">
        <v>50099334</v>
      </c>
      <c r="X590" t="s">
        <v>854</v>
      </c>
      <c r="Y590">
        <f>VLOOKUP(W590,Sheet2!A:D,3,0)</f>
        <v>50097522</v>
      </c>
      <c r="Z590" t="str">
        <f>VLOOKUP(W590,Sheet2!A:D,4,0)</f>
        <v>PPHP: REPOL H110MAS</v>
      </c>
    </row>
    <row r="591" spans="12:26">
      <c r="L591">
        <v>50114157</v>
      </c>
      <c r="M591" t="s">
        <v>1884</v>
      </c>
      <c r="N591">
        <v>50113438</v>
      </c>
      <c r="O591" t="s">
        <v>1162</v>
      </c>
      <c r="U591">
        <v>50114907</v>
      </c>
      <c r="V591" t="s">
        <v>1900</v>
      </c>
      <c r="W591">
        <v>50102096</v>
      </c>
      <c r="X591" t="s">
        <v>897</v>
      </c>
      <c r="Y591">
        <f>VLOOKUP(W591,Sheet2!A:D,3,0)</f>
        <v>50097522</v>
      </c>
      <c r="Z591" t="str">
        <f>VLOOKUP(W591,Sheet2!A:D,4,0)</f>
        <v>PPHP: REPOL H110MAS</v>
      </c>
    </row>
    <row r="592" spans="12:26">
      <c r="L592">
        <v>50114157</v>
      </c>
      <c r="M592" t="s">
        <v>1884</v>
      </c>
      <c r="N592">
        <v>50114165</v>
      </c>
      <c r="O592" t="s">
        <v>1204</v>
      </c>
      <c r="U592">
        <v>50114907</v>
      </c>
      <c r="V592" t="s">
        <v>1900</v>
      </c>
      <c r="W592">
        <v>50109444</v>
      </c>
      <c r="X592" t="s">
        <v>1047</v>
      </c>
      <c r="Y592">
        <f>VLOOKUP(W592,Sheet2!A:D,3,0)</f>
        <v>50097522</v>
      </c>
      <c r="Z592" t="str">
        <f>VLOOKUP(W592,Sheet2!A:D,4,0)</f>
        <v>PPHP: REPOL H110MAS</v>
      </c>
    </row>
    <row r="593" spans="12:26">
      <c r="L593">
        <v>50114157</v>
      </c>
      <c r="M593" t="s">
        <v>1884</v>
      </c>
      <c r="N593">
        <v>50114382</v>
      </c>
      <c r="O593" t="s">
        <v>1885</v>
      </c>
      <c r="U593">
        <v>50114908</v>
      </c>
      <c r="V593" t="s">
        <v>1901</v>
      </c>
      <c r="W593">
        <v>50099334</v>
      </c>
      <c r="X593" t="s">
        <v>854</v>
      </c>
      <c r="Y593">
        <f>VLOOKUP(W593,Sheet2!A:D,3,0)</f>
        <v>50097522</v>
      </c>
      <c r="Z593" t="str">
        <f>VLOOKUP(W593,Sheet2!A:D,4,0)</f>
        <v>PPHP: REPOL H110MAS</v>
      </c>
    </row>
    <row r="594" spans="12:26">
      <c r="L594">
        <v>50114158</v>
      </c>
      <c r="M594" t="s">
        <v>1886</v>
      </c>
      <c r="N594">
        <v>50108817</v>
      </c>
      <c r="O594" t="s">
        <v>1013</v>
      </c>
      <c r="U594">
        <v>50114908</v>
      </c>
      <c r="V594" t="s">
        <v>1901</v>
      </c>
      <c r="W594">
        <v>50109446</v>
      </c>
      <c r="X594" t="s">
        <v>1049</v>
      </c>
      <c r="Y594">
        <f>VLOOKUP(W594,Sheet2!A:D,3,0)</f>
        <v>50097522</v>
      </c>
      <c r="Z594" t="str">
        <f>VLOOKUP(W594,Sheet2!A:D,4,0)</f>
        <v>PPHP: REPOL H110MAS</v>
      </c>
    </row>
    <row r="595" spans="12:26">
      <c r="L595">
        <v>50114158</v>
      </c>
      <c r="M595" t="s">
        <v>1886</v>
      </c>
      <c r="N595">
        <v>50108818</v>
      </c>
      <c r="O595" t="s">
        <v>1014</v>
      </c>
      <c r="U595">
        <v>50114909</v>
      </c>
      <c r="V595" t="s">
        <v>1902</v>
      </c>
      <c r="W595">
        <v>50099333</v>
      </c>
      <c r="X595" t="s">
        <v>853</v>
      </c>
      <c r="Y595">
        <f>VLOOKUP(W595,Sheet2!A:D,3,0)</f>
        <v>50097522</v>
      </c>
      <c r="Z595" t="str">
        <f>VLOOKUP(W595,Sheet2!A:D,4,0)</f>
        <v>PPHP: REPOL H110MAS</v>
      </c>
    </row>
    <row r="596" spans="12:26">
      <c r="L596">
        <v>50114158</v>
      </c>
      <c r="M596" t="s">
        <v>1886</v>
      </c>
      <c r="N596">
        <v>50108819</v>
      </c>
      <c r="O596" t="s">
        <v>1015</v>
      </c>
      <c r="U596">
        <v>50114909</v>
      </c>
      <c r="V596" t="s">
        <v>1902</v>
      </c>
      <c r="W596">
        <v>50109445</v>
      </c>
      <c r="X596" t="s">
        <v>1048</v>
      </c>
      <c r="Y596">
        <f>VLOOKUP(W596,Sheet2!A:D,3,0)</f>
        <v>50097522</v>
      </c>
      <c r="Z596" t="str">
        <f>VLOOKUP(W596,Sheet2!A:D,4,0)</f>
        <v>PPHP: REPOL H110MAS</v>
      </c>
    </row>
    <row r="597" spans="12:26">
      <c r="L597">
        <v>50114158</v>
      </c>
      <c r="M597" t="s">
        <v>1886</v>
      </c>
      <c r="N597">
        <v>50108821</v>
      </c>
      <c r="O597" t="s">
        <v>1018</v>
      </c>
      <c r="U597">
        <v>50115107</v>
      </c>
      <c r="V597" t="s">
        <v>1904</v>
      </c>
      <c r="W597">
        <v>50104782</v>
      </c>
      <c r="X597" t="s">
        <v>1771</v>
      </c>
      <c r="Y597" t="e">
        <f>VLOOKUP(W597,Sheet2!A:D,3,0)</f>
        <v>#N/A</v>
      </c>
      <c r="Z597" t="e">
        <f>VLOOKUP(W597,Sheet2!A:D,4,0)</f>
        <v>#N/A</v>
      </c>
    </row>
    <row r="598" spans="12:26">
      <c r="L598">
        <v>50114158</v>
      </c>
      <c r="M598" t="s">
        <v>1886</v>
      </c>
      <c r="N598">
        <v>50108824</v>
      </c>
      <c r="O598" t="s">
        <v>1019</v>
      </c>
      <c r="U598">
        <v>50115107</v>
      </c>
      <c r="V598" t="s">
        <v>1904</v>
      </c>
      <c r="W598">
        <v>50104883</v>
      </c>
      <c r="X598" t="s">
        <v>932</v>
      </c>
      <c r="Y598">
        <f>VLOOKUP(W598,Sheet2!A:D,3,0)</f>
        <v>50104077</v>
      </c>
      <c r="Z598" t="str">
        <f>VLOOKUP(W598,Sheet2!A:D,4,0)</f>
        <v>ABS: NOVODUR HD M203FC</v>
      </c>
    </row>
    <row r="599" spans="12:26">
      <c r="L599">
        <v>50114158</v>
      </c>
      <c r="M599" t="s">
        <v>1886</v>
      </c>
      <c r="N599">
        <v>50108827</v>
      </c>
      <c r="O599" t="s">
        <v>1021</v>
      </c>
      <c r="U599">
        <v>50115107</v>
      </c>
      <c r="V599" t="s">
        <v>1904</v>
      </c>
      <c r="W599">
        <v>50104909</v>
      </c>
      <c r="X599" t="s">
        <v>934</v>
      </c>
      <c r="Y599">
        <f>VLOOKUP(W599,Sheet2!A:D,3,0)</f>
        <v>50104077</v>
      </c>
      <c r="Z599" t="str">
        <f>VLOOKUP(W599,Sheet2!A:D,4,0)</f>
        <v>ABS: NOVODUR HD M203FC</v>
      </c>
    </row>
    <row r="600" spans="12:26">
      <c r="L600">
        <v>50114158</v>
      </c>
      <c r="M600" t="s">
        <v>1886</v>
      </c>
      <c r="N600">
        <v>50113441</v>
      </c>
      <c r="O600" t="s">
        <v>1164</v>
      </c>
      <c r="U600">
        <v>50115107</v>
      </c>
      <c r="V600" t="s">
        <v>1904</v>
      </c>
      <c r="W600">
        <v>50105059</v>
      </c>
      <c r="X600" t="s">
        <v>946</v>
      </c>
      <c r="Y600">
        <f>VLOOKUP(W600,Sheet2!A:D,3,0)</f>
        <v>50104077</v>
      </c>
      <c r="Z600" t="str">
        <f>VLOOKUP(W600,Sheet2!A:D,4,0)</f>
        <v>ABS: NOVODUR HD M203FC</v>
      </c>
    </row>
    <row r="601" spans="12:26">
      <c r="L601">
        <v>50114158</v>
      </c>
      <c r="M601" t="s">
        <v>1886</v>
      </c>
      <c r="N601">
        <v>50114102</v>
      </c>
      <c r="O601" t="s">
        <v>1195</v>
      </c>
      <c r="U601">
        <v>50115107</v>
      </c>
      <c r="V601" t="s">
        <v>1904</v>
      </c>
      <c r="W601">
        <v>50105081</v>
      </c>
      <c r="X601" t="s">
        <v>948</v>
      </c>
      <c r="Y601">
        <f>VLOOKUP(W601,Sheet2!A:D,3,0)</f>
        <v>50104078</v>
      </c>
      <c r="Z601" t="str">
        <f>VLOOKUP(W601,Sheet2!A:D,4,0)</f>
        <v>MABS: TERLUX HD 2812</v>
      </c>
    </row>
    <row r="602" spans="12:26">
      <c r="L602">
        <v>50114158</v>
      </c>
      <c r="M602" t="s">
        <v>1886</v>
      </c>
      <c r="N602">
        <v>50114485</v>
      </c>
      <c r="O602" t="s">
        <v>1887</v>
      </c>
      <c r="U602">
        <v>50115107</v>
      </c>
      <c r="V602" t="s">
        <v>1904</v>
      </c>
      <c r="W602">
        <v>50106459</v>
      </c>
      <c r="X602" t="s">
        <v>1774</v>
      </c>
      <c r="Y602" t="e">
        <f>VLOOKUP(W602,Sheet2!A:D,3,0)</f>
        <v>#N/A</v>
      </c>
      <c r="Z602" t="e">
        <f>VLOOKUP(W602,Sheet2!A:D,4,0)</f>
        <v>#N/A</v>
      </c>
    </row>
    <row r="603" spans="12:26">
      <c r="L603">
        <v>50114158</v>
      </c>
      <c r="M603" t="s">
        <v>1886</v>
      </c>
      <c r="N603">
        <v>50114693</v>
      </c>
      <c r="O603" t="s">
        <v>1234</v>
      </c>
      <c r="U603">
        <v>50115107</v>
      </c>
      <c r="V603" t="s">
        <v>1904</v>
      </c>
      <c r="W603">
        <v>50115106</v>
      </c>
      <c r="X603" t="s">
        <v>1903</v>
      </c>
      <c r="Y603" t="e">
        <f>VLOOKUP(W603,Sheet2!A:D,3,0)</f>
        <v>#N/A</v>
      </c>
      <c r="Z603" t="e">
        <f>VLOOKUP(W603,Sheet2!A:D,4,0)</f>
        <v>#N/A</v>
      </c>
    </row>
    <row r="604" spans="12:26">
      <c r="L604">
        <v>50114159</v>
      </c>
      <c r="M604" t="s">
        <v>1888</v>
      </c>
      <c r="N604">
        <v>50113438</v>
      </c>
      <c r="O604" t="s">
        <v>1162</v>
      </c>
      <c r="U604">
        <v>50115291</v>
      </c>
      <c r="V604" t="s">
        <v>1905</v>
      </c>
      <c r="W604">
        <v>50104782</v>
      </c>
      <c r="X604" t="s">
        <v>1771</v>
      </c>
      <c r="Y604" t="e">
        <f>VLOOKUP(W604,Sheet2!A:D,3,0)</f>
        <v>#N/A</v>
      </c>
      <c r="Z604" t="e">
        <f>VLOOKUP(W604,Sheet2!A:D,4,0)</f>
        <v>#N/A</v>
      </c>
    </row>
    <row r="605" spans="12:26">
      <c r="L605">
        <v>50114159</v>
      </c>
      <c r="M605" t="s">
        <v>1888</v>
      </c>
      <c r="N605">
        <v>50114165</v>
      </c>
      <c r="O605" t="s">
        <v>1204</v>
      </c>
      <c r="U605">
        <v>50115291</v>
      </c>
      <c r="V605" t="s">
        <v>1905</v>
      </c>
      <c r="W605">
        <v>50104883</v>
      </c>
      <c r="X605" t="s">
        <v>932</v>
      </c>
      <c r="Y605">
        <f>VLOOKUP(W605,Sheet2!A:D,3,0)</f>
        <v>50104077</v>
      </c>
      <c r="Z605" t="str">
        <f>VLOOKUP(W605,Sheet2!A:D,4,0)</f>
        <v>ABS: NOVODUR HD M203FC</v>
      </c>
    </row>
    <row r="606" spans="12:26">
      <c r="L606">
        <v>50114159</v>
      </c>
      <c r="M606" t="s">
        <v>1888</v>
      </c>
      <c r="N606">
        <v>50114381</v>
      </c>
      <c r="O606" t="s">
        <v>1889</v>
      </c>
      <c r="U606">
        <v>50115291</v>
      </c>
      <c r="V606" t="s">
        <v>1905</v>
      </c>
      <c r="W606">
        <v>50105026</v>
      </c>
      <c r="X606" t="s">
        <v>944</v>
      </c>
      <c r="Y606">
        <f>VLOOKUP(W606,Sheet2!A:D,3,0)</f>
        <v>50104077</v>
      </c>
      <c r="Z606" t="str">
        <f>VLOOKUP(W606,Sheet2!A:D,4,0)</f>
        <v>ABS: NOVODUR HD M203FC</v>
      </c>
    </row>
    <row r="607" spans="12:26">
      <c r="L607">
        <v>50114184</v>
      </c>
      <c r="M607" t="s">
        <v>324</v>
      </c>
      <c r="N607">
        <v>50114186</v>
      </c>
      <c r="O607" t="s">
        <v>1205</v>
      </c>
      <c r="U607">
        <v>50115291</v>
      </c>
      <c r="V607" t="s">
        <v>1905</v>
      </c>
      <c r="W607">
        <v>50105059</v>
      </c>
      <c r="X607" t="s">
        <v>946</v>
      </c>
      <c r="Y607">
        <f>VLOOKUP(W607,Sheet2!A:D,3,0)</f>
        <v>50104077</v>
      </c>
      <c r="Z607" t="str">
        <f>VLOOKUP(W607,Sheet2!A:D,4,0)</f>
        <v>ABS: NOVODUR HD M203FC</v>
      </c>
    </row>
    <row r="608" spans="12:26">
      <c r="L608">
        <v>50114184</v>
      </c>
      <c r="M608" t="s">
        <v>324</v>
      </c>
      <c r="N608">
        <v>50114188</v>
      </c>
      <c r="O608" t="s">
        <v>1207</v>
      </c>
      <c r="U608">
        <v>50115291</v>
      </c>
      <c r="V608" t="s">
        <v>1905</v>
      </c>
      <c r="W608">
        <v>50105081</v>
      </c>
      <c r="X608" t="s">
        <v>948</v>
      </c>
      <c r="Y608">
        <f>VLOOKUP(W608,Sheet2!A:D,3,0)</f>
        <v>50104078</v>
      </c>
      <c r="Z608" t="str">
        <f>VLOOKUP(W608,Sheet2!A:D,4,0)</f>
        <v>MABS: TERLUX HD 2812</v>
      </c>
    </row>
    <row r="609" spans="12:26">
      <c r="L609">
        <v>50114377</v>
      </c>
      <c r="M609" t="s">
        <v>1890</v>
      </c>
      <c r="N609">
        <v>50104782</v>
      </c>
      <c r="O609" t="s">
        <v>1771</v>
      </c>
      <c r="U609">
        <v>50115291</v>
      </c>
      <c r="V609" t="s">
        <v>1905</v>
      </c>
      <c r="W609">
        <v>50106459</v>
      </c>
      <c r="X609" t="s">
        <v>1774</v>
      </c>
      <c r="Y609" t="e">
        <f>VLOOKUP(W609,Sheet2!A:D,3,0)</f>
        <v>#N/A</v>
      </c>
      <c r="Z609" t="e">
        <f>VLOOKUP(W609,Sheet2!A:D,4,0)</f>
        <v>#N/A</v>
      </c>
    </row>
    <row r="610" spans="12:26">
      <c r="L610">
        <v>50114377</v>
      </c>
      <c r="M610" t="s">
        <v>1890</v>
      </c>
      <c r="N610">
        <v>50105081</v>
      </c>
      <c r="O610" t="s">
        <v>948</v>
      </c>
      <c r="U610">
        <v>50115291</v>
      </c>
      <c r="V610" t="s">
        <v>1905</v>
      </c>
      <c r="W610">
        <v>50115088</v>
      </c>
      <c r="X610" t="s">
        <v>1250</v>
      </c>
      <c r="Y610">
        <f>VLOOKUP(W610,Sheet2!A:D,3,0)</f>
        <v>50104077</v>
      </c>
      <c r="Z610" t="str">
        <f>VLOOKUP(W610,Sheet2!A:D,4,0)</f>
        <v>ABS: NOVODUR HD M203FC</v>
      </c>
    </row>
    <row r="611" spans="12:26">
      <c r="L611">
        <v>50114377</v>
      </c>
      <c r="M611" t="s">
        <v>1890</v>
      </c>
      <c r="N611">
        <v>50106459</v>
      </c>
      <c r="O611" t="s">
        <v>1774</v>
      </c>
      <c r="U611">
        <v>50115578</v>
      </c>
      <c r="V611" t="s">
        <v>1908</v>
      </c>
      <c r="W611">
        <v>50104782</v>
      </c>
      <c r="X611" t="s">
        <v>1771</v>
      </c>
      <c r="Y611" t="e">
        <f>VLOOKUP(W611,Sheet2!A:D,3,0)</f>
        <v>#N/A</v>
      </c>
      <c r="Z611" t="e">
        <f>VLOOKUP(W611,Sheet2!A:D,4,0)</f>
        <v>#N/A</v>
      </c>
    </row>
    <row r="612" spans="12:26">
      <c r="L612">
        <v>50114377</v>
      </c>
      <c r="M612" t="s">
        <v>1890</v>
      </c>
      <c r="N612">
        <v>50109035</v>
      </c>
      <c r="O612" t="s">
        <v>1039</v>
      </c>
      <c r="U612">
        <v>50115578</v>
      </c>
      <c r="V612" t="s">
        <v>1908</v>
      </c>
      <c r="W612">
        <v>50104883</v>
      </c>
      <c r="X612" t="s">
        <v>932</v>
      </c>
      <c r="Y612">
        <f>VLOOKUP(W612,Sheet2!A:D,3,0)</f>
        <v>50104077</v>
      </c>
      <c r="Z612" t="str">
        <f>VLOOKUP(W612,Sheet2!A:D,4,0)</f>
        <v>ABS: NOVODUR HD M203FC</v>
      </c>
    </row>
    <row r="613" spans="12:26">
      <c r="L613">
        <v>50114377</v>
      </c>
      <c r="M613" t="s">
        <v>1890</v>
      </c>
      <c r="N613">
        <v>50109036</v>
      </c>
      <c r="O613" t="s">
        <v>1040</v>
      </c>
      <c r="U613">
        <v>50115578</v>
      </c>
      <c r="V613" t="s">
        <v>1908</v>
      </c>
      <c r="W613">
        <v>50104909</v>
      </c>
      <c r="X613" t="s">
        <v>934</v>
      </c>
      <c r="Y613">
        <f>VLOOKUP(W613,Sheet2!A:D,3,0)</f>
        <v>50104077</v>
      </c>
      <c r="Z613" t="str">
        <f>VLOOKUP(W613,Sheet2!A:D,4,0)</f>
        <v>ABS: NOVODUR HD M203FC</v>
      </c>
    </row>
    <row r="614" spans="12:26">
      <c r="L614">
        <v>50114377</v>
      </c>
      <c r="M614" t="s">
        <v>1890</v>
      </c>
      <c r="N614">
        <v>50109037</v>
      </c>
      <c r="O614" t="s">
        <v>1041</v>
      </c>
      <c r="U614">
        <v>50115578</v>
      </c>
      <c r="V614" t="s">
        <v>1908</v>
      </c>
      <c r="W614">
        <v>50105059</v>
      </c>
      <c r="X614" t="s">
        <v>946</v>
      </c>
      <c r="Y614">
        <f>VLOOKUP(W614,Sheet2!A:D,3,0)</f>
        <v>50104077</v>
      </c>
      <c r="Z614" t="str">
        <f>VLOOKUP(W614,Sheet2!A:D,4,0)</f>
        <v>ABS: NOVODUR HD M203FC</v>
      </c>
    </row>
    <row r="615" spans="12:26">
      <c r="L615">
        <v>50114377</v>
      </c>
      <c r="M615" t="s">
        <v>1890</v>
      </c>
      <c r="N615">
        <v>50109039</v>
      </c>
      <c r="O615" t="s">
        <v>1043</v>
      </c>
      <c r="U615">
        <v>50115578</v>
      </c>
      <c r="V615" t="s">
        <v>1908</v>
      </c>
      <c r="W615">
        <v>50105081</v>
      </c>
      <c r="X615" t="s">
        <v>948</v>
      </c>
      <c r="Y615">
        <f>VLOOKUP(W615,Sheet2!A:D,3,0)</f>
        <v>50104078</v>
      </c>
      <c r="Z615" t="str">
        <f>VLOOKUP(W615,Sheet2!A:D,4,0)</f>
        <v>MABS: TERLUX HD 2812</v>
      </c>
    </row>
    <row r="616" spans="12:26">
      <c r="L616">
        <v>50114380</v>
      </c>
      <c r="M616" t="s">
        <v>1891</v>
      </c>
      <c r="N616">
        <v>50113438</v>
      </c>
      <c r="O616" t="s">
        <v>1162</v>
      </c>
      <c r="U616">
        <v>50115578</v>
      </c>
      <c r="V616" t="s">
        <v>1908</v>
      </c>
      <c r="W616">
        <v>50115577</v>
      </c>
      <c r="X616" t="s">
        <v>1907</v>
      </c>
      <c r="Y616" t="e">
        <f>VLOOKUP(W616,Sheet2!A:D,3,0)</f>
        <v>#N/A</v>
      </c>
      <c r="Z616" t="e">
        <f>VLOOKUP(W616,Sheet2!A:D,4,0)</f>
        <v>#N/A</v>
      </c>
    </row>
    <row r="617" spans="12:26">
      <c r="L617">
        <v>50114380</v>
      </c>
      <c r="M617" t="s">
        <v>1891</v>
      </c>
      <c r="N617">
        <v>50114102</v>
      </c>
      <c r="O617" t="s">
        <v>1195</v>
      </c>
      <c r="U617">
        <v>50115582</v>
      </c>
      <c r="V617" t="s">
        <v>1909</v>
      </c>
      <c r="W617">
        <v>50102095</v>
      </c>
      <c r="X617" t="s">
        <v>896</v>
      </c>
      <c r="Y617">
        <f>VLOOKUP(W617,Sheet2!A:D,3,0)</f>
        <v>50097522</v>
      </c>
      <c r="Z617" t="str">
        <f>VLOOKUP(W617,Sheet2!A:D,4,0)</f>
        <v>PPHP: REPOL H110MAS</v>
      </c>
    </row>
    <row r="618" spans="12:26">
      <c r="L618">
        <v>50114380</v>
      </c>
      <c r="M618" t="s">
        <v>1891</v>
      </c>
      <c r="N618">
        <v>50114165</v>
      </c>
      <c r="O618" t="s">
        <v>1204</v>
      </c>
      <c r="U618">
        <v>50115582</v>
      </c>
      <c r="V618" t="s">
        <v>1909</v>
      </c>
      <c r="W618">
        <v>50102096</v>
      </c>
      <c r="X618" t="s">
        <v>897</v>
      </c>
      <c r="Y618">
        <f>VLOOKUP(W618,Sheet2!A:D,3,0)</f>
        <v>50097522</v>
      </c>
      <c r="Z618" t="str">
        <f>VLOOKUP(W618,Sheet2!A:D,4,0)</f>
        <v>PPHP: REPOL H110MAS</v>
      </c>
    </row>
    <row r="619" spans="12:26">
      <c r="L619">
        <v>50114381</v>
      </c>
      <c r="M619" t="s">
        <v>1889</v>
      </c>
      <c r="N619">
        <v>50108817</v>
      </c>
      <c r="O619" t="s">
        <v>1013</v>
      </c>
      <c r="U619">
        <v>50115613</v>
      </c>
      <c r="V619" t="s">
        <v>1910</v>
      </c>
      <c r="W619">
        <v>50104782</v>
      </c>
      <c r="X619" t="s">
        <v>1771</v>
      </c>
      <c r="Y619" t="e">
        <f>VLOOKUP(W619,Sheet2!A:D,3,0)</f>
        <v>#N/A</v>
      </c>
      <c r="Z619" t="e">
        <f>VLOOKUP(W619,Sheet2!A:D,4,0)</f>
        <v>#N/A</v>
      </c>
    </row>
    <row r="620" spans="12:26">
      <c r="L620">
        <v>50114381</v>
      </c>
      <c r="M620" t="s">
        <v>1889</v>
      </c>
      <c r="N620">
        <v>50108818</v>
      </c>
      <c r="O620" t="s">
        <v>1014</v>
      </c>
      <c r="U620">
        <v>50115613</v>
      </c>
      <c r="V620" t="s">
        <v>1910</v>
      </c>
      <c r="W620">
        <v>50105026</v>
      </c>
      <c r="X620" t="s">
        <v>944</v>
      </c>
      <c r="Y620">
        <f>VLOOKUP(W620,Sheet2!A:D,3,0)</f>
        <v>50104077</v>
      </c>
      <c r="Z620" t="str">
        <f>VLOOKUP(W620,Sheet2!A:D,4,0)</f>
        <v>ABS: NOVODUR HD M203FC</v>
      </c>
    </row>
    <row r="621" spans="12:26">
      <c r="L621">
        <v>50114381</v>
      </c>
      <c r="M621" t="s">
        <v>1889</v>
      </c>
      <c r="N621">
        <v>50108819</v>
      </c>
      <c r="O621" t="s">
        <v>1015</v>
      </c>
      <c r="U621">
        <v>50115613</v>
      </c>
      <c r="V621" t="s">
        <v>1910</v>
      </c>
      <c r="W621">
        <v>50105081</v>
      </c>
      <c r="X621" t="s">
        <v>948</v>
      </c>
      <c r="Y621">
        <f>VLOOKUP(W621,Sheet2!A:D,3,0)</f>
        <v>50104078</v>
      </c>
      <c r="Z621" t="str">
        <f>VLOOKUP(W621,Sheet2!A:D,4,0)</f>
        <v>MABS: TERLUX HD 2812</v>
      </c>
    </row>
    <row r="622" spans="12:26">
      <c r="L622">
        <v>50114381</v>
      </c>
      <c r="M622" t="s">
        <v>1889</v>
      </c>
      <c r="N622">
        <v>50108821</v>
      </c>
      <c r="O622" t="s">
        <v>1018</v>
      </c>
      <c r="U622">
        <v>50115613</v>
      </c>
      <c r="V622" t="s">
        <v>1910</v>
      </c>
      <c r="W622">
        <v>50115557</v>
      </c>
      <c r="X622" t="s">
        <v>1271</v>
      </c>
      <c r="Y622" t="e">
        <f>VLOOKUP(W622,Sheet2!A:D,3,0)</f>
        <v>#N/A</v>
      </c>
      <c r="Z622" t="e">
        <f>VLOOKUP(W622,Sheet2!A:D,4,0)</f>
        <v>#N/A</v>
      </c>
    </row>
    <row r="623" spans="12:26">
      <c r="L623">
        <v>50114381</v>
      </c>
      <c r="M623" t="s">
        <v>1889</v>
      </c>
      <c r="N623">
        <v>50108824</v>
      </c>
      <c r="O623" t="s">
        <v>1019</v>
      </c>
      <c r="U623">
        <v>50115613</v>
      </c>
      <c r="V623" t="s">
        <v>1910</v>
      </c>
      <c r="W623">
        <v>50115565</v>
      </c>
      <c r="X623" t="s">
        <v>1272</v>
      </c>
      <c r="Y623" t="e">
        <f>VLOOKUP(W623,Sheet2!A:D,3,0)</f>
        <v>#N/A</v>
      </c>
      <c r="Z623" t="e">
        <f>VLOOKUP(W623,Sheet2!A:D,4,0)</f>
        <v>#N/A</v>
      </c>
    </row>
    <row r="624" spans="12:26">
      <c r="L624">
        <v>50114381</v>
      </c>
      <c r="M624" t="s">
        <v>1889</v>
      </c>
      <c r="N624">
        <v>50108825</v>
      </c>
      <c r="O624" t="s">
        <v>1020</v>
      </c>
      <c r="U624">
        <v>50115613</v>
      </c>
      <c r="V624" t="s">
        <v>1910</v>
      </c>
      <c r="W624">
        <v>50115576</v>
      </c>
      <c r="X624" t="s">
        <v>1273</v>
      </c>
      <c r="Y624" t="e">
        <f>VLOOKUP(W624,Sheet2!A:D,3,0)</f>
        <v>#N/A</v>
      </c>
      <c r="Z624" t="e">
        <f>VLOOKUP(W624,Sheet2!A:D,4,0)</f>
        <v>#N/A</v>
      </c>
    </row>
    <row r="625" spans="12:26">
      <c r="L625">
        <v>50114381</v>
      </c>
      <c r="M625" t="s">
        <v>1889</v>
      </c>
      <c r="N625">
        <v>50108827</v>
      </c>
      <c r="O625" t="s">
        <v>1021</v>
      </c>
      <c r="U625">
        <v>50115627</v>
      </c>
      <c r="V625" t="s">
        <v>1911</v>
      </c>
      <c r="W625">
        <v>50104782</v>
      </c>
      <c r="X625" t="s">
        <v>1771</v>
      </c>
      <c r="Y625" t="e">
        <f>VLOOKUP(W625,Sheet2!A:D,3,0)</f>
        <v>#N/A</v>
      </c>
      <c r="Z625" t="e">
        <f>VLOOKUP(W625,Sheet2!A:D,4,0)</f>
        <v>#N/A</v>
      </c>
    </row>
    <row r="626" spans="12:26">
      <c r="L626">
        <v>50114381</v>
      </c>
      <c r="M626" t="s">
        <v>1889</v>
      </c>
      <c r="N626">
        <v>50113441</v>
      </c>
      <c r="O626" t="s">
        <v>1164</v>
      </c>
      <c r="U626">
        <v>50115627</v>
      </c>
      <c r="V626" t="s">
        <v>1911</v>
      </c>
      <c r="W626">
        <v>50104883</v>
      </c>
      <c r="X626" t="s">
        <v>932</v>
      </c>
      <c r="Y626">
        <f>VLOOKUP(W626,Sheet2!A:D,3,0)</f>
        <v>50104077</v>
      </c>
      <c r="Z626" t="str">
        <f>VLOOKUP(W626,Sheet2!A:D,4,0)</f>
        <v>ABS: NOVODUR HD M203FC</v>
      </c>
    </row>
    <row r="627" spans="12:26">
      <c r="L627">
        <v>50114381</v>
      </c>
      <c r="M627" t="s">
        <v>1889</v>
      </c>
      <c r="N627">
        <v>50114104</v>
      </c>
      <c r="O627" t="s">
        <v>1197</v>
      </c>
      <c r="U627">
        <v>50115627</v>
      </c>
      <c r="V627" t="s">
        <v>1911</v>
      </c>
      <c r="W627">
        <v>50105059</v>
      </c>
      <c r="X627" t="s">
        <v>946</v>
      </c>
      <c r="Y627">
        <f>VLOOKUP(W627,Sheet2!A:D,3,0)</f>
        <v>50104077</v>
      </c>
      <c r="Z627" t="str">
        <f>VLOOKUP(W627,Sheet2!A:D,4,0)</f>
        <v>ABS: NOVODUR HD M203FC</v>
      </c>
    </row>
    <row r="628" spans="12:26">
      <c r="L628">
        <v>50114382</v>
      </c>
      <c r="M628" t="s">
        <v>1885</v>
      </c>
      <c r="N628">
        <v>50108817</v>
      </c>
      <c r="O628" t="s">
        <v>1013</v>
      </c>
      <c r="U628">
        <v>50115627</v>
      </c>
      <c r="V628" t="s">
        <v>1911</v>
      </c>
      <c r="W628">
        <v>50106459</v>
      </c>
      <c r="X628" t="s">
        <v>1774</v>
      </c>
      <c r="Y628" t="e">
        <f>VLOOKUP(W628,Sheet2!A:D,3,0)</f>
        <v>#N/A</v>
      </c>
      <c r="Z628" t="e">
        <f>VLOOKUP(W628,Sheet2!A:D,4,0)</f>
        <v>#N/A</v>
      </c>
    </row>
    <row r="629" spans="12:26">
      <c r="L629">
        <v>50114382</v>
      </c>
      <c r="M629" t="s">
        <v>1885</v>
      </c>
      <c r="N629">
        <v>50108818</v>
      </c>
      <c r="O629" t="s">
        <v>1014</v>
      </c>
      <c r="U629">
        <v>50115627</v>
      </c>
      <c r="V629" t="s">
        <v>1911</v>
      </c>
      <c r="W629">
        <v>50115626</v>
      </c>
      <c r="X629" t="s">
        <v>1278</v>
      </c>
      <c r="Y629">
        <f>VLOOKUP(W629,Sheet2!A:D,3,0)</f>
        <v>50104077</v>
      </c>
      <c r="Z629" t="str">
        <f>VLOOKUP(W629,Sheet2!A:D,4,0)</f>
        <v>ABS: NOVODUR HD M203FC</v>
      </c>
    </row>
    <row r="630" spans="12:26">
      <c r="L630">
        <v>50114382</v>
      </c>
      <c r="M630" t="s">
        <v>1885</v>
      </c>
      <c r="N630">
        <v>50108819</v>
      </c>
      <c r="O630" t="s">
        <v>1015</v>
      </c>
      <c r="U630">
        <v>50115627</v>
      </c>
      <c r="V630" t="s">
        <v>1911</v>
      </c>
      <c r="W630">
        <v>50115637</v>
      </c>
      <c r="X630" t="s">
        <v>1282</v>
      </c>
      <c r="Y630">
        <f>VLOOKUP(W630,Sheet2!A:D,3,0)</f>
        <v>50104078</v>
      </c>
      <c r="Z630" t="str">
        <f>VLOOKUP(W630,Sheet2!A:D,4,0)</f>
        <v>MABS: TERLUX HD 2812</v>
      </c>
    </row>
    <row r="631" spans="12:26">
      <c r="L631">
        <v>50114382</v>
      </c>
      <c r="M631" t="s">
        <v>1885</v>
      </c>
      <c r="N631">
        <v>50108820</v>
      </c>
      <c r="O631" t="s">
        <v>1017</v>
      </c>
      <c r="U631">
        <v>50115627</v>
      </c>
      <c r="V631" t="s">
        <v>1911</v>
      </c>
      <c r="W631">
        <v>50115648</v>
      </c>
      <c r="X631" t="s">
        <v>1288</v>
      </c>
      <c r="Y631">
        <f>VLOOKUP(W631,Sheet2!A:D,3,0)</f>
        <v>50104077</v>
      </c>
      <c r="Z631" t="str">
        <f>VLOOKUP(W631,Sheet2!A:D,4,0)</f>
        <v>ABS: NOVODUR HD M203FC</v>
      </c>
    </row>
    <row r="632" spans="12:26">
      <c r="L632">
        <v>50114382</v>
      </c>
      <c r="M632" t="s">
        <v>1885</v>
      </c>
      <c r="N632">
        <v>50108821</v>
      </c>
      <c r="O632" t="s">
        <v>1018</v>
      </c>
      <c r="U632">
        <v>50115629</v>
      </c>
      <c r="V632" t="s">
        <v>367</v>
      </c>
      <c r="W632">
        <v>50104782</v>
      </c>
      <c r="X632" t="s">
        <v>1771</v>
      </c>
      <c r="Y632" t="e">
        <f>VLOOKUP(W632,Sheet2!A:D,3,0)</f>
        <v>#N/A</v>
      </c>
      <c r="Z632" t="e">
        <f>VLOOKUP(W632,Sheet2!A:D,4,0)</f>
        <v>#N/A</v>
      </c>
    </row>
    <row r="633" spans="12:26">
      <c r="L633">
        <v>50114382</v>
      </c>
      <c r="M633" t="s">
        <v>1885</v>
      </c>
      <c r="N633">
        <v>50108824</v>
      </c>
      <c r="O633" t="s">
        <v>1019</v>
      </c>
      <c r="U633">
        <v>50115629</v>
      </c>
      <c r="V633" t="s">
        <v>367</v>
      </c>
      <c r="W633">
        <v>50104883</v>
      </c>
      <c r="X633" t="s">
        <v>932</v>
      </c>
      <c r="Y633">
        <f>VLOOKUP(W633,Sheet2!A:D,3,0)</f>
        <v>50104077</v>
      </c>
      <c r="Z633" t="str">
        <f>VLOOKUP(W633,Sheet2!A:D,4,0)</f>
        <v>ABS: NOVODUR HD M203FC</v>
      </c>
    </row>
    <row r="634" spans="12:26">
      <c r="L634">
        <v>50114382</v>
      </c>
      <c r="M634" t="s">
        <v>1885</v>
      </c>
      <c r="N634">
        <v>50108827</v>
      </c>
      <c r="O634" t="s">
        <v>1021</v>
      </c>
      <c r="U634">
        <v>50115629</v>
      </c>
      <c r="V634" t="s">
        <v>367</v>
      </c>
      <c r="W634">
        <v>50104909</v>
      </c>
      <c r="X634" t="s">
        <v>934</v>
      </c>
      <c r="Y634">
        <f>VLOOKUP(W634,Sheet2!A:D,3,0)</f>
        <v>50104077</v>
      </c>
      <c r="Z634" t="str">
        <f>VLOOKUP(W634,Sheet2!A:D,4,0)</f>
        <v>ABS: NOVODUR HD M203FC</v>
      </c>
    </row>
    <row r="635" spans="12:26">
      <c r="L635">
        <v>50114382</v>
      </c>
      <c r="M635" t="s">
        <v>1885</v>
      </c>
      <c r="N635">
        <v>50114485</v>
      </c>
      <c r="O635" t="s">
        <v>1887</v>
      </c>
      <c r="U635">
        <v>50115629</v>
      </c>
      <c r="V635" t="s">
        <v>367</v>
      </c>
      <c r="W635">
        <v>50105059</v>
      </c>
      <c r="X635" t="s">
        <v>946</v>
      </c>
      <c r="Y635">
        <f>VLOOKUP(W635,Sheet2!A:D,3,0)</f>
        <v>50104077</v>
      </c>
      <c r="Z635" t="str">
        <f>VLOOKUP(W635,Sheet2!A:D,4,0)</f>
        <v>ABS: NOVODUR HD M203FC</v>
      </c>
    </row>
    <row r="636" spans="12:26">
      <c r="L636">
        <v>50114382</v>
      </c>
      <c r="M636" t="s">
        <v>1885</v>
      </c>
      <c r="N636">
        <v>50114684</v>
      </c>
      <c r="O636" t="s">
        <v>1230</v>
      </c>
      <c r="U636">
        <v>50115629</v>
      </c>
      <c r="V636" t="s">
        <v>367</v>
      </c>
      <c r="W636">
        <v>50105081</v>
      </c>
      <c r="X636" t="s">
        <v>948</v>
      </c>
      <c r="Y636">
        <f>VLOOKUP(W636,Sheet2!A:D,3,0)</f>
        <v>50104078</v>
      </c>
      <c r="Z636" t="str">
        <f>VLOOKUP(W636,Sheet2!A:D,4,0)</f>
        <v>MABS: TERLUX HD 2812</v>
      </c>
    </row>
    <row r="637" spans="12:26">
      <c r="L637">
        <v>50114382</v>
      </c>
      <c r="M637" t="s">
        <v>1885</v>
      </c>
      <c r="N637">
        <v>50114696</v>
      </c>
      <c r="O637" t="s">
        <v>1236</v>
      </c>
      <c r="U637">
        <v>50115629</v>
      </c>
      <c r="V637" t="s">
        <v>367</v>
      </c>
      <c r="W637">
        <v>50106459</v>
      </c>
      <c r="X637" t="s">
        <v>1774</v>
      </c>
      <c r="Y637" t="e">
        <f>VLOOKUP(W637,Sheet2!A:D,3,0)</f>
        <v>#N/A</v>
      </c>
      <c r="Z637" t="e">
        <f>VLOOKUP(W637,Sheet2!A:D,4,0)</f>
        <v>#N/A</v>
      </c>
    </row>
    <row r="638" spans="12:26">
      <c r="L638">
        <v>50114463</v>
      </c>
      <c r="M638" t="s">
        <v>1892</v>
      </c>
      <c r="N638">
        <v>50104782</v>
      </c>
      <c r="O638" t="s">
        <v>1771</v>
      </c>
      <c r="U638">
        <v>50115629</v>
      </c>
      <c r="V638" t="s">
        <v>367</v>
      </c>
      <c r="W638">
        <v>50115683</v>
      </c>
      <c r="X638" t="s">
        <v>1294</v>
      </c>
      <c r="Y638">
        <f>VLOOKUP(W638,Sheet2!A:D,3,0)</f>
        <v>50104078</v>
      </c>
      <c r="Z638" t="str">
        <f>VLOOKUP(W638,Sheet2!A:D,4,0)</f>
        <v>MABS: TERLUX HD 2812</v>
      </c>
    </row>
    <row r="639" spans="12:26">
      <c r="L639">
        <v>50114463</v>
      </c>
      <c r="M639" t="s">
        <v>1892</v>
      </c>
      <c r="N639">
        <v>50104883</v>
      </c>
      <c r="O639" t="s">
        <v>932</v>
      </c>
      <c r="U639">
        <v>50115632</v>
      </c>
      <c r="V639" t="s">
        <v>1913</v>
      </c>
      <c r="W639">
        <v>50104782</v>
      </c>
      <c r="X639" t="s">
        <v>1771</v>
      </c>
      <c r="Y639" t="e">
        <f>VLOOKUP(W639,Sheet2!A:D,3,0)</f>
        <v>#N/A</v>
      </c>
      <c r="Z639" t="e">
        <f>VLOOKUP(W639,Sheet2!A:D,4,0)</f>
        <v>#N/A</v>
      </c>
    </row>
    <row r="640" spans="12:26">
      <c r="L640">
        <v>50114463</v>
      </c>
      <c r="M640" t="s">
        <v>1892</v>
      </c>
      <c r="N640">
        <v>50104909</v>
      </c>
      <c r="O640" t="s">
        <v>934</v>
      </c>
      <c r="U640">
        <v>50115632</v>
      </c>
      <c r="V640" t="s">
        <v>1913</v>
      </c>
      <c r="W640">
        <v>50104883</v>
      </c>
      <c r="X640" t="s">
        <v>932</v>
      </c>
      <c r="Y640">
        <f>VLOOKUP(W640,Sheet2!A:D,3,0)</f>
        <v>50104077</v>
      </c>
      <c r="Z640" t="str">
        <f>VLOOKUP(W640,Sheet2!A:D,4,0)</f>
        <v>ABS: NOVODUR HD M203FC</v>
      </c>
    </row>
    <row r="641" spans="12:26">
      <c r="L641">
        <v>50114463</v>
      </c>
      <c r="M641" t="s">
        <v>1892</v>
      </c>
      <c r="N641">
        <v>50105059</v>
      </c>
      <c r="O641" t="s">
        <v>946</v>
      </c>
      <c r="U641">
        <v>50115632</v>
      </c>
      <c r="V641" t="s">
        <v>1913</v>
      </c>
      <c r="W641">
        <v>50105059</v>
      </c>
      <c r="X641" t="s">
        <v>946</v>
      </c>
      <c r="Y641">
        <f>VLOOKUP(W641,Sheet2!A:D,3,0)</f>
        <v>50104077</v>
      </c>
      <c r="Z641" t="str">
        <f>VLOOKUP(W641,Sheet2!A:D,4,0)</f>
        <v>ABS: NOVODUR HD M203FC</v>
      </c>
    </row>
    <row r="642" spans="12:26">
      <c r="L642">
        <v>50114463</v>
      </c>
      <c r="M642" t="s">
        <v>1892</v>
      </c>
      <c r="N642">
        <v>50105081</v>
      </c>
      <c r="O642" t="s">
        <v>948</v>
      </c>
      <c r="U642">
        <v>50115632</v>
      </c>
      <c r="V642" t="s">
        <v>1913</v>
      </c>
      <c r="W642">
        <v>50106459</v>
      </c>
      <c r="X642" t="s">
        <v>1774</v>
      </c>
      <c r="Y642" t="e">
        <f>VLOOKUP(W642,Sheet2!A:D,3,0)</f>
        <v>#N/A</v>
      </c>
      <c r="Z642" t="e">
        <f>VLOOKUP(W642,Sheet2!A:D,4,0)</f>
        <v>#N/A</v>
      </c>
    </row>
    <row r="643" spans="12:26">
      <c r="L643">
        <v>50114463</v>
      </c>
      <c r="M643" t="s">
        <v>1892</v>
      </c>
      <c r="N643">
        <v>50106459</v>
      </c>
      <c r="O643" t="s">
        <v>1774</v>
      </c>
      <c r="U643">
        <v>50115632</v>
      </c>
      <c r="V643" t="s">
        <v>1913</v>
      </c>
      <c r="W643">
        <v>50108736</v>
      </c>
      <c r="X643" t="s">
        <v>1012</v>
      </c>
      <c r="Y643">
        <f>VLOOKUP(W643,Sheet2!A:D,3,0)</f>
        <v>50104078</v>
      </c>
      <c r="Z643" t="str">
        <f>VLOOKUP(W643,Sheet2!A:D,4,0)</f>
        <v>MABS: TERLUX HD 2812</v>
      </c>
    </row>
    <row r="644" spans="12:26">
      <c r="L644">
        <v>50114463</v>
      </c>
      <c r="M644" t="s">
        <v>1892</v>
      </c>
      <c r="N644">
        <v>50114464</v>
      </c>
      <c r="O644" t="s">
        <v>1893</v>
      </c>
      <c r="U644">
        <v>50115632</v>
      </c>
      <c r="V644" t="s">
        <v>1913</v>
      </c>
      <c r="W644">
        <v>50108742</v>
      </c>
      <c r="X644" t="s">
        <v>1808</v>
      </c>
      <c r="Y644" t="e">
        <f>VLOOKUP(W644,Sheet2!A:D,3,0)</f>
        <v>#N/A</v>
      </c>
      <c r="Z644" t="e">
        <f>VLOOKUP(W644,Sheet2!A:D,4,0)</f>
        <v>#N/A</v>
      </c>
    </row>
    <row r="645" spans="12:26">
      <c r="L645">
        <v>50114464</v>
      </c>
      <c r="M645" t="s">
        <v>1893</v>
      </c>
      <c r="N645">
        <v>50105026</v>
      </c>
      <c r="O645" t="s">
        <v>944</v>
      </c>
      <c r="U645">
        <v>50115632</v>
      </c>
      <c r="V645" t="s">
        <v>1913</v>
      </c>
      <c r="W645">
        <v>50115631</v>
      </c>
      <c r="X645" t="s">
        <v>1279</v>
      </c>
      <c r="Y645">
        <f>VLOOKUP(W645,Sheet2!A:D,3,0)</f>
        <v>50104077</v>
      </c>
      <c r="Z645" t="str">
        <f>VLOOKUP(W645,Sheet2!A:D,4,0)</f>
        <v>ABS: NOVODUR HD M203FC</v>
      </c>
    </row>
    <row r="646" spans="12:26">
      <c r="L646">
        <v>50114489</v>
      </c>
      <c r="M646" t="s">
        <v>1894</v>
      </c>
      <c r="N646">
        <v>50081999</v>
      </c>
      <c r="O646" t="s">
        <v>665</v>
      </c>
      <c r="U646">
        <v>50115634</v>
      </c>
      <c r="V646" t="s">
        <v>1914</v>
      </c>
      <c r="W646">
        <v>50104782</v>
      </c>
      <c r="X646" t="s">
        <v>1771</v>
      </c>
      <c r="Y646" t="e">
        <f>VLOOKUP(W646,Sheet2!A:D,3,0)</f>
        <v>#N/A</v>
      </c>
      <c r="Z646" t="e">
        <f>VLOOKUP(W646,Sheet2!A:D,4,0)</f>
        <v>#N/A</v>
      </c>
    </row>
    <row r="647" spans="12:26">
      <c r="L647">
        <v>50114489</v>
      </c>
      <c r="M647" t="s">
        <v>1894</v>
      </c>
      <c r="N647">
        <v>50082171</v>
      </c>
      <c r="O647" t="s">
        <v>716</v>
      </c>
      <c r="U647">
        <v>50115634</v>
      </c>
      <c r="V647" t="s">
        <v>1914</v>
      </c>
      <c r="W647">
        <v>50104883</v>
      </c>
      <c r="X647" t="s">
        <v>932</v>
      </c>
      <c r="Y647">
        <f>VLOOKUP(W647,Sheet2!A:D,3,0)</f>
        <v>50104077</v>
      </c>
      <c r="Z647" t="str">
        <f>VLOOKUP(W647,Sheet2!A:D,4,0)</f>
        <v>ABS: NOVODUR HD M203FC</v>
      </c>
    </row>
    <row r="648" spans="12:26">
      <c r="L648">
        <v>50114489</v>
      </c>
      <c r="M648" t="s">
        <v>1894</v>
      </c>
      <c r="N648">
        <v>50082193</v>
      </c>
      <c r="O648" t="s">
        <v>724</v>
      </c>
      <c r="U648">
        <v>50115634</v>
      </c>
      <c r="V648" t="s">
        <v>1914</v>
      </c>
      <c r="W648">
        <v>50105059</v>
      </c>
      <c r="X648" t="s">
        <v>946</v>
      </c>
      <c r="Y648">
        <f>VLOOKUP(W648,Sheet2!A:D,3,0)</f>
        <v>50104077</v>
      </c>
      <c r="Z648" t="str">
        <f>VLOOKUP(W648,Sheet2!A:D,4,0)</f>
        <v>ABS: NOVODUR HD M203FC</v>
      </c>
    </row>
    <row r="649" spans="12:26">
      <c r="L649">
        <v>50114489</v>
      </c>
      <c r="M649" t="s">
        <v>1894</v>
      </c>
      <c r="N649">
        <v>50082223</v>
      </c>
      <c r="O649" t="s">
        <v>726</v>
      </c>
      <c r="U649">
        <v>50115634</v>
      </c>
      <c r="V649" t="s">
        <v>1914</v>
      </c>
      <c r="W649">
        <v>50106459</v>
      </c>
      <c r="X649" t="s">
        <v>1774</v>
      </c>
      <c r="Y649" t="e">
        <f>VLOOKUP(W649,Sheet2!A:D,3,0)</f>
        <v>#N/A</v>
      </c>
      <c r="Z649" t="e">
        <f>VLOOKUP(W649,Sheet2!A:D,4,0)</f>
        <v>#N/A</v>
      </c>
    </row>
    <row r="650" spans="12:26">
      <c r="L650">
        <v>50114596</v>
      </c>
      <c r="M650" t="s">
        <v>1895</v>
      </c>
      <c r="N650">
        <v>50104782</v>
      </c>
      <c r="O650" t="s">
        <v>1771</v>
      </c>
      <c r="U650">
        <v>50115634</v>
      </c>
      <c r="V650" t="s">
        <v>1914</v>
      </c>
      <c r="W650">
        <v>50108736</v>
      </c>
      <c r="X650" t="s">
        <v>1012</v>
      </c>
      <c r="Y650">
        <f>VLOOKUP(W650,Sheet2!A:D,3,0)</f>
        <v>50104078</v>
      </c>
      <c r="Z650" t="str">
        <f>VLOOKUP(W650,Sheet2!A:D,4,0)</f>
        <v>MABS: TERLUX HD 2812</v>
      </c>
    </row>
    <row r="651" spans="12:26">
      <c r="L651">
        <v>50114596</v>
      </c>
      <c r="M651" t="s">
        <v>1895</v>
      </c>
      <c r="N651">
        <v>50104883</v>
      </c>
      <c r="O651" t="s">
        <v>932</v>
      </c>
      <c r="U651">
        <v>50115634</v>
      </c>
      <c r="V651" t="s">
        <v>1914</v>
      </c>
      <c r="W651">
        <v>50108742</v>
      </c>
      <c r="X651" t="s">
        <v>1808</v>
      </c>
      <c r="Y651" t="e">
        <f>VLOOKUP(W651,Sheet2!A:D,3,0)</f>
        <v>#N/A</v>
      </c>
      <c r="Z651" t="e">
        <f>VLOOKUP(W651,Sheet2!A:D,4,0)</f>
        <v>#N/A</v>
      </c>
    </row>
    <row r="652" spans="12:26">
      <c r="L652">
        <v>50114596</v>
      </c>
      <c r="M652" t="s">
        <v>1895</v>
      </c>
      <c r="N652">
        <v>50104909</v>
      </c>
      <c r="O652" t="s">
        <v>934</v>
      </c>
      <c r="U652">
        <v>50115634</v>
      </c>
      <c r="V652" t="s">
        <v>1914</v>
      </c>
      <c r="W652">
        <v>50115633</v>
      </c>
      <c r="X652" t="s">
        <v>1280</v>
      </c>
      <c r="Y652">
        <f>VLOOKUP(W652,Sheet2!A:D,3,0)</f>
        <v>50104077</v>
      </c>
      <c r="Z652" t="str">
        <f>VLOOKUP(W652,Sheet2!A:D,4,0)</f>
        <v>ABS: NOVODUR HD M203FC</v>
      </c>
    </row>
    <row r="653" spans="12:26">
      <c r="L653">
        <v>50114596</v>
      </c>
      <c r="M653" t="s">
        <v>1895</v>
      </c>
      <c r="N653">
        <v>50105059</v>
      </c>
      <c r="O653" t="s">
        <v>946</v>
      </c>
      <c r="U653">
        <v>50115726</v>
      </c>
      <c r="V653" t="s">
        <v>1915</v>
      </c>
      <c r="W653">
        <v>50082179</v>
      </c>
      <c r="X653" t="s">
        <v>720</v>
      </c>
      <c r="Y653">
        <f>VLOOKUP(W653,Sheet2!A:D,3,0)</f>
        <v>50082181</v>
      </c>
      <c r="Z653" t="str">
        <f>VLOOKUP(W653,Sheet2!A:D,4,0)</f>
        <v>PPHP: COPYLENE CH120LN</v>
      </c>
    </row>
    <row r="654" spans="12:26">
      <c r="L654">
        <v>50114596</v>
      </c>
      <c r="M654" t="s">
        <v>1895</v>
      </c>
      <c r="N654">
        <v>50105081</v>
      </c>
      <c r="O654" t="s">
        <v>948</v>
      </c>
      <c r="U654">
        <v>50115726</v>
      </c>
      <c r="V654" t="s">
        <v>1915</v>
      </c>
      <c r="W654">
        <v>50082180</v>
      </c>
      <c r="X654" t="s">
        <v>721</v>
      </c>
      <c r="Y654">
        <f>VLOOKUP(W654,Sheet2!A:D,3,0)</f>
        <v>50082181</v>
      </c>
      <c r="Z654" t="str">
        <f>VLOOKUP(W654,Sheet2!A:D,4,0)</f>
        <v>PPHP: COPYLENE CH120LN</v>
      </c>
    </row>
    <row r="655" spans="12:26">
      <c r="L655">
        <v>50114596</v>
      </c>
      <c r="M655" t="s">
        <v>1895</v>
      </c>
      <c r="N655">
        <v>50114597</v>
      </c>
      <c r="O655" t="s">
        <v>1896</v>
      </c>
      <c r="U655">
        <v>50115747</v>
      </c>
      <c r="V655" t="s">
        <v>1916</v>
      </c>
      <c r="W655">
        <v>50104782</v>
      </c>
      <c r="X655" t="s">
        <v>1771</v>
      </c>
      <c r="Y655" t="e">
        <f>VLOOKUP(W655,Sheet2!A:D,3,0)</f>
        <v>#N/A</v>
      </c>
      <c r="Z655" t="e">
        <f>VLOOKUP(W655,Sheet2!A:D,4,0)</f>
        <v>#N/A</v>
      </c>
    </row>
    <row r="656" spans="12:26">
      <c r="L656">
        <v>50114597</v>
      </c>
      <c r="M656" t="s">
        <v>1896</v>
      </c>
      <c r="N656">
        <v>50105026</v>
      </c>
      <c r="O656" t="s">
        <v>944</v>
      </c>
      <c r="U656">
        <v>50115747</v>
      </c>
      <c r="V656" t="s">
        <v>1916</v>
      </c>
      <c r="W656">
        <v>50104883</v>
      </c>
      <c r="X656" t="s">
        <v>932</v>
      </c>
      <c r="Y656">
        <f>VLOOKUP(W656,Sheet2!A:D,3,0)</f>
        <v>50104077</v>
      </c>
      <c r="Z656" t="str">
        <f>VLOOKUP(W656,Sheet2!A:D,4,0)</f>
        <v>ABS: NOVODUR HD M203FC</v>
      </c>
    </row>
    <row r="657" spans="12:26">
      <c r="L657">
        <v>50114673</v>
      </c>
      <c r="M657" t="s">
        <v>1897</v>
      </c>
      <c r="N657">
        <v>50104541</v>
      </c>
      <c r="O657" t="s">
        <v>924</v>
      </c>
      <c r="U657">
        <v>50115747</v>
      </c>
      <c r="V657" t="s">
        <v>1916</v>
      </c>
      <c r="W657">
        <v>50104909</v>
      </c>
      <c r="X657" t="s">
        <v>934</v>
      </c>
      <c r="Y657">
        <f>VLOOKUP(W657,Sheet2!A:D,3,0)</f>
        <v>50104077</v>
      </c>
      <c r="Z657" t="str">
        <f>VLOOKUP(W657,Sheet2!A:D,4,0)</f>
        <v>ABS: NOVODUR HD M203FC</v>
      </c>
    </row>
    <row r="658" spans="12:26">
      <c r="L658">
        <v>50114673</v>
      </c>
      <c r="M658" t="s">
        <v>1897</v>
      </c>
      <c r="N658">
        <v>50104543</v>
      </c>
      <c r="O658" t="s">
        <v>927</v>
      </c>
      <c r="U658">
        <v>50115747</v>
      </c>
      <c r="V658" t="s">
        <v>1916</v>
      </c>
      <c r="W658">
        <v>50105059</v>
      </c>
      <c r="X658" t="s">
        <v>946</v>
      </c>
      <c r="Y658">
        <f>VLOOKUP(W658,Sheet2!A:D,3,0)</f>
        <v>50104077</v>
      </c>
      <c r="Z658" t="str">
        <f>VLOOKUP(W658,Sheet2!A:D,4,0)</f>
        <v>ABS: NOVODUR HD M203FC</v>
      </c>
    </row>
    <row r="659" spans="12:26">
      <c r="L659">
        <v>50114673</v>
      </c>
      <c r="M659" t="s">
        <v>1897</v>
      </c>
      <c r="N659">
        <v>50104544</v>
      </c>
      <c r="O659" t="s">
        <v>928</v>
      </c>
      <c r="U659">
        <v>50115747</v>
      </c>
      <c r="V659" t="s">
        <v>1916</v>
      </c>
      <c r="W659">
        <v>50105081</v>
      </c>
      <c r="X659" t="s">
        <v>948</v>
      </c>
      <c r="Y659">
        <f>VLOOKUP(W659,Sheet2!A:D,3,0)</f>
        <v>50104078</v>
      </c>
      <c r="Z659" t="str">
        <f>VLOOKUP(W659,Sheet2!A:D,4,0)</f>
        <v>MABS: TERLUX HD 2812</v>
      </c>
    </row>
    <row r="660" spans="12:26">
      <c r="L660">
        <v>50114673</v>
      </c>
      <c r="M660" t="s">
        <v>1897</v>
      </c>
      <c r="N660">
        <v>50114676</v>
      </c>
      <c r="O660" t="s">
        <v>1228</v>
      </c>
      <c r="U660">
        <v>50115747</v>
      </c>
      <c r="V660" t="s">
        <v>1916</v>
      </c>
      <c r="W660">
        <v>50113252</v>
      </c>
      <c r="X660" t="s">
        <v>1872</v>
      </c>
      <c r="Y660" t="e">
        <f>VLOOKUP(W660,Sheet2!A:D,3,0)</f>
        <v>#N/A</v>
      </c>
      <c r="Z660" t="e">
        <f>VLOOKUP(W660,Sheet2!A:D,4,0)</f>
        <v>#N/A</v>
      </c>
    </row>
    <row r="661" spans="12:26">
      <c r="L661">
        <v>50114838</v>
      </c>
      <c r="M661" t="s">
        <v>1898</v>
      </c>
      <c r="N661">
        <v>50099204</v>
      </c>
      <c r="O661" t="s">
        <v>847</v>
      </c>
      <c r="U661">
        <v>50115750</v>
      </c>
      <c r="V661" t="s">
        <v>1917</v>
      </c>
      <c r="W661">
        <v>50081995</v>
      </c>
      <c r="X661" t="s">
        <v>662</v>
      </c>
      <c r="Y661">
        <f>VLOOKUP(W661,Sheet2!A:D,3,0)</f>
        <v>50082181</v>
      </c>
      <c r="Z661" t="str">
        <f>VLOOKUP(W661,Sheet2!A:D,4,0)</f>
        <v>PPHP: COPYLENE CH120LN</v>
      </c>
    </row>
    <row r="662" spans="12:26">
      <c r="L662">
        <v>50114838</v>
      </c>
      <c r="M662" t="s">
        <v>1898</v>
      </c>
      <c r="N662">
        <v>50099333</v>
      </c>
      <c r="O662" t="s">
        <v>853</v>
      </c>
      <c r="U662">
        <v>50115750</v>
      </c>
      <c r="V662" t="s">
        <v>1917</v>
      </c>
      <c r="W662">
        <v>50082144</v>
      </c>
      <c r="X662" t="s">
        <v>709</v>
      </c>
      <c r="Y662">
        <f>VLOOKUP(W662,Sheet2!A:D,3,0)</f>
        <v>50082181</v>
      </c>
      <c r="Z662" t="str">
        <f>VLOOKUP(W662,Sheet2!A:D,4,0)</f>
        <v>PPHP: COPYLENE CH120LN</v>
      </c>
    </row>
    <row r="663" spans="12:26">
      <c r="L663">
        <v>50114839</v>
      </c>
      <c r="M663" t="s">
        <v>1899</v>
      </c>
      <c r="N663">
        <v>50099205</v>
      </c>
      <c r="O663" t="s">
        <v>848</v>
      </c>
      <c r="U663">
        <v>50115751</v>
      </c>
      <c r="V663" t="s">
        <v>1918</v>
      </c>
      <c r="W663">
        <v>50082144</v>
      </c>
      <c r="X663" t="s">
        <v>709</v>
      </c>
      <c r="Y663">
        <f>VLOOKUP(W663,Sheet2!A:D,3,0)</f>
        <v>50082181</v>
      </c>
      <c r="Z663" t="str">
        <f>VLOOKUP(W663,Sheet2!A:D,4,0)</f>
        <v>PPHP: COPYLENE CH120LN</v>
      </c>
    </row>
    <row r="664" spans="12:26">
      <c r="L664">
        <v>50114839</v>
      </c>
      <c r="M664" t="s">
        <v>1899</v>
      </c>
      <c r="N664">
        <v>50099334</v>
      </c>
      <c r="O664" t="s">
        <v>854</v>
      </c>
      <c r="U664">
        <v>50115751</v>
      </c>
      <c r="V664" t="s">
        <v>1918</v>
      </c>
      <c r="W664">
        <v>50082177</v>
      </c>
      <c r="X664" t="s">
        <v>718</v>
      </c>
      <c r="Y664">
        <f>VLOOKUP(W664,Sheet2!A:D,3,0)</f>
        <v>50082181</v>
      </c>
      <c r="Z664" t="str">
        <f>VLOOKUP(W664,Sheet2!A:D,4,0)</f>
        <v>PPHP: COPYLENE CH120LN</v>
      </c>
    </row>
    <row r="665" spans="12:26">
      <c r="L665">
        <v>50114907</v>
      </c>
      <c r="M665" t="s">
        <v>1900</v>
      </c>
      <c r="N665">
        <v>50102096</v>
      </c>
      <c r="O665" t="s">
        <v>897</v>
      </c>
      <c r="U665">
        <v>50115754</v>
      </c>
      <c r="V665" t="s">
        <v>1919</v>
      </c>
      <c r="W665">
        <v>50104782</v>
      </c>
      <c r="X665" t="s">
        <v>1771</v>
      </c>
      <c r="Y665" t="e">
        <f>VLOOKUP(W665,Sheet2!A:D,3,0)</f>
        <v>#N/A</v>
      </c>
      <c r="Z665" t="e">
        <f>VLOOKUP(W665,Sheet2!A:D,4,0)</f>
        <v>#N/A</v>
      </c>
    </row>
    <row r="666" spans="12:26">
      <c r="L666">
        <v>50114907</v>
      </c>
      <c r="M666" t="s">
        <v>1900</v>
      </c>
      <c r="N666">
        <v>50109444</v>
      </c>
      <c r="O666" t="s">
        <v>1047</v>
      </c>
      <c r="U666">
        <v>50115754</v>
      </c>
      <c r="V666" t="s">
        <v>1919</v>
      </c>
      <c r="W666">
        <v>50104883</v>
      </c>
      <c r="X666" t="s">
        <v>932</v>
      </c>
      <c r="Y666">
        <f>VLOOKUP(W666,Sheet2!A:D,3,0)</f>
        <v>50104077</v>
      </c>
      <c r="Z666" t="str">
        <f>VLOOKUP(W666,Sheet2!A:D,4,0)</f>
        <v>ABS: NOVODUR HD M203FC</v>
      </c>
    </row>
    <row r="667" spans="12:26">
      <c r="L667">
        <v>50114908</v>
      </c>
      <c r="M667" t="s">
        <v>1901</v>
      </c>
      <c r="N667">
        <v>50099334</v>
      </c>
      <c r="O667" t="s">
        <v>854</v>
      </c>
      <c r="U667">
        <v>50115754</v>
      </c>
      <c r="V667" t="s">
        <v>1919</v>
      </c>
      <c r="W667">
        <v>50105026</v>
      </c>
      <c r="X667" t="s">
        <v>944</v>
      </c>
      <c r="Y667">
        <f>VLOOKUP(W667,Sheet2!A:D,3,0)</f>
        <v>50104077</v>
      </c>
      <c r="Z667" t="str">
        <f>VLOOKUP(W667,Sheet2!A:D,4,0)</f>
        <v>ABS: NOVODUR HD M203FC</v>
      </c>
    </row>
    <row r="668" spans="12:26">
      <c r="L668">
        <v>50114908</v>
      </c>
      <c r="M668" t="s">
        <v>1901</v>
      </c>
      <c r="N668">
        <v>50109446</v>
      </c>
      <c r="O668" t="s">
        <v>1049</v>
      </c>
      <c r="U668">
        <v>50115754</v>
      </c>
      <c r="V668" t="s">
        <v>1919</v>
      </c>
      <c r="W668">
        <v>50105059</v>
      </c>
      <c r="X668" t="s">
        <v>946</v>
      </c>
      <c r="Y668">
        <f>VLOOKUP(W668,Sheet2!A:D,3,0)</f>
        <v>50104077</v>
      </c>
      <c r="Z668" t="str">
        <f>VLOOKUP(W668,Sheet2!A:D,4,0)</f>
        <v>ABS: NOVODUR HD M203FC</v>
      </c>
    </row>
    <row r="669" spans="12:26">
      <c r="L669">
        <v>50114909</v>
      </c>
      <c r="M669" t="s">
        <v>1902</v>
      </c>
      <c r="N669">
        <v>50099333</v>
      </c>
      <c r="O669" t="s">
        <v>853</v>
      </c>
      <c r="U669">
        <v>50115754</v>
      </c>
      <c r="V669" t="s">
        <v>1919</v>
      </c>
      <c r="W669">
        <v>50105081</v>
      </c>
      <c r="X669" t="s">
        <v>948</v>
      </c>
      <c r="Y669">
        <f>VLOOKUP(W669,Sheet2!A:D,3,0)</f>
        <v>50104078</v>
      </c>
      <c r="Z669" t="str">
        <f>VLOOKUP(W669,Sheet2!A:D,4,0)</f>
        <v>MABS: TERLUX HD 2812</v>
      </c>
    </row>
    <row r="670" spans="12:26">
      <c r="L670">
        <v>50114909</v>
      </c>
      <c r="M670" t="s">
        <v>1902</v>
      </c>
      <c r="N670">
        <v>50109445</v>
      </c>
      <c r="O670" t="s">
        <v>1048</v>
      </c>
      <c r="U670">
        <v>50115754</v>
      </c>
      <c r="V670" t="s">
        <v>1919</v>
      </c>
      <c r="W670">
        <v>50106459</v>
      </c>
      <c r="X670" t="s">
        <v>1774</v>
      </c>
      <c r="Y670" t="e">
        <f>VLOOKUP(W670,Sheet2!A:D,3,0)</f>
        <v>#N/A</v>
      </c>
      <c r="Z670" t="e">
        <f>VLOOKUP(W670,Sheet2!A:D,4,0)</f>
        <v>#N/A</v>
      </c>
    </row>
    <row r="671" spans="12:26">
      <c r="L671">
        <v>50115106</v>
      </c>
      <c r="M671" t="s">
        <v>1903</v>
      </c>
      <c r="N671">
        <v>50105026</v>
      </c>
      <c r="O671" t="s">
        <v>944</v>
      </c>
      <c r="U671">
        <v>50115754</v>
      </c>
      <c r="V671" t="s">
        <v>1919</v>
      </c>
      <c r="W671">
        <v>50115631</v>
      </c>
      <c r="X671" t="s">
        <v>1279</v>
      </c>
      <c r="Y671">
        <f>VLOOKUP(W671,Sheet2!A:D,3,0)</f>
        <v>50104077</v>
      </c>
      <c r="Z671" t="str">
        <f>VLOOKUP(W671,Sheet2!A:D,4,0)</f>
        <v>ABS: NOVODUR HD M203FC</v>
      </c>
    </row>
    <row r="672" spans="12:26">
      <c r="L672">
        <v>50115107</v>
      </c>
      <c r="M672" t="s">
        <v>1904</v>
      </c>
      <c r="N672">
        <v>50104782</v>
      </c>
      <c r="O672" t="s">
        <v>1771</v>
      </c>
      <c r="U672">
        <v>50115767</v>
      </c>
      <c r="V672" t="s">
        <v>1920</v>
      </c>
      <c r="W672">
        <v>50104782</v>
      </c>
      <c r="X672" t="s">
        <v>1771</v>
      </c>
      <c r="Y672" t="e">
        <f>VLOOKUP(W672,Sheet2!A:D,3,0)</f>
        <v>#N/A</v>
      </c>
      <c r="Z672" t="e">
        <f>VLOOKUP(W672,Sheet2!A:D,4,0)</f>
        <v>#N/A</v>
      </c>
    </row>
    <row r="673" spans="12:26">
      <c r="L673">
        <v>50115107</v>
      </c>
      <c r="M673" t="s">
        <v>1904</v>
      </c>
      <c r="N673">
        <v>50104883</v>
      </c>
      <c r="O673" t="s">
        <v>932</v>
      </c>
      <c r="U673">
        <v>50115767</v>
      </c>
      <c r="V673" t="s">
        <v>1920</v>
      </c>
      <c r="W673">
        <v>50104883</v>
      </c>
      <c r="X673" t="s">
        <v>932</v>
      </c>
      <c r="Y673">
        <f>VLOOKUP(W673,Sheet2!A:D,3,0)</f>
        <v>50104077</v>
      </c>
      <c r="Z673" t="str">
        <f>VLOOKUP(W673,Sheet2!A:D,4,0)</f>
        <v>ABS: NOVODUR HD M203FC</v>
      </c>
    </row>
    <row r="674" spans="12:26">
      <c r="L674">
        <v>50115107</v>
      </c>
      <c r="M674" t="s">
        <v>1904</v>
      </c>
      <c r="N674">
        <v>50104909</v>
      </c>
      <c r="O674" t="s">
        <v>934</v>
      </c>
      <c r="U674">
        <v>50115767</v>
      </c>
      <c r="V674" t="s">
        <v>1920</v>
      </c>
      <c r="W674">
        <v>50105026</v>
      </c>
      <c r="X674" t="s">
        <v>944</v>
      </c>
      <c r="Y674">
        <f>VLOOKUP(W674,Sheet2!A:D,3,0)</f>
        <v>50104077</v>
      </c>
      <c r="Z674" t="str">
        <f>VLOOKUP(W674,Sheet2!A:D,4,0)</f>
        <v>ABS: NOVODUR HD M203FC</v>
      </c>
    </row>
    <row r="675" spans="12:26">
      <c r="L675">
        <v>50115107</v>
      </c>
      <c r="M675" t="s">
        <v>1904</v>
      </c>
      <c r="N675">
        <v>50105059</v>
      </c>
      <c r="O675" t="s">
        <v>946</v>
      </c>
      <c r="U675">
        <v>50115767</v>
      </c>
      <c r="V675" t="s">
        <v>1920</v>
      </c>
      <c r="W675">
        <v>50105059</v>
      </c>
      <c r="X675" t="s">
        <v>946</v>
      </c>
      <c r="Y675">
        <f>VLOOKUP(W675,Sheet2!A:D,3,0)</f>
        <v>50104077</v>
      </c>
      <c r="Z675" t="str">
        <f>VLOOKUP(W675,Sheet2!A:D,4,0)</f>
        <v>ABS: NOVODUR HD M203FC</v>
      </c>
    </row>
    <row r="676" spans="12:26">
      <c r="L676">
        <v>50115107</v>
      </c>
      <c r="M676" t="s">
        <v>1904</v>
      </c>
      <c r="N676">
        <v>50105081</v>
      </c>
      <c r="O676" t="s">
        <v>948</v>
      </c>
      <c r="U676">
        <v>50115767</v>
      </c>
      <c r="V676" t="s">
        <v>1920</v>
      </c>
      <c r="W676">
        <v>50105081</v>
      </c>
      <c r="X676" t="s">
        <v>948</v>
      </c>
      <c r="Y676">
        <f>VLOOKUP(W676,Sheet2!A:D,3,0)</f>
        <v>50104078</v>
      </c>
      <c r="Z676" t="str">
        <f>VLOOKUP(W676,Sheet2!A:D,4,0)</f>
        <v>MABS: TERLUX HD 2812</v>
      </c>
    </row>
    <row r="677" spans="12:26">
      <c r="L677">
        <v>50115107</v>
      </c>
      <c r="M677" t="s">
        <v>1904</v>
      </c>
      <c r="N677">
        <v>50106459</v>
      </c>
      <c r="O677" t="s">
        <v>1774</v>
      </c>
      <c r="U677">
        <v>50115767</v>
      </c>
      <c r="V677" t="s">
        <v>1920</v>
      </c>
      <c r="W677">
        <v>50106459</v>
      </c>
      <c r="X677" t="s">
        <v>1774</v>
      </c>
      <c r="Y677" t="e">
        <f>VLOOKUP(W677,Sheet2!A:D,3,0)</f>
        <v>#N/A</v>
      </c>
      <c r="Z677" t="e">
        <f>VLOOKUP(W677,Sheet2!A:D,4,0)</f>
        <v>#N/A</v>
      </c>
    </row>
    <row r="678" spans="12:26">
      <c r="L678">
        <v>50115107</v>
      </c>
      <c r="M678" t="s">
        <v>1904</v>
      </c>
      <c r="N678">
        <v>50115106</v>
      </c>
      <c r="O678" t="s">
        <v>1903</v>
      </c>
      <c r="U678">
        <v>50115767</v>
      </c>
      <c r="V678" t="s">
        <v>1920</v>
      </c>
      <c r="W678">
        <v>50115766</v>
      </c>
      <c r="X678" t="s">
        <v>1921</v>
      </c>
      <c r="Y678" t="e">
        <f>VLOOKUP(W678,Sheet2!A:D,3,0)</f>
        <v>#N/A</v>
      </c>
      <c r="Z678" t="e">
        <f>VLOOKUP(W678,Sheet2!A:D,4,0)</f>
        <v>#N/A</v>
      </c>
    </row>
    <row r="679" spans="12:26">
      <c r="L679">
        <v>50115291</v>
      </c>
      <c r="M679" t="s">
        <v>1905</v>
      </c>
      <c r="N679">
        <v>50104883</v>
      </c>
      <c r="O679" t="s">
        <v>932</v>
      </c>
      <c r="U679">
        <v>50115773</v>
      </c>
      <c r="V679" t="s">
        <v>1922</v>
      </c>
      <c r="W679">
        <v>50104883</v>
      </c>
      <c r="X679" t="s">
        <v>932</v>
      </c>
      <c r="Y679">
        <f>VLOOKUP(W679,Sheet2!A:D,3,0)</f>
        <v>50104077</v>
      </c>
      <c r="Z679" t="str">
        <f>VLOOKUP(W679,Sheet2!A:D,4,0)</f>
        <v>ABS: NOVODUR HD M203FC</v>
      </c>
    </row>
    <row r="680" spans="12:26">
      <c r="L680">
        <v>50115291</v>
      </c>
      <c r="M680" t="s">
        <v>1905</v>
      </c>
      <c r="N680">
        <v>50105026</v>
      </c>
      <c r="O680" t="s">
        <v>944</v>
      </c>
      <c r="U680">
        <v>50115773</v>
      </c>
      <c r="V680" t="s">
        <v>1922</v>
      </c>
      <c r="W680">
        <v>50105059</v>
      </c>
      <c r="X680" t="s">
        <v>946</v>
      </c>
      <c r="Y680">
        <f>VLOOKUP(W680,Sheet2!A:D,3,0)</f>
        <v>50104077</v>
      </c>
      <c r="Z680" t="str">
        <f>VLOOKUP(W680,Sheet2!A:D,4,0)</f>
        <v>ABS: NOVODUR HD M203FC</v>
      </c>
    </row>
    <row r="681" spans="12:26">
      <c r="L681">
        <v>50115291</v>
      </c>
      <c r="M681" t="s">
        <v>1905</v>
      </c>
      <c r="N681">
        <v>50105059</v>
      </c>
      <c r="O681" t="s">
        <v>946</v>
      </c>
      <c r="U681">
        <v>50115773</v>
      </c>
      <c r="V681" t="s">
        <v>1922</v>
      </c>
      <c r="W681">
        <v>50106459</v>
      </c>
      <c r="X681" t="s">
        <v>1774</v>
      </c>
      <c r="Y681" t="e">
        <f>VLOOKUP(W681,Sheet2!A:D,3,0)</f>
        <v>#N/A</v>
      </c>
      <c r="Z681" t="e">
        <f>VLOOKUP(W681,Sheet2!A:D,4,0)</f>
        <v>#N/A</v>
      </c>
    </row>
    <row r="682" spans="12:26">
      <c r="L682">
        <v>50115291</v>
      </c>
      <c r="M682" t="s">
        <v>1905</v>
      </c>
      <c r="N682">
        <v>50105081</v>
      </c>
      <c r="O682" t="s">
        <v>948</v>
      </c>
      <c r="U682">
        <v>50115773</v>
      </c>
      <c r="V682" t="s">
        <v>1922</v>
      </c>
      <c r="W682">
        <v>50115648</v>
      </c>
      <c r="X682" t="s">
        <v>1288</v>
      </c>
      <c r="Y682">
        <f>VLOOKUP(W682,Sheet2!A:D,3,0)</f>
        <v>50104077</v>
      </c>
      <c r="Z682" t="str">
        <f>VLOOKUP(W682,Sheet2!A:D,4,0)</f>
        <v>ABS: NOVODUR HD M203FC</v>
      </c>
    </row>
    <row r="683" spans="12:26">
      <c r="L683">
        <v>50115291</v>
      </c>
      <c r="M683" t="s">
        <v>1905</v>
      </c>
      <c r="N683">
        <v>50106459</v>
      </c>
      <c r="O683" t="s">
        <v>1774</v>
      </c>
      <c r="U683">
        <v>50115773</v>
      </c>
      <c r="V683" t="s">
        <v>1922</v>
      </c>
      <c r="W683">
        <v>50115763</v>
      </c>
      <c r="X683" t="s">
        <v>1309</v>
      </c>
      <c r="Y683">
        <f>VLOOKUP(W683,Sheet2!A:D,3,0)</f>
        <v>50104078</v>
      </c>
      <c r="Z683" t="str">
        <f>VLOOKUP(W683,Sheet2!A:D,4,0)</f>
        <v>MABS: TERLUX HD 2812</v>
      </c>
    </row>
    <row r="684" spans="12:26">
      <c r="L684">
        <v>50115291</v>
      </c>
      <c r="M684" t="s">
        <v>1905</v>
      </c>
      <c r="N684">
        <v>50115088</v>
      </c>
      <c r="O684" t="s">
        <v>1250</v>
      </c>
      <c r="U684">
        <v>50115773</v>
      </c>
      <c r="V684" t="s">
        <v>1922</v>
      </c>
      <c r="W684">
        <v>50115775</v>
      </c>
      <c r="X684" t="s">
        <v>1311</v>
      </c>
      <c r="Y684">
        <f>VLOOKUP(W684,Sheet2!A:D,3,0)</f>
        <v>50104078</v>
      </c>
      <c r="Z684" t="str">
        <f>VLOOKUP(W684,Sheet2!A:D,4,0)</f>
        <v>MABS: TERLUX HD 2812</v>
      </c>
    </row>
    <row r="685" spans="12:26">
      <c r="L685">
        <v>50115493</v>
      </c>
      <c r="M685" t="s">
        <v>1906</v>
      </c>
      <c r="N685">
        <v>50108817</v>
      </c>
      <c r="O685" t="s">
        <v>1013</v>
      </c>
      <c r="U685">
        <v>50115802</v>
      </c>
      <c r="V685" t="s">
        <v>1925</v>
      </c>
      <c r="W685">
        <v>50104782</v>
      </c>
      <c r="X685" t="s">
        <v>1771</v>
      </c>
      <c r="Y685" t="e">
        <f>VLOOKUP(W685,Sheet2!A:D,3,0)</f>
        <v>#N/A</v>
      </c>
      <c r="Z685" t="e">
        <f>VLOOKUP(W685,Sheet2!A:D,4,0)</f>
        <v>#N/A</v>
      </c>
    </row>
    <row r="686" spans="12:26">
      <c r="L686">
        <v>50115493</v>
      </c>
      <c r="M686" t="s">
        <v>1906</v>
      </c>
      <c r="N686">
        <v>50108818</v>
      </c>
      <c r="O686" t="s">
        <v>1014</v>
      </c>
      <c r="U686">
        <v>50115802</v>
      </c>
      <c r="V686" t="s">
        <v>1925</v>
      </c>
      <c r="W686">
        <v>50105081</v>
      </c>
      <c r="X686" t="s">
        <v>948</v>
      </c>
      <c r="Y686">
        <f>VLOOKUP(W686,Sheet2!A:D,3,0)</f>
        <v>50104078</v>
      </c>
      <c r="Z686" t="str">
        <f>VLOOKUP(W686,Sheet2!A:D,4,0)</f>
        <v>MABS: TERLUX HD 2812</v>
      </c>
    </row>
    <row r="687" spans="12:26">
      <c r="L687">
        <v>50115493</v>
      </c>
      <c r="M687" t="s">
        <v>1906</v>
      </c>
      <c r="N687">
        <v>50108819</v>
      </c>
      <c r="O687" t="s">
        <v>1015</v>
      </c>
      <c r="U687">
        <v>50115802</v>
      </c>
      <c r="V687" t="s">
        <v>1925</v>
      </c>
      <c r="W687">
        <v>50115733</v>
      </c>
      <c r="X687" t="s">
        <v>1302</v>
      </c>
      <c r="Y687">
        <f>VLOOKUP(W687,Sheet2!A:D,3,0)</f>
        <v>50115697</v>
      </c>
      <c r="Z687" t="str">
        <f>VLOOKUP(W687,Sheet2!A:D,4,0)</f>
        <v>ABS: POLYLAC PA-704LRP</v>
      </c>
    </row>
    <row r="688" spans="12:26">
      <c r="L688">
        <v>50115493</v>
      </c>
      <c r="M688" t="s">
        <v>1906</v>
      </c>
      <c r="N688">
        <v>50108820</v>
      </c>
      <c r="O688" t="s">
        <v>1017</v>
      </c>
      <c r="U688">
        <v>50115802</v>
      </c>
      <c r="V688" t="s">
        <v>1925</v>
      </c>
      <c r="W688">
        <v>50115799</v>
      </c>
      <c r="X688" t="s">
        <v>1323</v>
      </c>
      <c r="Y688">
        <f>VLOOKUP(W688,Sheet2!A:D,3,0)</f>
        <v>50115697</v>
      </c>
      <c r="Z688" t="str">
        <f>VLOOKUP(W688,Sheet2!A:D,4,0)</f>
        <v>ABS: POLYLAC PA-704LRP</v>
      </c>
    </row>
    <row r="689" spans="12:26">
      <c r="L689">
        <v>50115493</v>
      </c>
      <c r="M689" t="s">
        <v>1906</v>
      </c>
      <c r="N689">
        <v>50108821</v>
      </c>
      <c r="O689" t="s">
        <v>1018</v>
      </c>
      <c r="U689">
        <v>50115802</v>
      </c>
      <c r="V689" t="s">
        <v>1925</v>
      </c>
      <c r="W689">
        <v>50115800</v>
      </c>
      <c r="X689" t="s">
        <v>1324</v>
      </c>
      <c r="Y689">
        <f>VLOOKUP(W689,Sheet2!A:D,3,0)</f>
        <v>50115697</v>
      </c>
      <c r="Z689" t="str">
        <f>VLOOKUP(W689,Sheet2!A:D,4,0)</f>
        <v>ABS: POLYLAC PA-704LRP</v>
      </c>
    </row>
    <row r="690" spans="12:26">
      <c r="L690">
        <v>50115493</v>
      </c>
      <c r="M690" t="s">
        <v>1906</v>
      </c>
      <c r="N690">
        <v>50108824</v>
      </c>
      <c r="O690" t="s">
        <v>1019</v>
      </c>
      <c r="U690">
        <v>50115802</v>
      </c>
      <c r="V690" t="s">
        <v>1925</v>
      </c>
      <c r="W690">
        <v>50115801</v>
      </c>
      <c r="X690" t="s">
        <v>1325</v>
      </c>
      <c r="Y690">
        <f>VLOOKUP(W690,Sheet2!A:D,3,0)</f>
        <v>50115697</v>
      </c>
      <c r="Z690" t="str">
        <f>VLOOKUP(W690,Sheet2!A:D,4,0)</f>
        <v>ABS: POLYLAC PA-704LRP</v>
      </c>
    </row>
    <row r="691" spans="12:26">
      <c r="L691">
        <v>50115493</v>
      </c>
      <c r="M691" t="s">
        <v>1906</v>
      </c>
      <c r="N691">
        <v>50108827</v>
      </c>
      <c r="O691" t="s">
        <v>1021</v>
      </c>
      <c r="U691">
        <v>50115803</v>
      </c>
      <c r="V691" t="s">
        <v>1926</v>
      </c>
      <c r="W691">
        <v>50105240</v>
      </c>
      <c r="X691" t="s">
        <v>954</v>
      </c>
      <c r="Y691">
        <f>VLOOKUP(W691,Sheet2!A:D,3,0)</f>
        <v>50103359</v>
      </c>
      <c r="Z691" t="str">
        <f>VLOOKUP(W691,Sheet2!A:D,4,0)</f>
        <v>HDPE: MARLEX 9012</v>
      </c>
    </row>
    <row r="692" spans="12:26">
      <c r="L692">
        <v>50115493</v>
      </c>
      <c r="M692" t="s">
        <v>1906</v>
      </c>
      <c r="N692">
        <v>50113441</v>
      </c>
      <c r="O692" t="s">
        <v>1164</v>
      </c>
      <c r="U692">
        <v>50115803</v>
      </c>
      <c r="V692" t="s">
        <v>1926</v>
      </c>
      <c r="W692">
        <v>50105241</v>
      </c>
      <c r="X692" t="s">
        <v>955</v>
      </c>
      <c r="Y692">
        <f>VLOOKUP(W692,Sheet2!A:D,3,0)</f>
        <v>50103359</v>
      </c>
      <c r="Z692" t="str">
        <f>VLOOKUP(W692,Sheet2!A:D,4,0)</f>
        <v>HDPE: MARLEX 9012</v>
      </c>
    </row>
    <row r="693" spans="12:26">
      <c r="L693">
        <v>50115493</v>
      </c>
      <c r="M693" t="s">
        <v>1906</v>
      </c>
      <c r="N693">
        <v>50114485</v>
      </c>
      <c r="O693" t="s">
        <v>1887</v>
      </c>
      <c r="U693">
        <v>50115803</v>
      </c>
      <c r="V693" t="s">
        <v>1926</v>
      </c>
      <c r="W693">
        <v>50105242</v>
      </c>
      <c r="X693" t="s">
        <v>956</v>
      </c>
      <c r="Y693">
        <f>VLOOKUP(W693,Sheet2!A:D,3,0)</f>
        <v>50103359</v>
      </c>
      <c r="Z693" t="str">
        <f>VLOOKUP(W693,Sheet2!A:D,4,0)</f>
        <v>HDPE: MARLEX 9012</v>
      </c>
    </row>
    <row r="694" spans="12:26">
      <c r="L694">
        <v>50115577</v>
      </c>
      <c r="M694" t="s">
        <v>1907</v>
      </c>
      <c r="N694">
        <v>50105026</v>
      </c>
      <c r="O694" t="s">
        <v>944</v>
      </c>
      <c r="U694">
        <v>50115803</v>
      </c>
      <c r="V694" t="s">
        <v>1926</v>
      </c>
      <c r="W694">
        <v>50105243</v>
      </c>
      <c r="X694" t="s">
        <v>957</v>
      </c>
      <c r="Y694">
        <f>VLOOKUP(W694,Sheet2!A:D,3,0)</f>
        <v>50103359</v>
      </c>
      <c r="Z694" t="str">
        <f>VLOOKUP(W694,Sheet2!A:D,4,0)</f>
        <v>HDPE: MARLEX 9012</v>
      </c>
    </row>
    <row r="695" spans="12:26">
      <c r="L695">
        <v>50115578</v>
      </c>
      <c r="M695" t="s">
        <v>1908</v>
      </c>
      <c r="N695">
        <v>50104782</v>
      </c>
      <c r="O695" t="s">
        <v>1771</v>
      </c>
      <c r="U695">
        <v>50115814</v>
      </c>
      <c r="V695" t="s">
        <v>1927</v>
      </c>
      <c r="W695">
        <v>50102096</v>
      </c>
      <c r="X695" t="s">
        <v>897</v>
      </c>
      <c r="Y695">
        <f>VLOOKUP(W695,Sheet2!A:D,3,0)</f>
        <v>50097522</v>
      </c>
      <c r="Z695" t="str">
        <f>VLOOKUP(W695,Sheet2!A:D,4,0)</f>
        <v>PPHP: REPOL H110MAS</v>
      </c>
    </row>
    <row r="696" spans="12:26">
      <c r="L696">
        <v>50115578</v>
      </c>
      <c r="M696" t="s">
        <v>1908</v>
      </c>
      <c r="N696">
        <v>50104883</v>
      </c>
      <c r="O696" t="s">
        <v>932</v>
      </c>
      <c r="U696">
        <v>50115814</v>
      </c>
      <c r="V696" t="s">
        <v>1927</v>
      </c>
      <c r="W696">
        <v>50109444</v>
      </c>
      <c r="X696" t="s">
        <v>1047</v>
      </c>
      <c r="Y696">
        <f>VLOOKUP(W696,Sheet2!A:D,3,0)</f>
        <v>50097522</v>
      </c>
      <c r="Z696" t="str">
        <f>VLOOKUP(W696,Sheet2!A:D,4,0)</f>
        <v>PPHP: REPOL H110MAS</v>
      </c>
    </row>
    <row r="697" spans="12:26">
      <c r="L697">
        <v>50115578</v>
      </c>
      <c r="M697" t="s">
        <v>1908</v>
      </c>
      <c r="N697">
        <v>50104909</v>
      </c>
      <c r="O697" t="s">
        <v>934</v>
      </c>
      <c r="U697">
        <v>50115843</v>
      </c>
      <c r="V697" t="s">
        <v>1930</v>
      </c>
      <c r="W697">
        <v>50099205</v>
      </c>
      <c r="X697" t="s">
        <v>848</v>
      </c>
      <c r="Y697">
        <f>VLOOKUP(W697,Sheet2!A:D,3,0)</f>
        <v>50097522</v>
      </c>
      <c r="Z697" t="str">
        <f>VLOOKUP(W697,Sheet2!A:D,4,0)</f>
        <v>PPHP: REPOL H110MAS</v>
      </c>
    </row>
    <row r="698" spans="12:26">
      <c r="L698">
        <v>50115578</v>
      </c>
      <c r="M698" t="s">
        <v>1908</v>
      </c>
      <c r="N698">
        <v>50105059</v>
      </c>
      <c r="O698" t="s">
        <v>946</v>
      </c>
      <c r="U698">
        <v>50115843</v>
      </c>
      <c r="V698" t="s">
        <v>1930</v>
      </c>
      <c r="W698">
        <v>50099334</v>
      </c>
      <c r="X698" t="s">
        <v>854</v>
      </c>
      <c r="Y698">
        <f>VLOOKUP(W698,Sheet2!A:D,3,0)</f>
        <v>50097522</v>
      </c>
      <c r="Z698" t="str">
        <f>VLOOKUP(W698,Sheet2!A:D,4,0)</f>
        <v>PPHP: REPOL H110MAS</v>
      </c>
    </row>
    <row r="699" spans="12:26">
      <c r="L699">
        <v>50115578</v>
      </c>
      <c r="M699" t="s">
        <v>1908</v>
      </c>
      <c r="N699">
        <v>50105081</v>
      </c>
      <c r="O699" t="s">
        <v>948</v>
      </c>
      <c r="U699">
        <v>50115862</v>
      </c>
      <c r="V699" t="s">
        <v>183</v>
      </c>
      <c r="W699">
        <v>50104542</v>
      </c>
      <c r="X699" t="s">
        <v>926</v>
      </c>
      <c r="Y699">
        <f>VLOOKUP(W699,Sheet2!A:D,3,0)</f>
        <v>50103359</v>
      </c>
      <c r="Z699" t="str">
        <f>VLOOKUP(W699,Sheet2!A:D,4,0)</f>
        <v>HDPE: MARLEX 9012</v>
      </c>
    </row>
    <row r="700" spans="12:26">
      <c r="L700">
        <v>50115578</v>
      </c>
      <c r="M700" t="s">
        <v>1908</v>
      </c>
      <c r="N700">
        <v>50115577</v>
      </c>
      <c r="O700" t="s">
        <v>1907</v>
      </c>
      <c r="U700">
        <v>50115862</v>
      </c>
      <c r="V700" t="s">
        <v>183</v>
      </c>
      <c r="W700">
        <v>50104543</v>
      </c>
      <c r="X700" t="s">
        <v>927</v>
      </c>
      <c r="Y700">
        <f>VLOOKUP(W700,Sheet2!A:D,3,0)</f>
        <v>50103359</v>
      </c>
      <c r="Z700" t="str">
        <f>VLOOKUP(W700,Sheet2!A:D,4,0)</f>
        <v>HDPE: MARLEX 9012</v>
      </c>
    </row>
    <row r="701" spans="12:26">
      <c r="L701">
        <v>50115582</v>
      </c>
      <c r="M701" t="s">
        <v>1909</v>
      </c>
      <c r="N701">
        <v>50102095</v>
      </c>
      <c r="O701" t="s">
        <v>896</v>
      </c>
      <c r="U701">
        <v>50115862</v>
      </c>
      <c r="V701" t="s">
        <v>183</v>
      </c>
      <c r="W701">
        <v>50104544</v>
      </c>
      <c r="X701" t="s">
        <v>928</v>
      </c>
      <c r="Y701">
        <f>VLOOKUP(W701,Sheet2!A:D,3,0)</f>
        <v>50103359</v>
      </c>
      <c r="Z701" t="str">
        <f>VLOOKUP(W701,Sheet2!A:D,4,0)</f>
        <v>HDPE: MARLEX 9012</v>
      </c>
    </row>
    <row r="702" spans="12:26">
      <c r="L702">
        <v>50115582</v>
      </c>
      <c r="M702" t="s">
        <v>1909</v>
      </c>
      <c r="N702">
        <v>50102096</v>
      </c>
      <c r="O702" t="s">
        <v>897</v>
      </c>
      <c r="U702">
        <v>50115862</v>
      </c>
      <c r="V702" t="s">
        <v>183</v>
      </c>
      <c r="W702">
        <v>50115859</v>
      </c>
      <c r="X702" t="s">
        <v>1326</v>
      </c>
      <c r="Y702">
        <f>VLOOKUP(W702,Sheet2!A:D,3,0)</f>
        <v>50103359</v>
      </c>
      <c r="Z702" t="str">
        <f>VLOOKUP(W702,Sheet2!A:D,4,0)</f>
        <v>HDPE: MARLEX 9012</v>
      </c>
    </row>
    <row r="703" spans="12:26">
      <c r="L703">
        <v>50115613</v>
      </c>
      <c r="M703" t="s">
        <v>1910</v>
      </c>
      <c r="N703">
        <v>50104782</v>
      </c>
      <c r="O703" t="s">
        <v>1771</v>
      </c>
      <c r="U703">
        <v>50115904</v>
      </c>
      <c r="V703" t="s">
        <v>1931</v>
      </c>
      <c r="W703">
        <v>50099333</v>
      </c>
      <c r="X703" t="s">
        <v>853</v>
      </c>
      <c r="Y703">
        <f>VLOOKUP(W703,Sheet2!A:D,3,0)</f>
        <v>50097522</v>
      </c>
      <c r="Z703" t="str">
        <f>VLOOKUP(W703,Sheet2!A:D,4,0)</f>
        <v>PPHP: REPOL H110MAS</v>
      </c>
    </row>
    <row r="704" spans="12:26">
      <c r="L704">
        <v>50115613</v>
      </c>
      <c r="M704" t="s">
        <v>1910</v>
      </c>
      <c r="N704">
        <v>50105026</v>
      </c>
      <c r="O704" t="s">
        <v>944</v>
      </c>
      <c r="U704">
        <v>50115904</v>
      </c>
      <c r="V704" t="s">
        <v>1931</v>
      </c>
      <c r="W704">
        <v>50109709</v>
      </c>
      <c r="X704" t="s">
        <v>1011</v>
      </c>
      <c r="Y704">
        <f>VLOOKUP(W704,Sheet2!A:D,3,0)</f>
        <v>50097522</v>
      </c>
      <c r="Z704" t="str">
        <f>VLOOKUP(W704,Sheet2!A:D,4,0)</f>
        <v>PPHP: REPOL H110MAS</v>
      </c>
    </row>
    <row r="705" spans="12:26">
      <c r="L705">
        <v>50115613</v>
      </c>
      <c r="M705" t="s">
        <v>1910</v>
      </c>
      <c r="N705">
        <v>50105081</v>
      </c>
      <c r="O705" t="s">
        <v>948</v>
      </c>
      <c r="U705">
        <v>50115905</v>
      </c>
      <c r="V705" t="s">
        <v>1932</v>
      </c>
      <c r="W705">
        <v>50104541</v>
      </c>
      <c r="X705" t="s">
        <v>924</v>
      </c>
      <c r="Y705">
        <f>VLOOKUP(W705,Sheet2!A:D,3,0)</f>
        <v>50103359</v>
      </c>
      <c r="Z705" t="str">
        <f>VLOOKUP(W705,Sheet2!A:D,4,0)</f>
        <v>HDPE: MARLEX 9012</v>
      </c>
    </row>
    <row r="706" spans="12:26">
      <c r="L706">
        <v>50115613</v>
      </c>
      <c r="M706" t="s">
        <v>1910</v>
      </c>
      <c r="N706">
        <v>50115557</v>
      </c>
      <c r="O706" t="s">
        <v>1271</v>
      </c>
      <c r="U706">
        <v>50115905</v>
      </c>
      <c r="V706" t="s">
        <v>1932</v>
      </c>
      <c r="W706">
        <v>50104542</v>
      </c>
      <c r="X706" t="s">
        <v>926</v>
      </c>
      <c r="Y706">
        <f>VLOOKUP(W706,Sheet2!A:D,3,0)</f>
        <v>50103359</v>
      </c>
      <c r="Z706" t="str">
        <f>VLOOKUP(W706,Sheet2!A:D,4,0)</f>
        <v>HDPE: MARLEX 9012</v>
      </c>
    </row>
    <row r="707" spans="12:26">
      <c r="L707">
        <v>50115613</v>
      </c>
      <c r="M707" t="s">
        <v>1910</v>
      </c>
      <c r="N707">
        <v>50115565</v>
      </c>
      <c r="O707" t="s">
        <v>1272</v>
      </c>
      <c r="U707">
        <v>50115905</v>
      </c>
      <c r="V707" t="s">
        <v>1932</v>
      </c>
      <c r="W707">
        <v>50104543</v>
      </c>
      <c r="X707" t="s">
        <v>927</v>
      </c>
      <c r="Y707">
        <f>VLOOKUP(W707,Sheet2!A:D,3,0)</f>
        <v>50103359</v>
      </c>
      <c r="Z707" t="str">
        <f>VLOOKUP(W707,Sheet2!A:D,4,0)</f>
        <v>HDPE: MARLEX 9012</v>
      </c>
    </row>
    <row r="708" spans="12:26">
      <c r="L708">
        <v>50115613</v>
      </c>
      <c r="M708" t="s">
        <v>1910</v>
      </c>
      <c r="N708">
        <v>50115576</v>
      </c>
      <c r="O708" t="s">
        <v>1273</v>
      </c>
      <c r="U708">
        <v>50115905</v>
      </c>
      <c r="V708" t="s">
        <v>1932</v>
      </c>
      <c r="W708">
        <v>50104544</v>
      </c>
      <c r="X708" t="s">
        <v>928</v>
      </c>
      <c r="Y708">
        <f>VLOOKUP(W708,Sheet2!A:D,3,0)</f>
        <v>50103359</v>
      </c>
      <c r="Z708" t="str">
        <f>VLOOKUP(W708,Sheet2!A:D,4,0)</f>
        <v>HDPE: MARLEX 9012</v>
      </c>
    </row>
    <row r="709" spans="12:26">
      <c r="L709">
        <v>50115627</v>
      </c>
      <c r="M709" t="s">
        <v>1911</v>
      </c>
      <c r="N709">
        <v>50104782</v>
      </c>
      <c r="O709" t="s">
        <v>1771</v>
      </c>
      <c r="U709">
        <v>50115914</v>
      </c>
      <c r="V709" t="s">
        <v>1933</v>
      </c>
      <c r="W709">
        <v>50105492</v>
      </c>
      <c r="X709" t="s">
        <v>970</v>
      </c>
      <c r="Y709">
        <f>VLOOKUP(W709,Sheet2!A:D,3,0)</f>
        <v>50104078</v>
      </c>
      <c r="Z709" t="str">
        <f>VLOOKUP(W709,Sheet2!A:D,4,0)</f>
        <v>MABS: TERLUX HD 2812</v>
      </c>
    </row>
    <row r="710" spans="12:26">
      <c r="L710">
        <v>50115627</v>
      </c>
      <c r="M710" t="s">
        <v>1911</v>
      </c>
      <c r="N710">
        <v>50104883</v>
      </c>
      <c r="O710" t="s">
        <v>932</v>
      </c>
      <c r="U710">
        <v>50115915</v>
      </c>
      <c r="V710" t="s">
        <v>1934</v>
      </c>
      <c r="W710">
        <v>50104883</v>
      </c>
      <c r="X710" t="s">
        <v>932</v>
      </c>
      <c r="Y710">
        <f>VLOOKUP(W710,Sheet2!A:D,3,0)</f>
        <v>50104077</v>
      </c>
      <c r="Z710" t="str">
        <f>VLOOKUP(W710,Sheet2!A:D,4,0)</f>
        <v>ABS: NOVODUR HD M203FC</v>
      </c>
    </row>
    <row r="711" spans="12:26">
      <c r="L711">
        <v>50115627</v>
      </c>
      <c r="M711" t="s">
        <v>1911</v>
      </c>
      <c r="N711">
        <v>50105059</v>
      </c>
      <c r="O711" t="s">
        <v>946</v>
      </c>
      <c r="U711">
        <v>50115915</v>
      </c>
      <c r="V711" t="s">
        <v>1934</v>
      </c>
      <c r="W711">
        <v>50104909</v>
      </c>
      <c r="X711" t="s">
        <v>934</v>
      </c>
      <c r="Y711">
        <f>VLOOKUP(W711,Sheet2!A:D,3,0)</f>
        <v>50104077</v>
      </c>
      <c r="Z711" t="str">
        <f>VLOOKUP(W711,Sheet2!A:D,4,0)</f>
        <v>ABS: NOVODUR HD M203FC</v>
      </c>
    </row>
    <row r="712" spans="12:26">
      <c r="L712">
        <v>50115627</v>
      </c>
      <c r="M712" t="s">
        <v>1911</v>
      </c>
      <c r="N712">
        <v>50106459</v>
      </c>
      <c r="O712" t="s">
        <v>1774</v>
      </c>
      <c r="U712">
        <v>50115915</v>
      </c>
      <c r="V712" t="s">
        <v>1934</v>
      </c>
      <c r="W712">
        <v>50105504</v>
      </c>
      <c r="X712" t="s">
        <v>971</v>
      </c>
      <c r="Y712">
        <f>VLOOKUP(W712,Sheet2!A:D,3,0)</f>
        <v>50104078</v>
      </c>
      <c r="Z712" t="str">
        <f>VLOOKUP(W712,Sheet2!A:D,4,0)</f>
        <v>MABS: TERLUX HD 2812</v>
      </c>
    </row>
    <row r="713" spans="12:26">
      <c r="L713">
        <v>50115627</v>
      </c>
      <c r="M713" t="s">
        <v>1911</v>
      </c>
      <c r="N713">
        <v>50115626</v>
      </c>
      <c r="O713" t="s">
        <v>1278</v>
      </c>
      <c r="U713">
        <v>50115915</v>
      </c>
      <c r="V713" t="s">
        <v>1934</v>
      </c>
      <c r="W713">
        <v>50106459</v>
      </c>
      <c r="X713" t="s">
        <v>1774</v>
      </c>
      <c r="Y713" t="e">
        <f>VLOOKUP(W713,Sheet2!A:D,3,0)</f>
        <v>#N/A</v>
      </c>
      <c r="Z713" t="e">
        <f>VLOOKUP(W713,Sheet2!A:D,4,0)</f>
        <v>#N/A</v>
      </c>
    </row>
    <row r="714" spans="12:26">
      <c r="L714">
        <v>50115627</v>
      </c>
      <c r="M714" t="s">
        <v>1911</v>
      </c>
      <c r="N714">
        <v>50115637</v>
      </c>
      <c r="O714" t="s">
        <v>1282</v>
      </c>
      <c r="U714">
        <v>50115915</v>
      </c>
      <c r="V714" t="s">
        <v>1934</v>
      </c>
      <c r="W714">
        <v>50115914</v>
      </c>
      <c r="X714" t="s">
        <v>1933</v>
      </c>
      <c r="Y714" t="e">
        <f>VLOOKUP(W714,Sheet2!A:D,3,0)</f>
        <v>#N/A</v>
      </c>
      <c r="Z714" t="e">
        <f>VLOOKUP(W714,Sheet2!A:D,4,0)</f>
        <v>#N/A</v>
      </c>
    </row>
    <row r="715" spans="12:26">
      <c r="L715">
        <v>50115628</v>
      </c>
      <c r="M715" t="s">
        <v>1912</v>
      </c>
      <c r="N715">
        <v>50105026</v>
      </c>
      <c r="O715" t="s">
        <v>944</v>
      </c>
      <c r="U715">
        <v>50115916</v>
      </c>
      <c r="V715" t="s">
        <v>1935</v>
      </c>
      <c r="W715">
        <v>50105504</v>
      </c>
      <c r="X715" t="s">
        <v>971</v>
      </c>
      <c r="Y715">
        <f>VLOOKUP(W715,Sheet2!A:D,3,0)</f>
        <v>50104078</v>
      </c>
      <c r="Z715" t="str">
        <f>VLOOKUP(W715,Sheet2!A:D,4,0)</f>
        <v>MABS: TERLUX HD 2812</v>
      </c>
    </row>
    <row r="716" spans="12:26">
      <c r="L716">
        <v>50115629</v>
      </c>
      <c r="M716" t="s">
        <v>367</v>
      </c>
      <c r="N716">
        <v>50104782</v>
      </c>
      <c r="O716" t="s">
        <v>1771</v>
      </c>
      <c r="U716">
        <v>50115916</v>
      </c>
      <c r="V716" t="s">
        <v>1935</v>
      </c>
      <c r="W716">
        <v>50115799</v>
      </c>
      <c r="X716" t="s">
        <v>1323</v>
      </c>
      <c r="Y716">
        <f>VLOOKUP(W716,Sheet2!A:D,3,0)</f>
        <v>50115697</v>
      </c>
      <c r="Z716" t="str">
        <f>VLOOKUP(W716,Sheet2!A:D,4,0)</f>
        <v>ABS: POLYLAC PA-704LRP</v>
      </c>
    </row>
    <row r="717" spans="12:26">
      <c r="L717">
        <v>50115629</v>
      </c>
      <c r="M717" t="s">
        <v>367</v>
      </c>
      <c r="N717">
        <v>50104883</v>
      </c>
      <c r="O717" t="s">
        <v>932</v>
      </c>
      <c r="U717">
        <v>50115916</v>
      </c>
      <c r="V717" t="s">
        <v>1935</v>
      </c>
      <c r="W717">
        <v>50115801</v>
      </c>
      <c r="X717" t="s">
        <v>1325</v>
      </c>
      <c r="Y717">
        <f>VLOOKUP(W717,Sheet2!A:D,3,0)</f>
        <v>50115697</v>
      </c>
      <c r="Z717" t="str">
        <f>VLOOKUP(W717,Sheet2!A:D,4,0)</f>
        <v>ABS: POLYLAC PA-704LRP</v>
      </c>
    </row>
    <row r="718" spans="12:26">
      <c r="L718">
        <v>50115629</v>
      </c>
      <c r="M718" t="s">
        <v>367</v>
      </c>
      <c r="N718">
        <v>50104909</v>
      </c>
      <c r="O718" t="s">
        <v>934</v>
      </c>
      <c r="U718">
        <v>50115916</v>
      </c>
      <c r="V718" t="s">
        <v>1935</v>
      </c>
      <c r="W718">
        <v>50115917</v>
      </c>
      <c r="X718" t="s">
        <v>1936</v>
      </c>
      <c r="Y718" t="e">
        <f>VLOOKUP(W718,Sheet2!A:D,3,0)</f>
        <v>#N/A</v>
      </c>
      <c r="Z718" t="e">
        <f>VLOOKUP(W718,Sheet2!A:D,4,0)</f>
        <v>#N/A</v>
      </c>
    </row>
    <row r="719" spans="12:26">
      <c r="L719">
        <v>50115629</v>
      </c>
      <c r="M719" t="s">
        <v>367</v>
      </c>
      <c r="N719">
        <v>50105059</v>
      </c>
      <c r="O719" t="s">
        <v>946</v>
      </c>
      <c r="U719">
        <v>50115936</v>
      </c>
      <c r="V719" t="s">
        <v>236</v>
      </c>
      <c r="W719">
        <v>50099334</v>
      </c>
      <c r="X719" t="s">
        <v>854</v>
      </c>
      <c r="Y719">
        <f>VLOOKUP(W719,Sheet2!A:D,3,0)</f>
        <v>50097522</v>
      </c>
      <c r="Z719" t="str">
        <f>VLOOKUP(W719,Sheet2!A:D,4,0)</f>
        <v>PPHP: REPOL H110MAS</v>
      </c>
    </row>
    <row r="720" spans="12:26">
      <c r="L720">
        <v>50115629</v>
      </c>
      <c r="M720" t="s">
        <v>367</v>
      </c>
      <c r="N720">
        <v>50105081</v>
      </c>
      <c r="O720" t="s">
        <v>948</v>
      </c>
      <c r="U720">
        <v>50115936</v>
      </c>
      <c r="V720" t="s">
        <v>236</v>
      </c>
      <c r="W720">
        <v>50115935</v>
      </c>
      <c r="X720" t="s">
        <v>1336</v>
      </c>
      <c r="Y720">
        <f>VLOOKUP(W720,Sheet2!A:D,3,0)</f>
        <v>50097522</v>
      </c>
      <c r="Z720" t="str">
        <f>VLOOKUP(W720,Sheet2!A:D,4,0)</f>
        <v>PPHP: REPOL H110MAS</v>
      </c>
    </row>
    <row r="721" spans="12:26" ht="15">
      <c r="L721">
        <v>50115629</v>
      </c>
      <c r="M721" t="s">
        <v>367</v>
      </c>
      <c r="N721">
        <v>50106459</v>
      </c>
      <c r="O721" t="s">
        <v>1774</v>
      </c>
      <c r="U721" s="63">
        <v>50081406</v>
      </c>
      <c r="V721" s="64" t="s">
        <v>1944</v>
      </c>
      <c r="W721">
        <v>50081405</v>
      </c>
      <c r="X721" t="s">
        <v>514</v>
      </c>
      <c r="Y721">
        <f>VLOOKUP(W721,Sheet2!A:D,3,0)</f>
        <v>50082183</v>
      </c>
      <c r="Z721" t="str">
        <f>VLOOKUP(W721,Sheet2!A:D,4,0)</f>
        <v>LDPE: PURELL PE 1840 H</v>
      </c>
    </row>
    <row r="722" spans="12:26" ht="15">
      <c r="L722">
        <v>50115629</v>
      </c>
      <c r="M722" t="s">
        <v>367</v>
      </c>
      <c r="N722">
        <v>50115683</v>
      </c>
      <c r="O722" t="s">
        <v>1294</v>
      </c>
      <c r="U722" s="63">
        <v>50081407</v>
      </c>
      <c r="V722" s="64" t="s">
        <v>1945</v>
      </c>
      <c r="W722">
        <v>50081405</v>
      </c>
      <c r="X722" t="s">
        <v>514</v>
      </c>
      <c r="Y722">
        <f>VLOOKUP(W722,Sheet2!A:D,3,0)</f>
        <v>50082183</v>
      </c>
      <c r="Z722" t="str">
        <f>VLOOKUP(W722,Sheet2!A:D,4,0)</f>
        <v>LDPE: PURELL PE 1840 H</v>
      </c>
    </row>
    <row r="723" spans="12:26" ht="15">
      <c r="L723">
        <v>50115632</v>
      </c>
      <c r="M723" t="s">
        <v>1913</v>
      </c>
      <c r="N723">
        <v>50104782</v>
      </c>
      <c r="O723" t="s">
        <v>1771</v>
      </c>
      <c r="U723" s="63">
        <v>50081410</v>
      </c>
      <c r="V723" s="64" t="s">
        <v>1356</v>
      </c>
      <c r="W723">
        <v>50081409</v>
      </c>
      <c r="X723" t="s">
        <v>1357</v>
      </c>
      <c r="Y723">
        <f>VLOOKUP(W723,Sheet2!A:D,3,0)</f>
        <v>50082198</v>
      </c>
      <c r="Z723" t="str">
        <f>VLOOKUP(W723,Sheet2!A:D,4,0)</f>
        <v>LDPE: RELENE 22FA002</v>
      </c>
    </row>
    <row r="724" spans="12:26" ht="15">
      <c r="L724">
        <v>50115632</v>
      </c>
      <c r="M724" t="s">
        <v>1913</v>
      </c>
      <c r="N724">
        <v>50104883</v>
      </c>
      <c r="O724" t="s">
        <v>932</v>
      </c>
      <c r="U724" s="63">
        <v>50081411</v>
      </c>
      <c r="V724" s="64" t="s">
        <v>1360</v>
      </c>
      <c r="W724">
        <v>50081409</v>
      </c>
      <c r="X724" t="s">
        <v>1357</v>
      </c>
      <c r="Y724">
        <f>VLOOKUP(W724,Sheet2!A:D,3,0)</f>
        <v>50082198</v>
      </c>
      <c r="Z724" t="str">
        <f>VLOOKUP(W724,Sheet2!A:D,4,0)</f>
        <v>LDPE: RELENE 22FA002</v>
      </c>
    </row>
    <row r="725" spans="12:26" ht="15">
      <c r="L725">
        <v>50115632</v>
      </c>
      <c r="M725" t="s">
        <v>1913</v>
      </c>
      <c r="N725">
        <v>50105059</v>
      </c>
      <c r="O725" t="s">
        <v>946</v>
      </c>
      <c r="U725" s="63">
        <v>50081413</v>
      </c>
      <c r="V725" s="64" t="s">
        <v>1361</v>
      </c>
      <c r="W725">
        <v>50081412</v>
      </c>
      <c r="X725" t="s">
        <v>1362</v>
      </c>
      <c r="Y725">
        <f>VLOOKUP(W725,Sheet2!A:D,3,0)</f>
        <v>50082198</v>
      </c>
      <c r="Z725" t="str">
        <f>VLOOKUP(W725,Sheet2!A:D,4,0)</f>
        <v>LDPE: RELENE 22FA002</v>
      </c>
    </row>
    <row r="726" spans="12:26" ht="15">
      <c r="L726">
        <v>50115632</v>
      </c>
      <c r="M726" t="s">
        <v>1913</v>
      </c>
      <c r="N726">
        <v>50106459</v>
      </c>
      <c r="O726" t="s">
        <v>1774</v>
      </c>
      <c r="U726" s="63">
        <v>50081414</v>
      </c>
      <c r="V726" s="64" t="s">
        <v>1363</v>
      </c>
      <c r="W726">
        <v>50081412</v>
      </c>
      <c r="X726" t="s">
        <v>1362</v>
      </c>
      <c r="Y726">
        <f>VLOOKUP(W726,Sheet2!A:D,3,0)</f>
        <v>50082198</v>
      </c>
      <c r="Z726" t="str">
        <f>VLOOKUP(W726,Sheet2!A:D,4,0)</f>
        <v>LDPE: RELENE 22FA002</v>
      </c>
    </row>
    <row r="727" spans="12:26" ht="15">
      <c r="L727">
        <v>50115632</v>
      </c>
      <c r="M727" t="s">
        <v>1913</v>
      </c>
      <c r="N727">
        <v>50108736</v>
      </c>
      <c r="O727" t="s">
        <v>1012</v>
      </c>
      <c r="U727" s="63">
        <v>50081423</v>
      </c>
      <c r="V727" s="64" t="s">
        <v>1946</v>
      </c>
      <c r="W727">
        <v>50081422</v>
      </c>
      <c r="X727" t="s">
        <v>518</v>
      </c>
      <c r="Y727">
        <f>VLOOKUP(W727,Sheet2!A:D,3,0)</f>
        <v>50082202</v>
      </c>
      <c r="Z727" t="str">
        <f>VLOOKUP(W727,Sheet2!A:D,4,0)</f>
        <v>HDPE: PURELL GC7260</v>
      </c>
    </row>
    <row r="728" spans="12:26" ht="15">
      <c r="L728">
        <v>50115632</v>
      </c>
      <c r="M728" t="s">
        <v>1913</v>
      </c>
      <c r="N728">
        <v>50108742</v>
      </c>
      <c r="O728" t="s">
        <v>1808</v>
      </c>
      <c r="U728" s="63">
        <v>50081424</v>
      </c>
      <c r="V728" s="64" t="s">
        <v>1947</v>
      </c>
      <c r="W728">
        <v>50081422</v>
      </c>
      <c r="X728" t="s">
        <v>518</v>
      </c>
      <c r="Y728">
        <f>VLOOKUP(W728,Sheet2!A:D,3,0)</f>
        <v>50082202</v>
      </c>
      <c r="Z728" t="str">
        <f>VLOOKUP(W728,Sheet2!A:D,4,0)</f>
        <v>HDPE: PURELL GC7260</v>
      </c>
    </row>
    <row r="729" spans="12:26" ht="15">
      <c r="L729">
        <v>50115632</v>
      </c>
      <c r="M729" t="s">
        <v>1913</v>
      </c>
      <c r="N729">
        <v>50115631</v>
      </c>
      <c r="O729" t="s">
        <v>1279</v>
      </c>
      <c r="U729" s="63">
        <v>50081427</v>
      </c>
      <c r="V729" s="64" t="s">
        <v>1948</v>
      </c>
      <c r="W729">
        <v>50081426</v>
      </c>
      <c r="X729" t="s">
        <v>520</v>
      </c>
      <c r="Y729">
        <f>VLOOKUP(W729,Sheet2!A:D,3,0)</f>
        <v>50082200</v>
      </c>
      <c r="Z729" t="str">
        <f>VLOOKUP(W729,Sheet2!A:D,4,0)</f>
        <v>HDPE: RELENE E52009</v>
      </c>
    </row>
    <row r="730" spans="12:26" ht="15">
      <c r="L730">
        <v>50115634</v>
      </c>
      <c r="M730" t="s">
        <v>1914</v>
      </c>
      <c r="N730">
        <v>50104782</v>
      </c>
      <c r="O730" t="s">
        <v>1771</v>
      </c>
      <c r="U730" s="63">
        <v>50081428</v>
      </c>
      <c r="V730" s="64" t="s">
        <v>1949</v>
      </c>
      <c r="W730">
        <v>50081426</v>
      </c>
      <c r="X730" t="s">
        <v>520</v>
      </c>
      <c r="Y730">
        <f>VLOOKUP(W730,Sheet2!A:D,3,0)</f>
        <v>50082200</v>
      </c>
      <c r="Z730" t="str">
        <f>VLOOKUP(W730,Sheet2!A:D,4,0)</f>
        <v>HDPE: RELENE E52009</v>
      </c>
    </row>
    <row r="731" spans="12:26" ht="15">
      <c r="L731">
        <v>50115634</v>
      </c>
      <c r="M731" t="s">
        <v>1914</v>
      </c>
      <c r="N731">
        <v>50104883</v>
      </c>
      <c r="O731" t="s">
        <v>932</v>
      </c>
      <c r="U731" s="63">
        <v>50081460</v>
      </c>
      <c r="V731" s="64" t="s">
        <v>1950</v>
      </c>
      <c r="W731">
        <v>50081459</v>
      </c>
      <c r="X731" t="s">
        <v>522</v>
      </c>
      <c r="Y731">
        <f>VLOOKUP(W731,Sheet2!A:D,3,0)</f>
        <v>50082183</v>
      </c>
      <c r="Z731" t="str">
        <f>VLOOKUP(W731,Sheet2!A:D,4,0)</f>
        <v>LDPE: PURELL PE 1840 H</v>
      </c>
    </row>
    <row r="732" spans="12:26" ht="15">
      <c r="L732">
        <v>50115634</v>
      </c>
      <c r="M732" t="s">
        <v>1914</v>
      </c>
      <c r="N732">
        <v>50105059</v>
      </c>
      <c r="O732" t="s">
        <v>946</v>
      </c>
      <c r="U732" s="63">
        <v>50081462</v>
      </c>
      <c r="V732" s="64" t="s">
        <v>205</v>
      </c>
      <c r="W732">
        <v>50081461</v>
      </c>
      <c r="X732" t="s">
        <v>1364</v>
      </c>
      <c r="Y732">
        <f>VLOOKUP(W732,Sheet2!A:D,3,0)</f>
        <v>50082198</v>
      </c>
      <c r="Z732" t="str">
        <f>VLOOKUP(W732,Sheet2!A:D,4,0)</f>
        <v>LDPE: RELENE 22FA002</v>
      </c>
    </row>
    <row r="733" spans="12:26" ht="15">
      <c r="L733">
        <v>50115634</v>
      </c>
      <c r="M733" t="s">
        <v>1914</v>
      </c>
      <c r="N733">
        <v>50106459</v>
      </c>
      <c r="O733" t="s">
        <v>1774</v>
      </c>
      <c r="U733" s="63">
        <v>50081463</v>
      </c>
      <c r="V733" s="64" t="s">
        <v>1366</v>
      </c>
      <c r="W733">
        <v>50081461</v>
      </c>
      <c r="X733" t="s">
        <v>1364</v>
      </c>
      <c r="Y733">
        <f>VLOOKUP(W733,Sheet2!A:D,3,0)</f>
        <v>50082198</v>
      </c>
      <c r="Z733" t="str">
        <f>VLOOKUP(W733,Sheet2!A:D,4,0)</f>
        <v>LDPE: RELENE 22FA002</v>
      </c>
    </row>
    <row r="734" spans="12:26" ht="15">
      <c r="L734">
        <v>50115634</v>
      </c>
      <c r="M734" t="s">
        <v>1914</v>
      </c>
      <c r="N734">
        <v>50108736</v>
      </c>
      <c r="O734" t="s">
        <v>1012</v>
      </c>
      <c r="U734" s="63">
        <v>50081465</v>
      </c>
      <c r="V734" s="64" t="s">
        <v>1951</v>
      </c>
      <c r="W734">
        <v>50081464</v>
      </c>
      <c r="X734" t="s">
        <v>523</v>
      </c>
      <c r="Y734" t="e">
        <f>VLOOKUP(W734,Sheet2!A:D,3,0)</f>
        <v>#N/A</v>
      </c>
      <c r="Z734" t="e">
        <f>VLOOKUP(W734,Sheet2!A:D,4,0)</f>
        <v>#N/A</v>
      </c>
    </row>
    <row r="735" spans="12:26" ht="15">
      <c r="L735">
        <v>50115634</v>
      </c>
      <c r="M735" t="s">
        <v>1914</v>
      </c>
      <c r="N735">
        <v>50108742</v>
      </c>
      <c r="O735" t="s">
        <v>1808</v>
      </c>
      <c r="U735" s="63">
        <v>50081466</v>
      </c>
      <c r="V735" s="64" t="s">
        <v>1952</v>
      </c>
      <c r="W735">
        <v>50081464</v>
      </c>
      <c r="X735" t="s">
        <v>523</v>
      </c>
      <c r="Y735" t="e">
        <f>VLOOKUP(W735,Sheet2!A:D,3,0)</f>
        <v>#N/A</v>
      </c>
      <c r="Z735" t="e">
        <f>VLOOKUP(W735,Sheet2!A:D,4,0)</f>
        <v>#N/A</v>
      </c>
    </row>
    <row r="736" spans="12:26" ht="15">
      <c r="L736">
        <v>50115634</v>
      </c>
      <c r="M736" t="s">
        <v>1914</v>
      </c>
      <c r="N736">
        <v>50115633</v>
      </c>
      <c r="O736" t="s">
        <v>1280</v>
      </c>
      <c r="U736" s="63">
        <v>50081469</v>
      </c>
      <c r="V736" s="64" t="s">
        <v>1367</v>
      </c>
      <c r="W736">
        <v>50081468</v>
      </c>
      <c r="X736" t="s">
        <v>1368</v>
      </c>
      <c r="Y736">
        <f>VLOOKUP(W736,Sheet2!A:D,3,0)</f>
        <v>50082198</v>
      </c>
      <c r="Z736" t="str">
        <f>VLOOKUP(W736,Sheet2!A:D,4,0)</f>
        <v>LDPE: RELENE 22FA002</v>
      </c>
    </row>
    <row r="737" spans="12:26" ht="15">
      <c r="L737">
        <v>50115726</v>
      </c>
      <c r="M737" t="s">
        <v>1915</v>
      </c>
      <c r="N737">
        <v>50082179</v>
      </c>
      <c r="O737" t="s">
        <v>720</v>
      </c>
      <c r="U737" s="63">
        <v>50081472</v>
      </c>
      <c r="V737" s="64" t="s">
        <v>1369</v>
      </c>
      <c r="W737">
        <v>50081474</v>
      </c>
      <c r="X737" t="s">
        <v>1370</v>
      </c>
      <c r="Y737">
        <f>VLOOKUP(W737,Sheet2!A:D,3,0)</f>
        <v>50082198</v>
      </c>
      <c r="Z737" t="str">
        <f>VLOOKUP(W737,Sheet2!A:D,4,0)</f>
        <v>LDPE: RELENE 22FA002</v>
      </c>
    </row>
    <row r="738" spans="12:26" ht="15">
      <c r="L738">
        <v>50115726</v>
      </c>
      <c r="M738" t="s">
        <v>1915</v>
      </c>
      <c r="N738">
        <v>50082180</v>
      </c>
      <c r="O738" t="s">
        <v>721</v>
      </c>
      <c r="U738" s="63">
        <v>50081473</v>
      </c>
      <c r="V738" s="64" t="s">
        <v>1371</v>
      </c>
      <c r="W738">
        <v>50081474</v>
      </c>
      <c r="X738" t="s">
        <v>1370</v>
      </c>
      <c r="Y738">
        <f>VLOOKUP(W738,Sheet2!A:D,3,0)</f>
        <v>50082198</v>
      </c>
      <c r="Z738" t="str">
        <f>VLOOKUP(W738,Sheet2!A:D,4,0)</f>
        <v>LDPE: RELENE 22FA002</v>
      </c>
    </row>
    <row r="739" spans="12:26" ht="15">
      <c r="L739">
        <v>50115747</v>
      </c>
      <c r="M739" t="s">
        <v>1916</v>
      </c>
      <c r="N739">
        <v>50104782</v>
      </c>
      <c r="O739" t="s">
        <v>1771</v>
      </c>
      <c r="U739" s="63">
        <v>50081476</v>
      </c>
      <c r="V739" s="64" t="s">
        <v>1953</v>
      </c>
      <c r="W739">
        <v>50081475</v>
      </c>
      <c r="X739" t="s">
        <v>525</v>
      </c>
      <c r="Y739" t="e">
        <f>VLOOKUP(W739,Sheet2!A:D,3,0)</f>
        <v>#N/A</v>
      </c>
      <c r="Z739" t="e">
        <f>VLOOKUP(W739,Sheet2!A:D,4,0)</f>
        <v>#N/A</v>
      </c>
    </row>
    <row r="740" spans="12:26" ht="15">
      <c r="L740">
        <v>50115747</v>
      </c>
      <c r="M740" t="s">
        <v>1916</v>
      </c>
      <c r="N740">
        <v>50104883</v>
      </c>
      <c r="O740" t="s">
        <v>932</v>
      </c>
      <c r="U740" s="63">
        <v>50081488</v>
      </c>
      <c r="V740" s="64" t="s">
        <v>1954</v>
      </c>
      <c r="W740">
        <v>50081487</v>
      </c>
      <c r="X740" t="s">
        <v>1955</v>
      </c>
      <c r="Y740">
        <f>VLOOKUP(W740,Sheet2!A:D,3,0)</f>
        <v>50082198</v>
      </c>
      <c r="Z740" t="str">
        <f>VLOOKUP(W740,Sheet2!A:D,4,0)</f>
        <v>LDPE: RELENE 22FA002</v>
      </c>
    </row>
    <row r="741" spans="12:26" ht="15">
      <c r="L741">
        <v>50115747</v>
      </c>
      <c r="M741" t="s">
        <v>1916</v>
      </c>
      <c r="N741">
        <v>50104909</v>
      </c>
      <c r="O741" t="s">
        <v>934</v>
      </c>
      <c r="U741" s="63">
        <v>50081491</v>
      </c>
      <c r="V741" s="64" t="s">
        <v>492</v>
      </c>
      <c r="W741">
        <v>50081492</v>
      </c>
      <c r="X741" t="s">
        <v>526</v>
      </c>
      <c r="Y741">
        <f>VLOOKUP(W741,Sheet2!A:D,3,0)</f>
        <v>50082200</v>
      </c>
      <c r="Z741" t="str">
        <f>VLOOKUP(W741,Sheet2!A:D,4,0)</f>
        <v>HDPE: RELENE E52009</v>
      </c>
    </row>
    <row r="742" spans="12:26" ht="15">
      <c r="L742">
        <v>50115747</v>
      </c>
      <c r="M742" t="s">
        <v>1916</v>
      </c>
      <c r="N742">
        <v>50105059</v>
      </c>
      <c r="O742" t="s">
        <v>946</v>
      </c>
      <c r="U742" s="63">
        <v>50081495</v>
      </c>
      <c r="V742" s="64" t="s">
        <v>1956</v>
      </c>
      <c r="W742">
        <v>50081494</v>
      </c>
      <c r="X742" t="s">
        <v>528</v>
      </c>
      <c r="Y742">
        <f>VLOOKUP(W742,Sheet2!A:D,3,0)</f>
        <v>50082202</v>
      </c>
      <c r="Z742" t="str">
        <f>VLOOKUP(W742,Sheet2!A:D,4,0)</f>
        <v>HDPE: PURELL GC7260</v>
      </c>
    </row>
    <row r="743" spans="12:26" ht="15">
      <c r="L743">
        <v>50115747</v>
      </c>
      <c r="M743" t="s">
        <v>1916</v>
      </c>
      <c r="N743">
        <v>50105081</v>
      </c>
      <c r="O743" t="s">
        <v>948</v>
      </c>
      <c r="U743" s="63">
        <v>50081496</v>
      </c>
      <c r="V743" s="64" t="s">
        <v>1957</v>
      </c>
      <c r="W743">
        <v>50081494</v>
      </c>
      <c r="X743" t="s">
        <v>528</v>
      </c>
      <c r="Y743">
        <f>VLOOKUP(W743,Sheet2!A:D,3,0)</f>
        <v>50082202</v>
      </c>
      <c r="Z743" t="str">
        <f>VLOOKUP(W743,Sheet2!A:D,4,0)</f>
        <v>HDPE: PURELL GC7260</v>
      </c>
    </row>
    <row r="744" spans="12:26" ht="15">
      <c r="L744">
        <v>50115747</v>
      </c>
      <c r="M744" t="s">
        <v>1916</v>
      </c>
      <c r="N744">
        <v>50113252</v>
      </c>
      <c r="O744" t="s">
        <v>1872</v>
      </c>
      <c r="U744" s="63">
        <v>50081498</v>
      </c>
      <c r="V744" s="64" t="s">
        <v>1958</v>
      </c>
      <c r="W744">
        <v>50081497</v>
      </c>
      <c r="X744" t="s">
        <v>529</v>
      </c>
      <c r="Y744">
        <f>VLOOKUP(W744,Sheet2!A:D,3,0)</f>
        <v>50082202</v>
      </c>
      <c r="Z744" t="str">
        <f>VLOOKUP(W744,Sheet2!A:D,4,0)</f>
        <v>HDPE: PURELL GC7260</v>
      </c>
    </row>
    <row r="745" spans="12:26" ht="15">
      <c r="L745">
        <v>50115750</v>
      </c>
      <c r="M745" t="s">
        <v>1917</v>
      </c>
      <c r="N745">
        <v>50081995</v>
      </c>
      <c r="O745" t="s">
        <v>662</v>
      </c>
      <c r="U745" s="63">
        <v>50081499</v>
      </c>
      <c r="V745" s="64" t="s">
        <v>1959</v>
      </c>
      <c r="W745">
        <v>50081497</v>
      </c>
      <c r="X745" t="s">
        <v>529</v>
      </c>
      <c r="Y745">
        <f>VLOOKUP(W745,Sheet2!A:D,3,0)</f>
        <v>50082202</v>
      </c>
      <c r="Z745" t="str">
        <f>VLOOKUP(W745,Sheet2!A:D,4,0)</f>
        <v>HDPE: PURELL GC7260</v>
      </c>
    </row>
    <row r="746" spans="12:26" ht="15">
      <c r="L746">
        <v>50115750</v>
      </c>
      <c r="M746" t="s">
        <v>1917</v>
      </c>
      <c r="N746">
        <v>50082144</v>
      </c>
      <c r="O746" t="s">
        <v>709</v>
      </c>
      <c r="U746" s="63">
        <v>50081501</v>
      </c>
      <c r="V746" s="64" t="s">
        <v>1960</v>
      </c>
      <c r="W746">
        <v>50081500</v>
      </c>
      <c r="X746" t="s">
        <v>530</v>
      </c>
      <c r="Y746">
        <f>VLOOKUP(W746,Sheet2!A:D,3,0)</f>
        <v>50082202</v>
      </c>
      <c r="Z746" t="str">
        <f>VLOOKUP(W746,Sheet2!A:D,4,0)</f>
        <v>HDPE: PURELL GC7260</v>
      </c>
    </row>
    <row r="747" spans="12:26" ht="15">
      <c r="L747">
        <v>50115751</v>
      </c>
      <c r="M747" t="s">
        <v>1918</v>
      </c>
      <c r="N747">
        <v>50082144</v>
      </c>
      <c r="O747" t="s">
        <v>709</v>
      </c>
      <c r="U747" s="63">
        <v>50081502</v>
      </c>
      <c r="V747" s="64" t="s">
        <v>1961</v>
      </c>
      <c r="W747">
        <v>50081500</v>
      </c>
      <c r="X747" t="s">
        <v>530</v>
      </c>
      <c r="Y747">
        <f>VLOOKUP(W747,Sheet2!A:D,3,0)</f>
        <v>50082202</v>
      </c>
      <c r="Z747" t="str">
        <f>VLOOKUP(W747,Sheet2!A:D,4,0)</f>
        <v>HDPE: PURELL GC7260</v>
      </c>
    </row>
    <row r="748" spans="12:26" ht="15">
      <c r="L748">
        <v>50115751</v>
      </c>
      <c r="M748" t="s">
        <v>1918</v>
      </c>
      <c r="N748">
        <v>50082177</v>
      </c>
      <c r="O748" t="s">
        <v>718</v>
      </c>
      <c r="U748" s="63">
        <v>50081504</v>
      </c>
      <c r="V748" s="64" t="s">
        <v>1962</v>
      </c>
      <c r="W748">
        <v>50081503</v>
      </c>
      <c r="X748" t="s">
        <v>531</v>
      </c>
      <c r="Y748">
        <f>VLOOKUP(W748,Sheet2!A:D,3,0)</f>
        <v>50082202</v>
      </c>
      <c r="Z748" t="str">
        <f>VLOOKUP(W748,Sheet2!A:D,4,0)</f>
        <v>HDPE: PURELL GC7260</v>
      </c>
    </row>
    <row r="749" spans="12:26" ht="15">
      <c r="L749">
        <v>50115754</v>
      </c>
      <c r="M749" t="s">
        <v>1919</v>
      </c>
      <c r="N749">
        <v>50104782</v>
      </c>
      <c r="O749" t="s">
        <v>1771</v>
      </c>
      <c r="U749" s="63">
        <v>50081505</v>
      </c>
      <c r="V749" s="64" t="s">
        <v>1963</v>
      </c>
      <c r="W749">
        <v>50081503</v>
      </c>
      <c r="X749" t="s">
        <v>531</v>
      </c>
      <c r="Y749">
        <f>VLOOKUP(W749,Sheet2!A:D,3,0)</f>
        <v>50082202</v>
      </c>
      <c r="Z749" t="str">
        <f>VLOOKUP(W749,Sheet2!A:D,4,0)</f>
        <v>HDPE: PURELL GC7260</v>
      </c>
    </row>
    <row r="750" spans="12:26" ht="15">
      <c r="L750">
        <v>50115754</v>
      </c>
      <c r="M750" t="s">
        <v>1919</v>
      </c>
      <c r="N750">
        <v>50104883</v>
      </c>
      <c r="O750" t="s">
        <v>932</v>
      </c>
      <c r="U750" s="63">
        <v>50081507</v>
      </c>
      <c r="V750" s="64" t="s">
        <v>368</v>
      </c>
      <c r="W750">
        <v>50081506</v>
      </c>
      <c r="X750" t="s">
        <v>531</v>
      </c>
      <c r="Y750">
        <f>VLOOKUP(W750,Sheet2!A:D,3,0)</f>
        <v>50082202</v>
      </c>
      <c r="Z750" t="str">
        <f>VLOOKUP(W750,Sheet2!A:D,4,0)</f>
        <v>HDPE: PURELL GC7260</v>
      </c>
    </row>
    <row r="751" spans="12:26" ht="15">
      <c r="L751">
        <v>50115754</v>
      </c>
      <c r="M751" t="s">
        <v>1919</v>
      </c>
      <c r="N751">
        <v>50105026</v>
      </c>
      <c r="O751" t="s">
        <v>944</v>
      </c>
      <c r="U751" s="63">
        <v>50081508</v>
      </c>
      <c r="V751" s="64" t="s">
        <v>1964</v>
      </c>
      <c r="W751">
        <v>50081506</v>
      </c>
      <c r="X751" t="s">
        <v>531</v>
      </c>
      <c r="Y751">
        <f>VLOOKUP(W751,Sheet2!A:D,3,0)</f>
        <v>50082202</v>
      </c>
      <c r="Z751" t="str">
        <f>VLOOKUP(W751,Sheet2!A:D,4,0)</f>
        <v>HDPE: PURELL GC7260</v>
      </c>
    </row>
    <row r="752" spans="12:26" ht="15">
      <c r="L752">
        <v>50115754</v>
      </c>
      <c r="M752" t="s">
        <v>1919</v>
      </c>
      <c r="N752">
        <v>50105059</v>
      </c>
      <c r="O752" t="s">
        <v>946</v>
      </c>
      <c r="U752" s="63">
        <v>50081510</v>
      </c>
      <c r="V752" s="64" t="s">
        <v>1965</v>
      </c>
      <c r="W752">
        <v>50081509</v>
      </c>
      <c r="X752" t="s">
        <v>532</v>
      </c>
      <c r="Y752">
        <f>VLOOKUP(W752,Sheet2!A:D,3,0)</f>
        <v>50082202</v>
      </c>
      <c r="Z752" t="str">
        <f>VLOOKUP(W752,Sheet2!A:D,4,0)</f>
        <v>HDPE: PURELL GC7260</v>
      </c>
    </row>
    <row r="753" spans="12:26" ht="15">
      <c r="L753">
        <v>50115754</v>
      </c>
      <c r="M753" t="s">
        <v>1919</v>
      </c>
      <c r="N753">
        <v>50105081</v>
      </c>
      <c r="O753" t="s">
        <v>948</v>
      </c>
      <c r="U753" s="63">
        <v>50081511</v>
      </c>
      <c r="V753" s="64" t="s">
        <v>1966</v>
      </c>
      <c r="W753">
        <v>50081509</v>
      </c>
      <c r="X753" t="s">
        <v>532</v>
      </c>
      <c r="Y753">
        <f>VLOOKUP(W753,Sheet2!A:D,3,0)</f>
        <v>50082202</v>
      </c>
      <c r="Z753" t="str">
        <f>VLOOKUP(W753,Sheet2!A:D,4,0)</f>
        <v>HDPE: PURELL GC7260</v>
      </c>
    </row>
    <row r="754" spans="12:26" ht="15">
      <c r="L754">
        <v>50115754</v>
      </c>
      <c r="M754" t="s">
        <v>1919</v>
      </c>
      <c r="N754">
        <v>50106459</v>
      </c>
      <c r="O754" t="s">
        <v>1774</v>
      </c>
      <c r="U754" s="63">
        <v>50081532</v>
      </c>
      <c r="V754" s="64" t="s">
        <v>1372</v>
      </c>
      <c r="W754">
        <v>50081531</v>
      </c>
      <c r="X754" t="s">
        <v>1373</v>
      </c>
      <c r="Y754">
        <f>VLOOKUP(W754,Sheet2!A:D,3,0)</f>
        <v>50082198</v>
      </c>
      <c r="Z754" t="str">
        <f>VLOOKUP(W754,Sheet2!A:D,4,0)</f>
        <v>LDPE: RELENE 22FA002</v>
      </c>
    </row>
    <row r="755" spans="12:26" ht="15">
      <c r="L755">
        <v>50115754</v>
      </c>
      <c r="M755" t="s">
        <v>1919</v>
      </c>
      <c r="N755">
        <v>50115631</v>
      </c>
      <c r="O755" t="s">
        <v>1279</v>
      </c>
      <c r="U755" s="63">
        <v>50081534</v>
      </c>
      <c r="V755" s="64" t="s">
        <v>1967</v>
      </c>
      <c r="W755">
        <v>50081533</v>
      </c>
      <c r="X755" t="s">
        <v>533</v>
      </c>
      <c r="Y755">
        <f>VLOOKUP(W755,Sheet2!A:D,3,0)</f>
        <v>50082183</v>
      </c>
      <c r="Z755" t="str">
        <f>VLOOKUP(W755,Sheet2!A:D,4,0)</f>
        <v>LDPE: PURELL PE 1840 H</v>
      </c>
    </row>
    <row r="756" spans="12:26" ht="15">
      <c r="L756">
        <v>50115767</v>
      </c>
      <c r="M756" t="s">
        <v>1920</v>
      </c>
      <c r="N756">
        <v>50104782</v>
      </c>
      <c r="O756" t="s">
        <v>1771</v>
      </c>
      <c r="U756" s="63">
        <v>50081535</v>
      </c>
      <c r="V756" s="64" t="s">
        <v>1968</v>
      </c>
      <c r="W756">
        <v>50081533</v>
      </c>
      <c r="X756" t="s">
        <v>533</v>
      </c>
      <c r="Y756">
        <f>VLOOKUP(W756,Sheet2!A:D,3,0)</f>
        <v>50082183</v>
      </c>
      <c r="Z756" t="str">
        <f>VLOOKUP(W756,Sheet2!A:D,4,0)</f>
        <v>LDPE: PURELL PE 1840 H</v>
      </c>
    </row>
    <row r="757" spans="12:26" ht="15">
      <c r="L757">
        <v>50115767</v>
      </c>
      <c r="M757" t="s">
        <v>1920</v>
      </c>
      <c r="N757">
        <v>50104883</v>
      </c>
      <c r="O757" t="s">
        <v>932</v>
      </c>
      <c r="U757" s="63">
        <v>50081537</v>
      </c>
      <c r="V757" s="64" t="s">
        <v>1969</v>
      </c>
      <c r="W757">
        <v>50081536</v>
      </c>
      <c r="X757" t="s">
        <v>534</v>
      </c>
      <c r="Y757">
        <f>VLOOKUP(W757,Sheet2!A:D,3,0)</f>
        <v>50082184</v>
      </c>
      <c r="Z757" t="str">
        <f>VLOOKUP(W757,Sheet2!A:D,4,0)</f>
        <v>LDPE: PURELL PE 1810 E</v>
      </c>
    </row>
    <row r="758" spans="12:26" ht="15">
      <c r="L758">
        <v>50115767</v>
      </c>
      <c r="M758" t="s">
        <v>1920</v>
      </c>
      <c r="N758">
        <v>50105026</v>
      </c>
      <c r="O758" t="s">
        <v>944</v>
      </c>
      <c r="U758" s="63">
        <v>50081538</v>
      </c>
      <c r="V758" s="64" t="s">
        <v>1970</v>
      </c>
      <c r="W758">
        <v>50081536</v>
      </c>
      <c r="X758" t="s">
        <v>534</v>
      </c>
      <c r="Y758">
        <f>VLOOKUP(W758,Sheet2!A:D,3,0)</f>
        <v>50082184</v>
      </c>
      <c r="Z758" t="str">
        <f>VLOOKUP(W758,Sheet2!A:D,4,0)</f>
        <v>LDPE: PURELL PE 1810 E</v>
      </c>
    </row>
    <row r="759" spans="12:26" ht="15">
      <c r="L759">
        <v>50115767</v>
      </c>
      <c r="M759" t="s">
        <v>1920</v>
      </c>
      <c r="N759">
        <v>50105059</v>
      </c>
      <c r="O759" t="s">
        <v>946</v>
      </c>
      <c r="U759" s="63">
        <v>50081547</v>
      </c>
      <c r="V759" s="64" t="s">
        <v>122</v>
      </c>
      <c r="W759">
        <v>50081546</v>
      </c>
      <c r="X759" t="s">
        <v>535</v>
      </c>
      <c r="Y759">
        <f>VLOOKUP(W759,Sheet2!A:D,3,0)</f>
        <v>50082183</v>
      </c>
      <c r="Z759" t="str">
        <f>VLOOKUP(W759,Sheet2!A:D,4,0)</f>
        <v>LDPE: PURELL PE 1840 H</v>
      </c>
    </row>
    <row r="760" spans="12:26" ht="15">
      <c r="L760">
        <v>50115767</v>
      </c>
      <c r="M760" t="s">
        <v>1920</v>
      </c>
      <c r="N760">
        <v>50105081</v>
      </c>
      <c r="O760" t="s">
        <v>948</v>
      </c>
      <c r="U760" s="63">
        <v>50081548</v>
      </c>
      <c r="V760" s="64" t="s">
        <v>1971</v>
      </c>
      <c r="W760">
        <v>50081546</v>
      </c>
      <c r="X760" t="s">
        <v>535</v>
      </c>
      <c r="Y760">
        <f>VLOOKUP(W760,Sheet2!A:D,3,0)</f>
        <v>50082183</v>
      </c>
      <c r="Z760" t="str">
        <f>VLOOKUP(W760,Sheet2!A:D,4,0)</f>
        <v>LDPE: PURELL PE 1840 H</v>
      </c>
    </row>
    <row r="761" spans="12:26" ht="15">
      <c r="L761">
        <v>50115767</v>
      </c>
      <c r="M761" t="s">
        <v>1920</v>
      </c>
      <c r="N761">
        <v>50106459</v>
      </c>
      <c r="O761" t="s">
        <v>1774</v>
      </c>
      <c r="U761" s="63">
        <v>50081550</v>
      </c>
      <c r="V761" s="64" t="s">
        <v>1972</v>
      </c>
      <c r="W761">
        <v>50081549</v>
      </c>
      <c r="X761" t="s">
        <v>536</v>
      </c>
      <c r="Y761">
        <f>VLOOKUP(W761,Sheet2!A:D,3,0)</f>
        <v>50082183</v>
      </c>
      <c r="Z761" t="str">
        <f>VLOOKUP(W761,Sheet2!A:D,4,0)</f>
        <v>LDPE: PURELL PE 1840 H</v>
      </c>
    </row>
    <row r="762" spans="12:26" ht="15">
      <c r="L762">
        <v>50115767</v>
      </c>
      <c r="M762" t="s">
        <v>1920</v>
      </c>
      <c r="N762">
        <v>50115766</v>
      </c>
      <c r="O762" t="s">
        <v>1921</v>
      </c>
      <c r="U762" s="63">
        <v>50081551</v>
      </c>
      <c r="V762" s="64" t="s">
        <v>1973</v>
      </c>
      <c r="W762">
        <v>50081549</v>
      </c>
      <c r="X762" t="s">
        <v>536</v>
      </c>
      <c r="Y762">
        <f>VLOOKUP(W762,Sheet2!A:D,3,0)</f>
        <v>50082183</v>
      </c>
      <c r="Z762" t="str">
        <f>VLOOKUP(W762,Sheet2!A:D,4,0)</f>
        <v>LDPE: PURELL PE 1840 H</v>
      </c>
    </row>
    <row r="763" spans="12:26" ht="15">
      <c r="L763">
        <v>50115773</v>
      </c>
      <c r="M763" t="s">
        <v>1922</v>
      </c>
      <c r="N763">
        <v>50104782</v>
      </c>
      <c r="O763" t="s">
        <v>1771</v>
      </c>
      <c r="U763" s="63">
        <v>50081552</v>
      </c>
      <c r="V763" s="64" t="s">
        <v>1374</v>
      </c>
      <c r="W763">
        <v>50081489</v>
      </c>
      <c r="X763" t="s">
        <v>1375</v>
      </c>
      <c r="Y763">
        <f>VLOOKUP(W763,Sheet2!A:D,3,0)</f>
        <v>50082198</v>
      </c>
      <c r="Z763" t="str">
        <f>VLOOKUP(W763,Sheet2!A:D,4,0)</f>
        <v>LDPE: RELENE 22FA002</v>
      </c>
    </row>
    <row r="764" spans="12:26" ht="15">
      <c r="L764">
        <v>50115773</v>
      </c>
      <c r="M764" t="s">
        <v>1922</v>
      </c>
      <c r="N764">
        <v>50104883</v>
      </c>
      <c r="O764" t="s">
        <v>932</v>
      </c>
      <c r="U764" s="63">
        <v>50081553</v>
      </c>
      <c r="V764" s="64" t="s">
        <v>1376</v>
      </c>
      <c r="W764">
        <v>50081489</v>
      </c>
      <c r="X764" t="s">
        <v>1375</v>
      </c>
      <c r="Y764">
        <f>VLOOKUP(W764,Sheet2!A:D,3,0)</f>
        <v>50082198</v>
      </c>
      <c r="Z764" t="str">
        <f>VLOOKUP(W764,Sheet2!A:D,4,0)</f>
        <v>LDPE: RELENE 22FA002</v>
      </c>
    </row>
    <row r="765" spans="12:26" ht="15">
      <c r="L765">
        <v>50115773</v>
      </c>
      <c r="M765" t="s">
        <v>1922</v>
      </c>
      <c r="N765">
        <v>50105059</v>
      </c>
      <c r="O765" t="s">
        <v>946</v>
      </c>
      <c r="U765" s="63">
        <v>50081557</v>
      </c>
      <c r="V765" s="64" t="s">
        <v>1974</v>
      </c>
      <c r="W765">
        <v>50081556</v>
      </c>
      <c r="X765" t="s">
        <v>537</v>
      </c>
      <c r="Y765">
        <f>VLOOKUP(W765,Sheet2!A:D,3,0)</f>
        <v>50082200</v>
      </c>
      <c r="Z765" t="str">
        <f>VLOOKUP(W765,Sheet2!A:D,4,0)</f>
        <v>HDPE: RELENE E52009</v>
      </c>
    </row>
    <row r="766" spans="12:26" ht="15">
      <c r="L766">
        <v>50115773</v>
      </c>
      <c r="M766" t="s">
        <v>1922</v>
      </c>
      <c r="N766">
        <v>50106459</v>
      </c>
      <c r="O766" t="s">
        <v>1774</v>
      </c>
      <c r="U766" s="63">
        <v>50081559</v>
      </c>
      <c r="V766" s="64" t="s">
        <v>1975</v>
      </c>
      <c r="W766">
        <v>50081558</v>
      </c>
      <c r="X766" t="s">
        <v>538</v>
      </c>
      <c r="Y766">
        <f>VLOOKUP(W766,Sheet2!A:D,3,0)</f>
        <v>50082200</v>
      </c>
      <c r="Z766" t="str">
        <f>VLOOKUP(W766,Sheet2!A:D,4,0)</f>
        <v>HDPE: RELENE E52009</v>
      </c>
    </row>
    <row r="767" spans="12:26" ht="15">
      <c r="L767">
        <v>50115773</v>
      </c>
      <c r="M767" t="s">
        <v>1922</v>
      </c>
      <c r="N767">
        <v>50115648</v>
      </c>
      <c r="O767" t="s">
        <v>1288</v>
      </c>
      <c r="U767" s="63">
        <v>50081560</v>
      </c>
      <c r="V767" s="64" t="s">
        <v>1976</v>
      </c>
      <c r="W767">
        <v>50081558</v>
      </c>
      <c r="X767" t="s">
        <v>538</v>
      </c>
      <c r="Y767">
        <f>VLOOKUP(W767,Sheet2!A:D,3,0)</f>
        <v>50082200</v>
      </c>
      <c r="Z767" t="str">
        <f>VLOOKUP(W767,Sheet2!A:D,4,0)</f>
        <v>HDPE: RELENE E52009</v>
      </c>
    </row>
    <row r="768" spans="12:26" ht="15">
      <c r="L768">
        <v>50115773</v>
      </c>
      <c r="M768" t="s">
        <v>1922</v>
      </c>
      <c r="N768">
        <v>50115763</v>
      </c>
      <c r="O768" t="s">
        <v>1309</v>
      </c>
      <c r="U768" s="63">
        <v>50081562</v>
      </c>
      <c r="V768" s="64" t="s">
        <v>1977</v>
      </c>
      <c r="W768">
        <v>50081673</v>
      </c>
      <c r="X768" t="s">
        <v>570</v>
      </c>
      <c r="Y768">
        <f>VLOOKUP(W768,Sheet2!A:D,3,0)</f>
        <v>50082202</v>
      </c>
      <c r="Z768" t="str">
        <f>VLOOKUP(W768,Sheet2!A:D,4,0)</f>
        <v>HDPE: PURELL GC7260</v>
      </c>
    </row>
    <row r="769" spans="12:26" ht="15">
      <c r="L769">
        <v>50115773</v>
      </c>
      <c r="M769" t="s">
        <v>1922</v>
      </c>
      <c r="N769">
        <v>50115775</v>
      </c>
      <c r="O769" t="s">
        <v>1311</v>
      </c>
      <c r="U769" s="63">
        <v>50081564</v>
      </c>
      <c r="V769" s="64" t="s">
        <v>1978</v>
      </c>
      <c r="W769">
        <v>50081563</v>
      </c>
      <c r="X769" t="s">
        <v>540</v>
      </c>
      <c r="Y769">
        <f>VLOOKUP(W769,Sheet2!A:D,3,0)</f>
        <v>50082202</v>
      </c>
      <c r="Z769" t="str">
        <f>VLOOKUP(W769,Sheet2!A:D,4,0)</f>
        <v>HDPE: PURELL GC7260</v>
      </c>
    </row>
    <row r="770" spans="12:26" ht="15">
      <c r="L770">
        <v>50115791</v>
      </c>
      <c r="M770" t="s">
        <v>1923</v>
      </c>
      <c r="N770">
        <v>50115620</v>
      </c>
      <c r="O770" t="s">
        <v>1276</v>
      </c>
      <c r="U770" s="63">
        <v>50081565</v>
      </c>
      <c r="V770" s="64" t="s">
        <v>1979</v>
      </c>
      <c r="W770">
        <v>50081563</v>
      </c>
      <c r="X770" t="s">
        <v>540</v>
      </c>
      <c r="Y770">
        <f>VLOOKUP(W770,Sheet2!A:D,3,0)</f>
        <v>50082202</v>
      </c>
      <c r="Z770" t="str">
        <f>VLOOKUP(W770,Sheet2!A:D,4,0)</f>
        <v>HDPE: PURELL GC7260</v>
      </c>
    </row>
    <row r="771" spans="12:26" ht="15">
      <c r="L771">
        <v>50115791</v>
      </c>
      <c r="M771" t="s">
        <v>1923</v>
      </c>
      <c r="N771">
        <v>50115644</v>
      </c>
      <c r="O771" t="s">
        <v>1284</v>
      </c>
      <c r="U771" s="63">
        <v>50081576</v>
      </c>
      <c r="V771" s="64" t="s">
        <v>1377</v>
      </c>
      <c r="W771">
        <v>50081531</v>
      </c>
      <c r="X771" t="s">
        <v>1373</v>
      </c>
      <c r="Y771">
        <f>VLOOKUP(W771,Sheet2!A:D,3,0)</f>
        <v>50082198</v>
      </c>
      <c r="Z771" t="str">
        <f>VLOOKUP(W771,Sheet2!A:D,4,0)</f>
        <v>LDPE: RELENE 22FA002</v>
      </c>
    </row>
    <row r="772" spans="12:26" ht="15">
      <c r="L772">
        <v>50115791</v>
      </c>
      <c r="M772" t="s">
        <v>1923</v>
      </c>
      <c r="N772">
        <v>50115645</v>
      </c>
      <c r="O772" t="s">
        <v>1285</v>
      </c>
      <c r="U772" s="63">
        <v>50081577</v>
      </c>
      <c r="V772" s="64" t="s">
        <v>1980</v>
      </c>
      <c r="W772">
        <v>50081459</v>
      </c>
      <c r="X772" t="s">
        <v>522</v>
      </c>
      <c r="Y772">
        <f>VLOOKUP(W772,Sheet2!A:D,3,0)</f>
        <v>50082183</v>
      </c>
      <c r="Z772" t="str">
        <f>VLOOKUP(W772,Sheet2!A:D,4,0)</f>
        <v>LDPE: PURELL PE 1840 H</v>
      </c>
    </row>
    <row r="773" spans="12:26" ht="15">
      <c r="L773">
        <v>50115791</v>
      </c>
      <c r="M773" t="s">
        <v>1923</v>
      </c>
      <c r="N773">
        <v>50115646</v>
      </c>
      <c r="O773" t="s">
        <v>1286</v>
      </c>
      <c r="U773" s="63">
        <v>50081579</v>
      </c>
      <c r="V773" s="64" t="s">
        <v>1981</v>
      </c>
      <c r="W773">
        <v>50081578</v>
      </c>
      <c r="X773" t="s">
        <v>541</v>
      </c>
      <c r="Y773">
        <f>VLOOKUP(W773,Sheet2!A:D,3,0)</f>
        <v>50082184</v>
      </c>
      <c r="Z773" t="str">
        <f>VLOOKUP(W773,Sheet2!A:D,4,0)</f>
        <v>LDPE: PURELL PE 1810 E</v>
      </c>
    </row>
    <row r="774" spans="12:26" ht="15">
      <c r="L774">
        <v>50115791</v>
      </c>
      <c r="M774" t="s">
        <v>1923</v>
      </c>
      <c r="N774">
        <v>50115647</v>
      </c>
      <c r="O774" t="s">
        <v>1287</v>
      </c>
      <c r="U774" s="63">
        <v>50081581</v>
      </c>
      <c r="V774" s="64" t="s">
        <v>1378</v>
      </c>
      <c r="W774">
        <v>50081580</v>
      </c>
      <c r="X774" t="s">
        <v>1379</v>
      </c>
      <c r="Y774">
        <f>VLOOKUP(W774,Sheet2!A:D,3,0)</f>
        <v>50082198</v>
      </c>
      <c r="Z774" t="str">
        <f>VLOOKUP(W774,Sheet2!A:D,4,0)</f>
        <v>LDPE: RELENE 22FA002</v>
      </c>
    </row>
    <row r="775" spans="12:26" ht="15">
      <c r="L775">
        <v>50115791</v>
      </c>
      <c r="M775" t="s">
        <v>1923</v>
      </c>
      <c r="N775">
        <v>50115780</v>
      </c>
      <c r="O775" t="s">
        <v>1312</v>
      </c>
      <c r="U775" s="63">
        <v>50081582</v>
      </c>
      <c r="V775" s="64" t="s">
        <v>1380</v>
      </c>
      <c r="W775">
        <v>50081580</v>
      </c>
      <c r="X775" t="s">
        <v>1379</v>
      </c>
      <c r="Y775">
        <f>VLOOKUP(W775,Sheet2!A:D,3,0)</f>
        <v>50082198</v>
      </c>
      <c r="Z775" t="str">
        <f>VLOOKUP(W775,Sheet2!A:D,4,0)</f>
        <v>LDPE: RELENE 22FA002</v>
      </c>
    </row>
    <row r="776" spans="12:26" ht="15">
      <c r="L776">
        <v>50115791</v>
      </c>
      <c r="M776" t="s">
        <v>1923</v>
      </c>
      <c r="N776">
        <v>50115782</v>
      </c>
      <c r="O776" t="s">
        <v>1313</v>
      </c>
      <c r="U776" s="63">
        <v>50081585</v>
      </c>
      <c r="V776" s="64" t="s">
        <v>1982</v>
      </c>
      <c r="W776">
        <v>50081584</v>
      </c>
      <c r="X776" t="s">
        <v>544</v>
      </c>
      <c r="Y776" t="e">
        <f>VLOOKUP(W776,Sheet2!A:D,3,0)</f>
        <v>#N/A</v>
      </c>
      <c r="Z776" t="e">
        <f>VLOOKUP(W776,Sheet2!A:D,4,0)</f>
        <v>#N/A</v>
      </c>
    </row>
    <row r="777" spans="12:26" ht="15">
      <c r="L777">
        <v>50115791</v>
      </c>
      <c r="M777" t="s">
        <v>1923</v>
      </c>
      <c r="N777">
        <v>50115783</v>
      </c>
      <c r="O777" t="s">
        <v>1314</v>
      </c>
      <c r="U777" s="63">
        <v>50081586</v>
      </c>
      <c r="V777" s="64" t="s">
        <v>1983</v>
      </c>
      <c r="W777">
        <v>50081584</v>
      </c>
      <c r="X777" t="s">
        <v>544</v>
      </c>
      <c r="Y777" t="e">
        <f>VLOOKUP(W777,Sheet2!A:D,3,0)</f>
        <v>#N/A</v>
      </c>
      <c r="Z777" t="e">
        <f>VLOOKUP(W777,Sheet2!A:D,4,0)</f>
        <v>#N/A</v>
      </c>
    </row>
    <row r="778" spans="12:26" ht="15">
      <c r="L778">
        <v>50115791</v>
      </c>
      <c r="M778" t="s">
        <v>1923</v>
      </c>
      <c r="N778">
        <v>50115784</v>
      </c>
      <c r="O778" t="s">
        <v>1315</v>
      </c>
      <c r="U778" s="63">
        <v>50081588</v>
      </c>
      <c r="V778" s="64" t="s">
        <v>1984</v>
      </c>
      <c r="W778">
        <v>50081587</v>
      </c>
      <c r="X778" t="s">
        <v>545</v>
      </c>
      <c r="Y778">
        <f>VLOOKUP(W778,Sheet2!A:D,3,0)</f>
        <v>50082184</v>
      </c>
      <c r="Z778" t="str">
        <f>VLOOKUP(W778,Sheet2!A:D,4,0)</f>
        <v>LDPE: PURELL PE 1810 E</v>
      </c>
    </row>
    <row r="779" spans="12:26" ht="15">
      <c r="L779">
        <v>50115791</v>
      </c>
      <c r="M779" t="s">
        <v>1923</v>
      </c>
      <c r="N779">
        <v>50115785</v>
      </c>
      <c r="O779" t="s">
        <v>1316</v>
      </c>
      <c r="U779" s="63">
        <v>50081589</v>
      </c>
      <c r="V779" s="64" t="s">
        <v>1985</v>
      </c>
      <c r="W779">
        <v>50081587</v>
      </c>
      <c r="X779" t="s">
        <v>545</v>
      </c>
      <c r="Y779">
        <f>VLOOKUP(W779,Sheet2!A:D,3,0)</f>
        <v>50082184</v>
      </c>
      <c r="Z779" t="str">
        <f>VLOOKUP(W779,Sheet2!A:D,4,0)</f>
        <v>LDPE: PURELL PE 1810 E</v>
      </c>
    </row>
    <row r="780" spans="12:26" ht="15">
      <c r="L780">
        <v>50115791</v>
      </c>
      <c r="M780" t="s">
        <v>1923</v>
      </c>
      <c r="N780">
        <v>50115786</v>
      </c>
      <c r="O780" t="s">
        <v>1317</v>
      </c>
      <c r="U780" s="63">
        <v>50081594</v>
      </c>
      <c r="V780" s="64" t="s">
        <v>1381</v>
      </c>
      <c r="W780">
        <v>50081593</v>
      </c>
      <c r="X780" t="s">
        <v>548</v>
      </c>
      <c r="Y780">
        <f>VLOOKUP(W780,Sheet2!A:D,3,0)</f>
        <v>50082183</v>
      </c>
      <c r="Z780" t="str">
        <f>VLOOKUP(W780,Sheet2!A:D,4,0)</f>
        <v>LDPE: PURELL PE 1840 H</v>
      </c>
    </row>
    <row r="781" spans="12:26" ht="15">
      <c r="L781">
        <v>50115791</v>
      </c>
      <c r="M781" t="s">
        <v>1923</v>
      </c>
      <c r="N781">
        <v>50115789</v>
      </c>
      <c r="O781" t="s">
        <v>1318</v>
      </c>
      <c r="U781" s="63">
        <v>50081595</v>
      </c>
      <c r="V781" s="64" t="s">
        <v>1382</v>
      </c>
      <c r="W781">
        <v>50081593</v>
      </c>
      <c r="X781" t="s">
        <v>548</v>
      </c>
      <c r="Y781">
        <f>VLOOKUP(W781,Sheet2!A:D,3,0)</f>
        <v>50082183</v>
      </c>
      <c r="Z781" t="str">
        <f>VLOOKUP(W781,Sheet2!A:D,4,0)</f>
        <v>LDPE: PURELL PE 1840 H</v>
      </c>
    </row>
    <row r="782" spans="12:26" ht="15">
      <c r="L782">
        <v>50115791</v>
      </c>
      <c r="M782" t="s">
        <v>1923</v>
      </c>
      <c r="N782">
        <v>50115790</v>
      </c>
      <c r="O782" t="s">
        <v>1319</v>
      </c>
      <c r="U782" s="63">
        <v>50081600</v>
      </c>
      <c r="V782" s="64" t="s">
        <v>1986</v>
      </c>
      <c r="W782">
        <v>50081599</v>
      </c>
      <c r="X782" t="s">
        <v>551</v>
      </c>
      <c r="Y782">
        <f>VLOOKUP(W782,Sheet2!A:D,3,0)</f>
        <v>50082200</v>
      </c>
      <c r="Z782" t="str">
        <f>VLOOKUP(W782,Sheet2!A:D,4,0)</f>
        <v>HDPE: RELENE E52009</v>
      </c>
    </row>
    <row r="783" spans="12:26" ht="15">
      <c r="L783">
        <v>50115791</v>
      </c>
      <c r="M783" t="s">
        <v>1923</v>
      </c>
      <c r="N783">
        <v>50115793</v>
      </c>
      <c r="O783" t="s">
        <v>1320</v>
      </c>
      <c r="U783" s="63">
        <v>50081602</v>
      </c>
      <c r="V783" s="64" t="s">
        <v>491</v>
      </c>
      <c r="W783">
        <v>50081601</v>
      </c>
      <c r="X783" t="s">
        <v>195</v>
      </c>
      <c r="Y783">
        <f>VLOOKUP(W783,Sheet2!A:D,3,0)</f>
        <v>50082200</v>
      </c>
      <c r="Z783" t="str">
        <f>VLOOKUP(W783,Sheet2!A:D,4,0)</f>
        <v>HDPE: RELENE E52009</v>
      </c>
    </row>
    <row r="784" spans="12:26" ht="15">
      <c r="L784">
        <v>50115791</v>
      </c>
      <c r="M784" t="s">
        <v>1923</v>
      </c>
      <c r="N784">
        <v>50115794</v>
      </c>
      <c r="O784" t="s">
        <v>1321</v>
      </c>
      <c r="U784" s="63">
        <v>50081603</v>
      </c>
      <c r="V784" s="64" t="s">
        <v>1987</v>
      </c>
      <c r="W784">
        <v>50081601</v>
      </c>
      <c r="X784" t="s">
        <v>195</v>
      </c>
      <c r="Y784">
        <f>VLOOKUP(W784,Sheet2!A:D,3,0)</f>
        <v>50082200</v>
      </c>
      <c r="Z784" t="str">
        <f>VLOOKUP(W784,Sheet2!A:D,4,0)</f>
        <v>HDPE: RELENE E52009</v>
      </c>
    </row>
    <row r="785" spans="12:26" ht="15">
      <c r="L785">
        <v>50115791</v>
      </c>
      <c r="M785" t="s">
        <v>1923</v>
      </c>
      <c r="N785">
        <v>50115795</v>
      </c>
      <c r="O785" t="s">
        <v>1924</v>
      </c>
      <c r="U785" s="63">
        <v>50081605</v>
      </c>
      <c r="V785" s="64" t="s">
        <v>1988</v>
      </c>
      <c r="W785">
        <v>50081604</v>
      </c>
      <c r="X785" t="s">
        <v>552</v>
      </c>
      <c r="Y785">
        <f>VLOOKUP(W785,Sheet2!A:D,3,0)</f>
        <v>50082202</v>
      </c>
      <c r="Z785" t="str">
        <f>VLOOKUP(W785,Sheet2!A:D,4,0)</f>
        <v>HDPE: PURELL GC7260</v>
      </c>
    </row>
    <row r="786" spans="12:26" ht="15">
      <c r="L786">
        <v>50115802</v>
      </c>
      <c r="M786" t="s">
        <v>1925</v>
      </c>
      <c r="N786">
        <v>50104782</v>
      </c>
      <c r="O786" t="s">
        <v>1771</v>
      </c>
      <c r="U786" s="63">
        <v>50081606</v>
      </c>
      <c r="V786" s="64" t="s">
        <v>1989</v>
      </c>
      <c r="W786">
        <v>50081604</v>
      </c>
      <c r="X786" t="s">
        <v>552</v>
      </c>
      <c r="Y786">
        <f>VLOOKUP(W786,Sheet2!A:D,3,0)</f>
        <v>50082202</v>
      </c>
      <c r="Z786" t="str">
        <f>VLOOKUP(W786,Sheet2!A:D,4,0)</f>
        <v>HDPE: PURELL GC7260</v>
      </c>
    </row>
    <row r="787" spans="12:26" ht="15">
      <c r="L787">
        <v>50115802</v>
      </c>
      <c r="M787" t="s">
        <v>1925</v>
      </c>
      <c r="N787">
        <v>50105081</v>
      </c>
      <c r="O787" t="s">
        <v>948</v>
      </c>
      <c r="U787" s="63">
        <v>50081608</v>
      </c>
      <c r="V787" s="64" t="s">
        <v>1990</v>
      </c>
      <c r="W787">
        <v>50081607</v>
      </c>
      <c r="X787" t="s">
        <v>553</v>
      </c>
      <c r="Y787">
        <f>VLOOKUP(W787,Sheet2!A:D,3,0)</f>
        <v>50082202</v>
      </c>
      <c r="Z787" t="str">
        <f>VLOOKUP(W787,Sheet2!A:D,4,0)</f>
        <v>HDPE: PURELL GC7260</v>
      </c>
    </row>
    <row r="788" spans="12:26" ht="15">
      <c r="L788">
        <v>50115802</v>
      </c>
      <c r="M788" t="s">
        <v>1925</v>
      </c>
      <c r="N788">
        <v>50115733</v>
      </c>
      <c r="O788" t="s">
        <v>1302</v>
      </c>
      <c r="U788" s="63">
        <v>50081609</v>
      </c>
      <c r="V788" s="64" t="s">
        <v>1991</v>
      </c>
      <c r="W788">
        <v>50081607</v>
      </c>
      <c r="X788" t="s">
        <v>553</v>
      </c>
      <c r="Y788">
        <f>VLOOKUP(W788,Sheet2!A:D,3,0)</f>
        <v>50082202</v>
      </c>
      <c r="Z788" t="str">
        <f>VLOOKUP(W788,Sheet2!A:D,4,0)</f>
        <v>HDPE: PURELL GC7260</v>
      </c>
    </row>
    <row r="789" spans="12:26" ht="15">
      <c r="L789">
        <v>50115802</v>
      </c>
      <c r="M789" t="s">
        <v>1925</v>
      </c>
      <c r="N789">
        <v>50115799</v>
      </c>
      <c r="O789" t="s">
        <v>1323</v>
      </c>
      <c r="U789" s="63">
        <v>50081611</v>
      </c>
      <c r="V789" s="64" t="s">
        <v>1992</v>
      </c>
      <c r="W789">
        <v>50081610</v>
      </c>
      <c r="X789" t="s">
        <v>554</v>
      </c>
      <c r="Y789">
        <f>VLOOKUP(W789,Sheet2!A:D,3,0)</f>
        <v>50082200</v>
      </c>
      <c r="Z789" t="str">
        <f>VLOOKUP(W789,Sheet2!A:D,4,0)</f>
        <v>HDPE: RELENE E52009</v>
      </c>
    </row>
    <row r="790" spans="12:26" ht="15">
      <c r="L790">
        <v>50115802</v>
      </c>
      <c r="M790" t="s">
        <v>1925</v>
      </c>
      <c r="N790">
        <v>50115800</v>
      </c>
      <c r="O790" t="s">
        <v>1324</v>
      </c>
      <c r="U790" s="63">
        <v>50081612</v>
      </c>
      <c r="V790" s="64" t="s">
        <v>1993</v>
      </c>
      <c r="W790">
        <v>50081610</v>
      </c>
      <c r="X790" t="s">
        <v>554</v>
      </c>
      <c r="Y790">
        <f>VLOOKUP(W790,Sheet2!A:D,3,0)</f>
        <v>50082200</v>
      </c>
      <c r="Z790" t="str">
        <f>VLOOKUP(W790,Sheet2!A:D,4,0)</f>
        <v>HDPE: RELENE E52009</v>
      </c>
    </row>
    <row r="791" spans="12:26" ht="15">
      <c r="L791">
        <v>50115802</v>
      </c>
      <c r="M791" t="s">
        <v>1925</v>
      </c>
      <c r="N791">
        <v>50115801</v>
      </c>
      <c r="O791" t="s">
        <v>1325</v>
      </c>
      <c r="U791" s="63">
        <v>50081614</v>
      </c>
      <c r="V791" s="64" t="s">
        <v>1994</v>
      </c>
      <c r="W791">
        <v>50081613</v>
      </c>
      <c r="X791" t="s">
        <v>555</v>
      </c>
      <c r="Y791">
        <f>VLOOKUP(W791,Sheet2!A:D,3,0)</f>
        <v>50082200</v>
      </c>
      <c r="Z791" t="str">
        <f>VLOOKUP(W791,Sheet2!A:D,4,0)</f>
        <v>HDPE: RELENE E52009</v>
      </c>
    </row>
    <row r="792" spans="12:26" ht="15">
      <c r="L792">
        <v>50115803</v>
      </c>
      <c r="M792" t="s">
        <v>1926</v>
      </c>
      <c r="N792">
        <v>50105240</v>
      </c>
      <c r="O792" t="s">
        <v>954</v>
      </c>
      <c r="U792" s="63">
        <v>50081615</v>
      </c>
      <c r="V792" s="64" t="s">
        <v>1995</v>
      </c>
      <c r="W792">
        <v>50081613</v>
      </c>
      <c r="X792" t="s">
        <v>555</v>
      </c>
      <c r="Y792">
        <f>VLOOKUP(W792,Sheet2!A:D,3,0)</f>
        <v>50082200</v>
      </c>
      <c r="Z792" t="str">
        <f>VLOOKUP(W792,Sheet2!A:D,4,0)</f>
        <v>HDPE: RELENE E52009</v>
      </c>
    </row>
    <row r="793" spans="12:26" ht="15">
      <c r="L793">
        <v>50115803</v>
      </c>
      <c r="M793" t="s">
        <v>1926</v>
      </c>
      <c r="N793">
        <v>50105241</v>
      </c>
      <c r="O793" t="s">
        <v>955</v>
      </c>
      <c r="U793" s="63">
        <v>50081620</v>
      </c>
      <c r="V793" s="64" t="s">
        <v>1996</v>
      </c>
      <c r="W793">
        <v>50081619</v>
      </c>
      <c r="X793" t="s">
        <v>556</v>
      </c>
      <c r="Y793">
        <f>VLOOKUP(W793,Sheet2!A:D,3,0)</f>
        <v>50082200</v>
      </c>
      <c r="Z793" t="str">
        <f>VLOOKUP(W793,Sheet2!A:D,4,0)</f>
        <v>HDPE: RELENE E52009</v>
      </c>
    </row>
    <row r="794" spans="12:26" ht="15">
      <c r="L794">
        <v>50115803</v>
      </c>
      <c r="M794" t="s">
        <v>1926</v>
      </c>
      <c r="N794">
        <v>50105242</v>
      </c>
      <c r="O794" t="s">
        <v>956</v>
      </c>
      <c r="U794" s="63">
        <v>50081621</v>
      </c>
      <c r="V794" s="64" t="s">
        <v>1997</v>
      </c>
      <c r="W794">
        <v>50081619</v>
      </c>
      <c r="X794" t="s">
        <v>556</v>
      </c>
      <c r="Y794">
        <f>VLOOKUP(W794,Sheet2!A:D,3,0)</f>
        <v>50082200</v>
      </c>
      <c r="Z794" t="str">
        <f>VLOOKUP(W794,Sheet2!A:D,4,0)</f>
        <v>HDPE: RELENE E52009</v>
      </c>
    </row>
    <row r="795" spans="12:26" ht="15">
      <c r="L795">
        <v>50115803</v>
      </c>
      <c r="M795" t="s">
        <v>1926</v>
      </c>
      <c r="N795">
        <v>50105243</v>
      </c>
      <c r="O795" t="s">
        <v>957</v>
      </c>
      <c r="U795" s="63">
        <v>50081623</v>
      </c>
      <c r="V795" s="64" t="s">
        <v>1998</v>
      </c>
      <c r="W795">
        <v>50081622</v>
      </c>
      <c r="X795" t="s">
        <v>557</v>
      </c>
      <c r="Y795">
        <f>VLOOKUP(W795,Sheet2!A:D,3,0)</f>
        <v>50082200</v>
      </c>
      <c r="Z795" t="str">
        <f>VLOOKUP(W795,Sheet2!A:D,4,0)</f>
        <v>HDPE: RELENE E52009</v>
      </c>
    </row>
    <row r="796" spans="12:26" ht="15">
      <c r="L796">
        <v>50115814</v>
      </c>
      <c r="M796" t="s">
        <v>1927</v>
      </c>
      <c r="N796">
        <v>50102096</v>
      </c>
      <c r="O796" t="s">
        <v>897</v>
      </c>
      <c r="U796" s="63">
        <v>50081624</v>
      </c>
      <c r="V796" s="64" t="s">
        <v>87</v>
      </c>
      <c r="W796">
        <v>50081622</v>
      </c>
      <c r="X796" t="s">
        <v>557</v>
      </c>
      <c r="Y796">
        <f>VLOOKUP(W796,Sheet2!A:D,3,0)</f>
        <v>50082200</v>
      </c>
      <c r="Z796" t="str">
        <f>VLOOKUP(W796,Sheet2!A:D,4,0)</f>
        <v>HDPE: RELENE E52009</v>
      </c>
    </row>
    <row r="797" spans="12:26" ht="15">
      <c r="L797">
        <v>50115814</v>
      </c>
      <c r="M797" t="s">
        <v>1927</v>
      </c>
      <c r="N797">
        <v>50109444</v>
      </c>
      <c r="O797" t="s">
        <v>1047</v>
      </c>
      <c r="U797" s="63">
        <v>50081630</v>
      </c>
      <c r="V797" s="64" t="s">
        <v>1999</v>
      </c>
      <c r="W797">
        <v>50081629</v>
      </c>
      <c r="X797" t="s">
        <v>559</v>
      </c>
      <c r="Y797" t="e">
        <f>VLOOKUP(W797,Sheet2!A:D,3,0)</f>
        <v>#N/A</v>
      </c>
      <c r="Z797" t="e">
        <f>VLOOKUP(W797,Sheet2!A:D,4,0)</f>
        <v>#N/A</v>
      </c>
    </row>
    <row r="798" spans="12:26" ht="15">
      <c r="L798">
        <v>50115815</v>
      </c>
      <c r="M798" t="s">
        <v>1928</v>
      </c>
      <c r="N798">
        <v>50115801</v>
      </c>
      <c r="O798" t="s">
        <v>1325</v>
      </c>
      <c r="U798" s="63">
        <v>50081631</v>
      </c>
      <c r="V798" s="64" t="s">
        <v>2000</v>
      </c>
      <c r="W798">
        <v>50081629</v>
      </c>
      <c r="X798" t="s">
        <v>559</v>
      </c>
      <c r="Y798" t="e">
        <f>VLOOKUP(W798,Sheet2!A:D,3,0)</f>
        <v>#N/A</v>
      </c>
      <c r="Z798" t="e">
        <f>VLOOKUP(W798,Sheet2!A:D,4,0)</f>
        <v>#N/A</v>
      </c>
    </row>
    <row r="799" spans="12:26" ht="15">
      <c r="L799">
        <v>50115816</v>
      </c>
      <c r="M799" t="s">
        <v>1929</v>
      </c>
      <c r="N799">
        <v>50113438</v>
      </c>
      <c r="O799" t="s">
        <v>1162</v>
      </c>
      <c r="U799" s="63">
        <v>50081633</v>
      </c>
      <c r="V799" s="64" t="s">
        <v>2001</v>
      </c>
      <c r="W799">
        <v>50081632</v>
      </c>
      <c r="X799" t="s">
        <v>560</v>
      </c>
      <c r="Y799">
        <f>VLOOKUP(W799,Sheet2!A:D,3,0)</f>
        <v>50082183</v>
      </c>
      <c r="Z799" t="str">
        <f>VLOOKUP(W799,Sheet2!A:D,4,0)</f>
        <v>LDPE: PURELL PE 1840 H</v>
      </c>
    </row>
    <row r="800" spans="12:26" ht="15">
      <c r="L800">
        <v>50115816</v>
      </c>
      <c r="M800" t="s">
        <v>1929</v>
      </c>
      <c r="N800">
        <v>50114165</v>
      </c>
      <c r="O800" t="s">
        <v>1204</v>
      </c>
      <c r="U800" s="63">
        <v>50081634</v>
      </c>
      <c r="V800" s="64" t="s">
        <v>2002</v>
      </c>
      <c r="W800">
        <v>50081632</v>
      </c>
      <c r="X800" t="s">
        <v>560</v>
      </c>
      <c r="Y800">
        <f>VLOOKUP(W800,Sheet2!A:D,3,0)</f>
        <v>50082183</v>
      </c>
      <c r="Z800" t="str">
        <f>VLOOKUP(W800,Sheet2!A:D,4,0)</f>
        <v>LDPE: PURELL PE 1840 H</v>
      </c>
    </row>
    <row r="801" spans="12:26" ht="15">
      <c r="L801">
        <v>50115816</v>
      </c>
      <c r="M801" t="s">
        <v>1929</v>
      </c>
      <c r="N801">
        <v>50114382</v>
      </c>
      <c r="O801" t="s">
        <v>1885</v>
      </c>
      <c r="U801" s="63">
        <v>50081636</v>
      </c>
      <c r="V801" s="64" t="s">
        <v>1383</v>
      </c>
      <c r="W801">
        <v>50081635</v>
      </c>
      <c r="X801" t="s">
        <v>561</v>
      </c>
      <c r="Y801">
        <f>VLOOKUP(W801,Sheet2!A:D,3,0)</f>
        <v>50082183</v>
      </c>
      <c r="Z801" t="str">
        <f>VLOOKUP(W801,Sheet2!A:D,4,0)</f>
        <v>LDPE: PURELL PE 1840 H</v>
      </c>
    </row>
    <row r="802" spans="12:26" ht="15">
      <c r="L802">
        <v>50115843</v>
      </c>
      <c r="M802" t="s">
        <v>1930</v>
      </c>
      <c r="N802">
        <v>50099205</v>
      </c>
      <c r="O802" t="s">
        <v>848</v>
      </c>
      <c r="U802" s="63">
        <v>50081637</v>
      </c>
      <c r="V802" s="64" t="s">
        <v>1384</v>
      </c>
      <c r="W802">
        <v>50081635</v>
      </c>
      <c r="X802" t="s">
        <v>561</v>
      </c>
      <c r="Y802">
        <f>VLOOKUP(W802,Sheet2!A:D,3,0)</f>
        <v>50082183</v>
      </c>
      <c r="Z802" t="str">
        <f>VLOOKUP(W802,Sheet2!A:D,4,0)</f>
        <v>LDPE: PURELL PE 1840 H</v>
      </c>
    </row>
    <row r="803" spans="12:26" ht="15">
      <c r="L803">
        <v>50115843</v>
      </c>
      <c r="M803" t="s">
        <v>1930</v>
      </c>
      <c r="N803">
        <v>50099334</v>
      </c>
      <c r="O803" t="s">
        <v>854</v>
      </c>
      <c r="U803" s="63">
        <v>50081639</v>
      </c>
      <c r="V803" s="64" t="s">
        <v>2003</v>
      </c>
      <c r="W803">
        <v>50081638</v>
      </c>
      <c r="X803" t="s">
        <v>562</v>
      </c>
      <c r="Y803">
        <f>VLOOKUP(W803,Sheet2!A:D,3,0)</f>
        <v>50082184</v>
      </c>
      <c r="Z803" t="str">
        <f>VLOOKUP(W803,Sheet2!A:D,4,0)</f>
        <v>LDPE: PURELL PE 1810 E</v>
      </c>
    </row>
    <row r="804" spans="12:26" ht="15">
      <c r="L804">
        <v>50115862</v>
      </c>
      <c r="M804" t="s">
        <v>183</v>
      </c>
      <c r="N804">
        <v>50104542</v>
      </c>
      <c r="O804" t="s">
        <v>926</v>
      </c>
      <c r="U804" s="63">
        <v>50081640</v>
      </c>
      <c r="V804" s="64" t="s">
        <v>2004</v>
      </c>
      <c r="W804">
        <v>50081638</v>
      </c>
      <c r="X804" t="s">
        <v>562</v>
      </c>
      <c r="Y804">
        <f>VLOOKUP(W804,Sheet2!A:D,3,0)</f>
        <v>50082184</v>
      </c>
      <c r="Z804" t="str">
        <f>VLOOKUP(W804,Sheet2!A:D,4,0)</f>
        <v>LDPE: PURELL PE 1810 E</v>
      </c>
    </row>
    <row r="805" spans="12:26" ht="15">
      <c r="L805">
        <v>50115862</v>
      </c>
      <c r="M805" t="s">
        <v>183</v>
      </c>
      <c r="N805">
        <v>50104543</v>
      </c>
      <c r="O805" t="s">
        <v>927</v>
      </c>
      <c r="U805" s="63">
        <v>50081642</v>
      </c>
      <c r="V805" s="64" t="s">
        <v>1385</v>
      </c>
      <c r="W805">
        <v>50081641</v>
      </c>
      <c r="X805" t="s">
        <v>1386</v>
      </c>
      <c r="Y805">
        <f>VLOOKUP(W805,Sheet2!A:D,3,0)</f>
        <v>50082198</v>
      </c>
      <c r="Z805" t="str">
        <f>VLOOKUP(W805,Sheet2!A:D,4,0)</f>
        <v>LDPE: RELENE 22FA002</v>
      </c>
    </row>
    <row r="806" spans="12:26" ht="15">
      <c r="L806">
        <v>50115862</v>
      </c>
      <c r="M806" t="s">
        <v>183</v>
      </c>
      <c r="N806">
        <v>50104544</v>
      </c>
      <c r="O806" t="s">
        <v>928</v>
      </c>
      <c r="U806" s="63">
        <v>50081644</v>
      </c>
      <c r="V806" s="64" t="s">
        <v>2005</v>
      </c>
      <c r="W806">
        <v>50081643</v>
      </c>
      <c r="X806" t="s">
        <v>563</v>
      </c>
      <c r="Y806">
        <f>VLOOKUP(W806,Sheet2!A:D,3,0)</f>
        <v>50082183</v>
      </c>
      <c r="Z806" t="str">
        <f>VLOOKUP(W806,Sheet2!A:D,4,0)</f>
        <v>LDPE: PURELL PE 1840 H</v>
      </c>
    </row>
    <row r="807" spans="12:26" ht="15">
      <c r="L807">
        <v>50115862</v>
      </c>
      <c r="M807" t="s">
        <v>183</v>
      </c>
      <c r="N807">
        <v>50115859</v>
      </c>
      <c r="O807" t="s">
        <v>1326</v>
      </c>
      <c r="U807" s="63">
        <v>50081645</v>
      </c>
      <c r="V807" s="64" t="s">
        <v>2006</v>
      </c>
      <c r="W807">
        <v>50081643</v>
      </c>
      <c r="X807" t="s">
        <v>563</v>
      </c>
      <c r="Y807">
        <f>VLOOKUP(W807,Sheet2!A:D,3,0)</f>
        <v>50082183</v>
      </c>
      <c r="Z807" t="str">
        <f>VLOOKUP(W807,Sheet2!A:D,4,0)</f>
        <v>LDPE: PURELL PE 1840 H</v>
      </c>
    </row>
    <row r="808" spans="12:26" ht="15">
      <c r="L808">
        <v>50115904</v>
      </c>
      <c r="M808" t="s">
        <v>1931</v>
      </c>
      <c r="N808">
        <v>50099333</v>
      </c>
      <c r="O808" t="s">
        <v>853</v>
      </c>
      <c r="U808" s="63">
        <v>50081647</v>
      </c>
      <c r="V808" s="64" t="s">
        <v>2007</v>
      </c>
      <c r="W808">
        <v>50081646</v>
      </c>
      <c r="X808" t="s">
        <v>564</v>
      </c>
      <c r="Y808">
        <f>VLOOKUP(W808,Sheet2!A:D,3,0)</f>
        <v>50082183</v>
      </c>
      <c r="Z808" t="str">
        <f>VLOOKUP(W808,Sheet2!A:D,4,0)</f>
        <v>LDPE: PURELL PE 1840 H</v>
      </c>
    </row>
    <row r="809" spans="12:26" ht="15">
      <c r="L809">
        <v>50115904</v>
      </c>
      <c r="M809" t="s">
        <v>1931</v>
      </c>
      <c r="N809">
        <v>50109709</v>
      </c>
      <c r="O809" t="s">
        <v>1011</v>
      </c>
      <c r="U809" s="63">
        <v>50081648</v>
      </c>
      <c r="V809" s="64" t="s">
        <v>2008</v>
      </c>
      <c r="W809">
        <v>50081646</v>
      </c>
      <c r="X809" t="s">
        <v>564</v>
      </c>
      <c r="Y809">
        <f>VLOOKUP(W809,Sheet2!A:D,3,0)</f>
        <v>50082183</v>
      </c>
      <c r="Z809" t="str">
        <f>VLOOKUP(W809,Sheet2!A:D,4,0)</f>
        <v>LDPE: PURELL PE 1840 H</v>
      </c>
    </row>
    <row r="810" spans="12:26" ht="15">
      <c r="L810">
        <v>50115905</v>
      </c>
      <c r="M810" t="s">
        <v>1932</v>
      </c>
      <c r="N810">
        <v>50104541</v>
      </c>
      <c r="O810" t="s">
        <v>924</v>
      </c>
      <c r="U810" s="63">
        <v>50081659</v>
      </c>
      <c r="V810" s="64" t="s">
        <v>2009</v>
      </c>
      <c r="W810">
        <v>50081658</v>
      </c>
      <c r="X810" t="s">
        <v>567</v>
      </c>
      <c r="Y810">
        <f>VLOOKUP(W810,Sheet2!A:D,3,0)</f>
        <v>50082183</v>
      </c>
      <c r="Z810" t="str">
        <f>VLOOKUP(W810,Sheet2!A:D,4,0)</f>
        <v>LDPE: PURELL PE 1840 H</v>
      </c>
    </row>
    <row r="811" spans="12:26" ht="15">
      <c r="L811">
        <v>50115905</v>
      </c>
      <c r="M811" t="s">
        <v>1932</v>
      </c>
      <c r="N811">
        <v>50104542</v>
      </c>
      <c r="O811" t="s">
        <v>926</v>
      </c>
      <c r="U811" s="63">
        <v>50081660</v>
      </c>
      <c r="V811" s="64" t="s">
        <v>2010</v>
      </c>
      <c r="W811">
        <v>50081658</v>
      </c>
      <c r="X811" t="s">
        <v>567</v>
      </c>
      <c r="Y811">
        <f>VLOOKUP(W811,Sheet2!A:D,3,0)</f>
        <v>50082183</v>
      </c>
      <c r="Z811" t="str">
        <f>VLOOKUP(W811,Sheet2!A:D,4,0)</f>
        <v>LDPE: PURELL PE 1840 H</v>
      </c>
    </row>
    <row r="812" spans="12:26" ht="15">
      <c r="L812">
        <v>50115905</v>
      </c>
      <c r="M812" t="s">
        <v>1932</v>
      </c>
      <c r="N812">
        <v>50104543</v>
      </c>
      <c r="O812" t="s">
        <v>927</v>
      </c>
      <c r="U812" s="63">
        <v>50081661</v>
      </c>
      <c r="V812" s="64" t="s">
        <v>2011</v>
      </c>
      <c r="W812">
        <v>50081597</v>
      </c>
      <c r="X812" t="s">
        <v>550</v>
      </c>
      <c r="Y812" t="e">
        <f>VLOOKUP(W812,Sheet2!A:D,3,0)</f>
        <v>#N/A</v>
      </c>
      <c r="Z812" t="e">
        <f>VLOOKUP(W812,Sheet2!A:D,4,0)</f>
        <v>#N/A</v>
      </c>
    </row>
    <row r="813" spans="12:26" ht="15">
      <c r="L813">
        <v>50115905</v>
      </c>
      <c r="M813" t="s">
        <v>1932</v>
      </c>
      <c r="N813">
        <v>50104544</v>
      </c>
      <c r="O813" t="s">
        <v>928</v>
      </c>
      <c r="U813" s="63">
        <v>50081662</v>
      </c>
      <c r="V813" s="64" t="s">
        <v>2012</v>
      </c>
      <c r="W813">
        <v>50081597</v>
      </c>
      <c r="X813" t="s">
        <v>550</v>
      </c>
      <c r="Y813" t="e">
        <f>VLOOKUP(W813,Sheet2!A:D,3,0)</f>
        <v>#N/A</v>
      </c>
      <c r="Z813" t="e">
        <f>VLOOKUP(W813,Sheet2!A:D,4,0)</f>
        <v>#N/A</v>
      </c>
    </row>
    <row r="814" spans="12:26" ht="15">
      <c r="L814">
        <v>50115914</v>
      </c>
      <c r="M814" t="s">
        <v>1933</v>
      </c>
      <c r="N814">
        <v>50105492</v>
      </c>
      <c r="O814" t="s">
        <v>970</v>
      </c>
      <c r="U814" s="63">
        <v>50081666</v>
      </c>
      <c r="V814" s="64" t="s">
        <v>2013</v>
      </c>
      <c r="W814">
        <v>50081668</v>
      </c>
      <c r="X814" t="s">
        <v>568</v>
      </c>
      <c r="Y814">
        <f>VLOOKUP(W814,Sheet2!A:D,3,0)</f>
        <v>50082200</v>
      </c>
      <c r="Z814" t="str">
        <f>VLOOKUP(W814,Sheet2!A:D,4,0)</f>
        <v>HDPE: RELENE E52009</v>
      </c>
    </row>
    <row r="815" spans="12:26" ht="15">
      <c r="L815">
        <v>50115915</v>
      </c>
      <c r="M815" t="s">
        <v>1934</v>
      </c>
      <c r="N815">
        <v>50104782</v>
      </c>
      <c r="O815" t="s">
        <v>1771</v>
      </c>
      <c r="U815" s="63">
        <v>50081667</v>
      </c>
      <c r="V815" s="64" t="s">
        <v>2014</v>
      </c>
      <c r="W815">
        <v>50081668</v>
      </c>
      <c r="X815" t="s">
        <v>568</v>
      </c>
      <c r="Y815">
        <f>VLOOKUP(W815,Sheet2!A:D,3,0)</f>
        <v>50082200</v>
      </c>
      <c r="Z815" t="str">
        <f>VLOOKUP(W815,Sheet2!A:D,4,0)</f>
        <v>HDPE: RELENE E52009</v>
      </c>
    </row>
    <row r="816" spans="12:26" ht="15">
      <c r="L816">
        <v>50115915</v>
      </c>
      <c r="M816" t="s">
        <v>1934</v>
      </c>
      <c r="N816">
        <v>50104883</v>
      </c>
      <c r="O816" t="s">
        <v>932</v>
      </c>
      <c r="U816" s="63">
        <v>50081670</v>
      </c>
      <c r="V816" s="64" t="s">
        <v>30</v>
      </c>
      <c r="W816">
        <v>50081669</v>
      </c>
      <c r="X816" t="s">
        <v>569</v>
      </c>
      <c r="Y816">
        <f>VLOOKUP(W816,Sheet2!A:D,3,0)</f>
        <v>50082202</v>
      </c>
      <c r="Z816" t="str">
        <f>VLOOKUP(W816,Sheet2!A:D,4,0)</f>
        <v>HDPE: PURELL GC7260</v>
      </c>
    </row>
    <row r="817" spans="12:26" ht="15">
      <c r="L817">
        <v>50115915</v>
      </c>
      <c r="M817" t="s">
        <v>1934</v>
      </c>
      <c r="N817">
        <v>50104909</v>
      </c>
      <c r="O817" t="s">
        <v>934</v>
      </c>
      <c r="U817" s="63">
        <v>50081671</v>
      </c>
      <c r="V817" s="64" t="s">
        <v>2015</v>
      </c>
      <c r="W817">
        <v>50081669</v>
      </c>
      <c r="X817" t="s">
        <v>569</v>
      </c>
      <c r="Y817">
        <f>VLOOKUP(W817,Sheet2!A:D,3,0)</f>
        <v>50082202</v>
      </c>
      <c r="Z817" t="str">
        <f>VLOOKUP(W817,Sheet2!A:D,4,0)</f>
        <v>HDPE: PURELL GC7260</v>
      </c>
    </row>
    <row r="818" spans="12:26" ht="15">
      <c r="L818">
        <v>50115915</v>
      </c>
      <c r="M818" t="s">
        <v>1934</v>
      </c>
      <c r="N818">
        <v>50105504</v>
      </c>
      <c r="O818" t="s">
        <v>971</v>
      </c>
      <c r="U818" s="63">
        <v>50081672</v>
      </c>
      <c r="V818" s="64" t="s">
        <v>2016</v>
      </c>
      <c r="W818">
        <v>50081492</v>
      </c>
      <c r="X818" t="s">
        <v>526</v>
      </c>
      <c r="Y818">
        <f>VLOOKUP(W818,Sheet2!A:D,3,0)</f>
        <v>50082200</v>
      </c>
      <c r="Z818" t="str">
        <f>VLOOKUP(W818,Sheet2!A:D,4,0)</f>
        <v>HDPE: RELENE E52009</v>
      </c>
    </row>
    <row r="819" spans="12:26" ht="15">
      <c r="L819">
        <v>50115915</v>
      </c>
      <c r="M819" t="s">
        <v>1934</v>
      </c>
      <c r="N819">
        <v>50106459</v>
      </c>
      <c r="O819" t="s">
        <v>1774</v>
      </c>
      <c r="U819" s="63">
        <v>50081674</v>
      </c>
      <c r="V819" s="64" t="s">
        <v>481</v>
      </c>
      <c r="W819">
        <v>50081673</v>
      </c>
      <c r="X819" t="s">
        <v>570</v>
      </c>
      <c r="Y819">
        <f>VLOOKUP(W819,Sheet2!A:D,3,0)</f>
        <v>50082202</v>
      </c>
      <c r="Z819" t="str">
        <f>VLOOKUP(W819,Sheet2!A:D,4,0)</f>
        <v>HDPE: PURELL GC7260</v>
      </c>
    </row>
    <row r="820" spans="12:26" ht="15">
      <c r="L820">
        <v>50115915</v>
      </c>
      <c r="M820" t="s">
        <v>1934</v>
      </c>
      <c r="N820">
        <v>50115914</v>
      </c>
      <c r="O820" t="s">
        <v>1933</v>
      </c>
      <c r="U820" s="63">
        <v>50081676</v>
      </c>
      <c r="V820" s="64" t="s">
        <v>2017</v>
      </c>
      <c r="W820">
        <v>50081675</v>
      </c>
      <c r="X820" t="s">
        <v>571</v>
      </c>
      <c r="Y820">
        <f>VLOOKUP(W820,Sheet2!A:D,3,0)</f>
        <v>50082202</v>
      </c>
      <c r="Z820" t="str">
        <f>VLOOKUP(W820,Sheet2!A:D,4,0)</f>
        <v>HDPE: PURELL GC7260</v>
      </c>
    </row>
    <row r="821" spans="12:26" ht="15">
      <c r="L821">
        <v>50115916</v>
      </c>
      <c r="M821" t="s">
        <v>1935</v>
      </c>
      <c r="N821">
        <v>50104782</v>
      </c>
      <c r="O821" t="s">
        <v>1771</v>
      </c>
      <c r="U821" s="63">
        <v>50081677</v>
      </c>
      <c r="V821" s="64" t="s">
        <v>2018</v>
      </c>
      <c r="W821">
        <v>50081675</v>
      </c>
      <c r="X821" t="s">
        <v>571</v>
      </c>
      <c r="Y821">
        <f>VLOOKUP(W821,Sheet2!A:D,3,0)</f>
        <v>50082202</v>
      </c>
      <c r="Z821" t="str">
        <f>VLOOKUP(W821,Sheet2!A:D,4,0)</f>
        <v>HDPE: PURELL GC7260</v>
      </c>
    </row>
    <row r="822" spans="12:26" ht="15">
      <c r="L822">
        <v>50115916</v>
      </c>
      <c r="M822" t="s">
        <v>1935</v>
      </c>
      <c r="N822">
        <v>50105504</v>
      </c>
      <c r="O822" t="s">
        <v>971</v>
      </c>
      <c r="U822" s="63">
        <v>50081679</v>
      </c>
      <c r="V822" s="64" t="s">
        <v>249</v>
      </c>
      <c r="W822">
        <v>50081678</v>
      </c>
      <c r="X822" t="s">
        <v>572</v>
      </c>
      <c r="Y822">
        <f>VLOOKUP(W822,Sheet2!A:D,3,0)</f>
        <v>50082200</v>
      </c>
      <c r="Z822" t="str">
        <f>VLOOKUP(W822,Sheet2!A:D,4,0)</f>
        <v>HDPE: RELENE E52009</v>
      </c>
    </row>
    <row r="823" spans="12:26" ht="15">
      <c r="L823">
        <v>50115916</v>
      </c>
      <c r="M823" t="s">
        <v>1935</v>
      </c>
      <c r="N823">
        <v>50115799</v>
      </c>
      <c r="O823" t="s">
        <v>1323</v>
      </c>
      <c r="U823" s="63">
        <v>50081681</v>
      </c>
      <c r="V823" s="64" t="s">
        <v>2019</v>
      </c>
      <c r="W823">
        <v>50081680</v>
      </c>
      <c r="X823" t="s">
        <v>254</v>
      </c>
      <c r="Y823">
        <f>VLOOKUP(W823,Sheet2!A:D,3,0)</f>
        <v>50082200</v>
      </c>
      <c r="Z823" t="str">
        <f>VLOOKUP(W823,Sheet2!A:D,4,0)</f>
        <v>HDPE: RELENE E52009</v>
      </c>
    </row>
    <row r="824" spans="12:26" ht="15">
      <c r="L824">
        <v>50115916</v>
      </c>
      <c r="M824" t="s">
        <v>1935</v>
      </c>
      <c r="N824">
        <v>50115801</v>
      </c>
      <c r="O824" t="s">
        <v>1325</v>
      </c>
      <c r="U824" s="63">
        <v>50081682</v>
      </c>
      <c r="V824" s="64" t="s">
        <v>2020</v>
      </c>
      <c r="W824">
        <v>50081680</v>
      </c>
      <c r="X824" t="s">
        <v>254</v>
      </c>
      <c r="Y824">
        <f>VLOOKUP(W824,Sheet2!A:D,3,0)</f>
        <v>50082200</v>
      </c>
      <c r="Z824" t="str">
        <f>VLOOKUP(W824,Sheet2!A:D,4,0)</f>
        <v>HDPE: RELENE E52009</v>
      </c>
    </row>
    <row r="825" spans="12:26" ht="15">
      <c r="L825">
        <v>50115916</v>
      </c>
      <c r="M825" t="s">
        <v>1935</v>
      </c>
      <c r="N825">
        <v>50115917</v>
      </c>
      <c r="O825" t="s">
        <v>1936</v>
      </c>
      <c r="U825" s="63">
        <v>50081684</v>
      </c>
      <c r="V825" s="64" t="s">
        <v>2021</v>
      </c>
      <c r="W825">
        <v>50081683</v>
      </c>
      <c r="X825" t="s">
        <v>573</v>
      </c>
      <c r="Y825">
        <f>VLOOKUP(W825,Sheet2!A:D,3,0)</f>
        <v>50082200</v>
      </c>
      <c r="Z825" t="str">
        <f>VLOOKUP(W825,Sheet2!A:D,4,0)</f>
        <v>HDPE: RELENE E52009</v>
      </c>
    </row>
    <row r="826" spans="12:26" ht="15">
      <c r="L826">
        <v>50115917</v>
      </c>
      <c r="M826" t="s">
        <v>1936</v>
      </c>
      <c r="N826">
        <v>50105492</v>
      </c>
      <c r="O826" t="s">
        <v>970</v>
      </c>
      <c r="U826" s="63">
        <v>50081685</v>
      </c>
      <c r="V826" s="64" t="s">
        <v>2022</v>
      </c>
      <c r="W826">
        <v>50081683</v>
      </c>
      <c r="X826" t="s">
        <v>573</v>
      </c>
      <c r="Y826">
        <f>VLOOKUP(W826,Sheet2!A:D,3,0)</f>
        <v>50082200</v>
      </c>
      <c r="Z826" t="str">
        <f>VLOOKUP(W826,Sheet2!A:D,4,0)</f>
        <v>HDPE: RELENE E52009</v>
      </c>
    </row>
    <row r="827" spans="12:26" ht="15">
      <c r="L827">
        <v>50115936</v>
      </c>
      <c r="M827" t="s">
        <v>236</v>
      </c>
      <c r="N827">
        <v>50099334</v>
      </c>
      <c r="O827" t="s">
        <v>854</v>
      </c>
      <c r="U827" s="63">
        <v>50081690</v>
      </c>
      <c r="V827" s="64" t="s">
        <v>2023</v>
      </c>
      <c r="W827">
        <v>50081689</v>
      </c>
      <c r="X827" t="s">
        <v>574</v>
      </c>
      <c r="Y827">
        <f>VLOOKUP(W827,Sheet2!A:D,3,0)</f>
        <v>50082183</v>
      </c>
      <c r="Z827" t="str">
        <f>VLOOKUP(W827,Sheet2!A:D,4,0)</f>
        <v>LDPE: PURELL PE 1840 H</v>
      </c>
    </row>
    <row r="828" spans="12:26" ht="15">
      <c r="L828">
        <v>50115936</v>
      </c>
      <c r="M828" t="s">
        <v>236</v>
      </c>
      <c r="N828">
        <v>50115935</v>
      </c>
      <c r="O828" t="s">
        <v>1336</v>
      </c>
      <c r="U828" s="63">
        <v>50081691</v>
      </c>
      <c r="V828" s="64" t="s">
        <v>2024</v>
      </c>
      <c r="W828">
        <v>50081689</v>
      </c>
      <c r="X828" t="s">
        <v>574</v>
      </c>
      <c r="Y828">
        <f>VLOOKUP(W828,Sheet2!A:D,3,0)</f>
        <v>50082183</v>
      </c>
      <c r="Z828" t="str">
        <f>VLOOKUP(W828,Sheet2!A:D,4,0)</f>
        <v>LDPE: PURELL PE 1840 H</v>
      </c>
    </row>
    <row r="829" spans="12:26" ht="15">
      <c r="L829">
        <v>50115988</v>
      </c>
      <c r="M829" t="s">
        <v>1937</v>
      </c>
      <c r="N829">
        <v>50082246</v>
      </c>
      <c r="O829" t="s">
        <v>732</v>
      </c>
      <c r="U829" s="63">
        <v>50081693</v>
      </c>
      <c r="V829" s="64" t="s">
        <v>2025</v>
      </c>
      <c r="W829">
        <v>50081692</v>
      </c>
      <c r="X829" t="s">
        <v>575</v>
      </c>
      <c r="Y829">
        <f>VLOOKUP(W829,Sheet2!A:D,3,0)</f>
        <v>50082183</v>
      </c>
      <c r="Z829" t="str">
        <f>VLOOKUP(W829,Sheet2!A:D,4,0)</f>
        <v>LDPE: PURELL PE 1840 H</v>
      </c>
    </row>
    <row r="830" spans="12:26" ht="15">
      <c r="U830" s="63">
        <v>50081694</v>
      </c>
      <c r="V830" s="64" t="s">
        <v>2026</v>
      </c>
      <c r="W830">
        <v>50081692</v>
      </c>
      <c r="X830" t="s">
        <v>575</v>
      </c>
      <c r="Y830">
        <f>VLOOKUP(W830,Sheet2!A:D,3,0)</f>
        <v>50082183</v>
      </c>
      <c r="Z830" t="str">
        <f>VLOOKUP(W830,Sheet2!A:D,4,0)</f>
        <v>LDPE: PURELL PE 1840 H</v>
      </c>
    </row>
    <row r="831" spans="12:26" ht="15">
      <c r="U831" s="63">
        <v>50081697</v>
      </c>
      <c r="V831" s="64" t="s">
        <v>2027</v>
      </c>
      <c r="W831">
        <v>50081696</v>
      </c>
      <c r="X831" t="s">
        <v>577</v>
      </c>
      <c r="Y831">
        <f>VLOOKUP(W831,Sheet2!A:D,3,0)</f>
        <v>50082183</v>
      </c>
      <c r="Z831" t="str">
        <f>VLOOKUP(W831,Sheet2!A:D,4,0)</f>
        <v>LDPE: PURELL PE 1840 H</v>
      </c>
    </row>
    <row r="832" spans="12:26" ht="15">
      <c r="U832" s="63">
        <v>50081698</v>
      </c>
      <c r="V832" s="64" t="s">
        <v>2028</v>
      </c>
      <c r="W832">
        <v>50081696</v>
      </c>
      <c r="X832" t="s">
        <v>577</v>
      </c>
      <c r="Y832">
        <f>VLOOKUP(W832,Sheet2!A:D,3,0)</f>
        <v>50082183</v>
      </c>
      <c r="Z832" t="str">
        <f>VLOOKUP(W832,Sheet2!A:D,4,0)</f>
        <v>LDPE: PURELL PE 1840 H</v>
      </c>
    </row>
    <row r="833" spans="21:26" ht="15">
      <c r="U833" s="63">
        <v>50081700</v>
      </c>
      <c r="V833" s="64" t="s">
        <v>2029</v>
      </c>
      <c r="W833">
        <v>50081699</v>
      </c>
      <c r="X833" t="s">
        <v>578</v>
      </c>
      <c r="Y833">
        <f>VLOOKUP(W833,Sheet2!A:D,3,0)</f>
        <v>50082184</v>
      </c>
      <c r="Z833" t="str">
        <f>VLOOKUP(W833,Sheet2!A:D,4,0)</f>
        <v>LDPE: PURELL PE 1810 E</v>
      </c>
    </row>
    <row r="834" spans="21:26" ht="15">
      <c r="U834" s="63">
        <v>50081701</v>
      </c>
      <c r="V834" s="64" t="s">
        <v>2030</v>
      </c>
      <c r="W834">
        <v>50081699</v>
      </c>
      <c r="X834" t="s">
        <v>578</v>
      </c>
      <c r="Y834">
        <f>VLOOKUP(W834,Sheet2!A:D,3,0)</f>
        <v>50082184</v>
      </c>
      <c r="Z834" t="str">
        <f>VLOOKUP(W834,Sheet2!A:D,4,0)</f>
        <v>LDPE: PURELL PE 1810 E</v>
      </c>
    </row>
    <row r="835" spans="21:26" ht="15">
      <c r="U835" s="63">
        <v>50081717</v>
      </c>
      <c r="V835" s="64" t="s">
        <v>1387</v>
      </c>
      <c r="W835">
        <v>50081716</v>
      </c>
      <c r="X835" t="s">
        <v>582</v>
      </c>
      <c r="Y835">
        <f>VLOOKUP(W835,Sheet2!A:D,3,0)</f>
        <v>50082183</v>
      </c>
      <c r="Z835" t="str">
        <f>VLOOKUP(W835,Sheet2!A:D,4,0)</f>
        <v>LDPE: PURELL PE 1840 H</v>
      </c>
    </row>
    <row r="836" spans="21:26" ht="15">
      <c r="U836" s="63">
        <v>50081718</v>
      </c>
      <c r="V836" s="64" t="s">
        <v>1388</v>
      </c>
      <c r="W836">
        <v>50081716</v>
      </c>
      <c r="X836" t="s">
        <v>582</v>
      </c>
      <c r="Y836">
        <f>VLOOKUP(W836,Sheet2!A:D,3,0)</f>
        <v>50082183</v>
      </c>
      <c r="Z836" t="str">
        <f>VLOOKUP(W836,Sheet2!A:D,4,0)</f>
        <v>LDPE: PURELL PE 1840 H</v>
      </c>
    </row>
    <row r="837" spans="21:26" ht="15">
      <c r="U837" s="63">
        <v>50081723</v>
      </c>
      <c r="V837" s="64" t="s">
        <v>55</v>
      </c>
      <c r="W837">
        <v>50081722</v>
      </c>
      <c r="X837" t="s">
        <v>583</v>
      </c>
      <c r="Y837">
        <f>VLOOKUP(W837,Sheet2!A:D,3,0)</f>
        <v>50082202</v>
      </c>
      <c r="Z837" t="str">
        <f>VLOOKUP(W837,Sheet2!A:D,4,0)</f>
        <v>HDPE: PURELL GC7260</v>
      </c>
    </row>
    <row r="838" spans="21:26" ht="15">
      <c r="U838" s="63">
        <v>50081724</v>
      </c>
      <c r="V838" s="64" t="s">
        <v>198</v>
      </c>
      <c r="W838">
        <v>50081722</v>
      </c>
      <c r="X838" t="s">
        <v>583</v>
      </c>
      <c r="Y838">
        <f>VLOOKUP(W838,Sheet2!A:D,3,0)</f>
        <v>50082202</v>
      </c>
      <c r="Z838" t="str">
        <f>VLOOKUP(W838,Sheet2!A:D,4,0)</f>
        <v>HDPE: PURELL GC7260</v>
      </c>
    </row>
    <row r="839" spans="21:26" ht="15">
      <c r="U839" s="63">
        <v>50081728</v>
      </c>
      <c r="V839" s="64" t="s">
        <v>2031</v>
      </c>
      <c r="W839">
        <v>50081727</v>
      </c>
      <c r="X839" t="s">
        <v>584</v>
      </c>
      <c r="Y839">
        <f>VLOOKUP(W839,Sheet2!A:D,3,0)</f>
        <v>50082200</v>
      </c>
      <c r="Z839" t="str">
        <f>VLOOKUP(W839,Sheet2!A:D,4,0)</f>
        <v>HDPE: RELENE E52009</v>
      </c>
    </row>
    <row r="840" spans="21:26" ht="15">
      <c r="U840" s="63">
        <v>50081729</v>
      </c>
      <c r="V840" s="64" t="s">
        <v>2032</v>
      </c>
      <c r="W840">
        <v>50081727</v>
      </c>
      <c r="X840" t="s">
        <v>584</v>
      </c>
      <c r="Y840">
        <f>VLOOKUP(W840,Sheet2!A:D,3,0)</f>
        <v>50082200</v>
      </c>
      <c r="Z840" t="str">
        <f>VLOOKUP(W840,Sheet2!A:D,4,0)</f>
        <v>HDPE: RELENE E52009</v>
      </c>
    </row>
    <row r="841" spans="21:26" ht="15">
      <c r="U841" s="63">
        <v>50081731</v>
      </c>
      <c r="V841" s="64" t="s">
        <v>2033</v>
      </c>
      <c r="W841">
        <v>50081730</v>
      </c>
      <c r="X841" t="s">
        <v>585</v>
      </c>
      <c r="Y841">
        <f>VLOOKUP(W841,Sheet2!A:D,3,0)</f>
        <v>50082183</v>
      </c>
      <c r="Z841" t="str">
        <f>VLOOKUP(W841,Sheet2!A:D,4,0)</f>
        <v>LDPE: PURELL PE 1840 H</v>
      </c>
    </row>
    <row r="842" spans="21:26" ht="15">
      <c r="U842" s="63">
        <v>50081732</v>
      </c>
      <c r="V842" s="64" t="s">
        <v>2034</v>
      </c>
      <c r="W842">
        <v>50081730</v>
      </c>
      <c r="X842" t="s">
        <v>585</v>
      </c>
      <c r="Y842">
        <f>VLOOKUP(W842,Sheet2!A:D,3,0)</f>
        <v>50082183</v>
      </c>
      <c r="Z842" t="str">
        <f>VLOOKUP(W842,Sheet2!A:D,4,0)</f>
        <v>LDPE: PURELL PE 1840 H</v>
      </c>
    </row>
    <row r="843" spans="21:26" ht="15">
      <c r="U843" s="63">
        <v>50081734</v>
      </c>
      <c r="V843" s="64" t="s">
        <v>369</v>
      </c>
      <c r="W843">
        <v>50081733</v>
      </c>
      <c r="X843" t="s">
        <v>586</v>
      </c>
      <c r="Y843">
        <f>VLOOKUP(W843,Sheet2!A:D,3,0)</f>
        <v>50082183</v>
      </c>
      <c r="Z843" t="str">
        <f>VLOOKUP(W843,Sheet2!A:D,4,0)</f>
        <v>LDPE: PURELL PE 1840 H</v>
      </c>
    </row>
    <row r="844" spans="21:26" ht="15">
      <c r="U844" s="63">
        <v>50081735</v>
      </c>
      <c r="V844" s="64" t="s">
        <v>2035</v>
      </c>
      <c r="W844">
        <v>50081733</v>
      </c>
      <c r="X844" t="s">
        <v>586</v>
      </c>
      <c r="Y844">
        <f>VLOOKUP(W844,Sheet2!A:D,3,0)</f>
        <v>50082183</v>
      </c>
      <c r="Z844" t="str">
        <f>VLOOKUP(W844,Sheet2!A:D,4,0)</f>
        <v>LDPE: PURELL PE 1840 H</v>
      </c>
    </row>
    <row r="845" spans="21:26" ht="15">
      <c r="U845" s="63">
        <v>50081737</v>
      </c>
      <c r="V845" s="64" t="s">
        <v>2036</v>
      </c>
      <c r="W845">
        <v>50081736</v>
      </c>
      <c r="X845" t="s">
        <v>587</v>
      </c>
      <c r="Y845">
        <f>VLOOKUP(W845,Sheet2!A:D,3,0)</f>
        <v>50082184</v>
      </c>
      <c r="Z845" t="str">
        <f>VLOOKUP(W845,Sheet2!A:D,4,0)</f>
        <v>LDPE: PURELL PE 1810 E</v>
      </c>
    </row>
    <row r="846" spans="21:26" ht="15">
      <c r="U846" s="63">
        <v>50081738</v>
      </c>
      <c r="V846" s="64" t="s">
        <v>2037</v>
      </c>
      <c r="W846">
        <v>50081736</v>
      </c>
      <c r="X846" t="s">
        <v>587</v>
      </c>
      <c r="Y846">
        <f>VLOOKUP(W846,Sheet2!A:D,3,0)</f>
        <v>50082184</v>
      </c>
      <c r="Z846" t="str">
        <f>VLOOKUP(W846,Sheet2!A:D,4,0)</f>
        <v>LDPE: PURELL PE 1810 E</v>
      </c>
    </row>
    <row r="847" spans="21:26" ht="15">
      <c r="U847" s="63">
        <v>50081746</v>
      </c>
      <c r="V847" s="64" t="s">
        <v>206</v>
      </c>
      <c r="W847">
        <v>50081719</v>
      </c>
      <c r="X847" t="s">
        <v>1389</v>
      </c>
      <c r="Y847">
        <f>VLOOKUP(W847,Sheet2!A:D,3,0)</f>
        <v>50082198</v>
      </c>
      <c r="Z847" t="str">
        <f>VLOOKUP(W847,Sheet2!A:D,4,0)</f>
        <v>LDPE: RELENE 22FA002</v>
      </c>
    </row>
    <row r="848" spans="21:26" ht="15">
      <c r="U848" s="63">
        <v>50081762</v>
      </c>
      <c r="V848" s="64" t="s">
        <v>2038</v>
      </c>
      <c r="W848">
        <v>50081761</v>
      </c>
      <c r="X848" t="s">
        <v>591</v>
      </c>
      <c r="Y848">
        <f>VLOOKUP(W848,Sheet2!A:D,3,0)</f>
        <v>50082202</v>
      </c>
      <c r="Z848" t="str">
        <f>VLOOKUP(W848,Sheet2!A:D,4,0)</f>
        <v>HDPE: PURELL GC7260</v>
      </c>
    </row>
    <row r="849" spans="21:26" ht="15">
      <c r="U849" s="63">
        <v>50081763</v>
      </c>
      <c r="V849" s="64" t="s">
        <v>2039</v>
      </c>
      <c r="W849">
        <v>50081761</v>
      </c>
      <c r="X849" t="s">
        <v>591</v>
      </c>
      <c r="Y849">
        <f>VLOOKUP(W849,Sheet2!A:D,3,0)</f>
        <v>50082202</v>
      </c>
      <c r="Z849" t="str">
        <f>VLOOKUP(W849,Sheet2!A:D,4,0)</f>
        <v>HDPE: PURELL GC7260</v>
      </c>
    </row>
    <row r="850" spans="21:26" ht="15">
      <c r="U850" s="63">
        <v>50081765</v>
      </c>
      <c r="V850" s="64" t="s">
        <v>2040</v>
      </c>
      <c r="W850">
        <v>50081764</v>
      </c>
      <c r="X850" t="s">
        <v>592</v>
      </c>
      <c r="Y850">
        <f>VLOOKUP(W850,Sheet2!A:D,3,0)</f>
        <v>50082202</v>
      </c>
      <c r="Z850" t="str">
        <f>VLOOKUP(W850,Sheet2!A:D,4,0)</f>
        <v>HDPE: PURELL GC7260</v>
      </c>
    </row>
    <row r="851" spans="21:26" ht="15">
      <c r="U851" s="63">
        <v>50081766</v>
      </c>
      <c r="V851" s="64" t="s">
        <v>2041</v>
      </c>
      <c r="W851">
        <v>50081764</v>
      </c>
      <c r="X851" t="s">
        <v>592</v>
      </c>
      <c r="Y851">
        <f>VLOOKUP(W851,Sheet2!A:D,3,0)</f>
        <v>50082202</v>
      </c>
      <c r="Z851" t="str">
        <f>VLOOKUP(W851,Sheet2!A:D,4,0)</f>
        <v>HDPE: PURELL GC7260</v>
      </c>
    </row>
    <row r="852" spans="21:26" ht="15">
      <c r="U852" s="63">
        <v>50081768</v>
      </c>
      <c r="V852" s="64" t="s">
        <v>179</v>
      </c>
      <c r="W852">
        <v>50081767</v>
      </c>
      <c r="X852" t="s">
        <v>593</v>
      </c>
      <c r="Y852">
        <f>VLOOKUP(W852,Sheet2!A:D,3,0)</f>
        <v>50082202</v>
      </c>
      <c r="Z852" t="str">
        <f>VLOOKUP(W852,Sheet2!A:D,4,0)</f>
        <v>HDPE: PURELL GC7260</v>
      </c>
    </row>
    <row r="853" spans="21:26" ht="15">
      <c r="U853" s="63">
        <v>50081769</v>
      </c>
      <c r="V853" s="64" t="s">
        <v>2042</v>
      </c>
      <c r="W853">
        <v>50081767</v>
      </c>
      <c r="X853" t="s">
        <v>593</v>
      </c>
      <c r="Y853">
        <f>VLOOKUP(W853,Sheet2!A:D,3,0)</f>
        <v>50082202</v>
      </c>
      <c r="Z853" t="str">
        <f>VLOOKUP(W853,Sheet2!A:D,4,0)</f>
        <v>HDPE: PURELL GC7260</v>
      </c>
    </row>
    <row r="854" spans="21:26" ht="15">
      <c r="U854" s="63">
        <v>50081771</v>
      </c>
      <c r="V854" s="64" t="s">
        <v>2043</v>
      </c>
      <c r="W854">
        <v>50081770</v>
      </c>
      <c r="X854" t="s">
        <v>594</v>
      </c>
      <c r="Y854" t="e">
        <f>VLOOKUP(W854,Sheet2!A:D,3,0)</f>
        <v>#N/A</v>
      </c>
      <c r="Z854" t="e">
        <f>VLOOKUP(W854,Sheet2!A:D,4,0)</f>
        <v>#N/A</v>
      </c>
    </row>
    <row r="855" spans="21:26" ht="15">
      <c r="U855" s="63">
        <v>50081772</v>
      </c>
      <c r="V855" s="64" t="s">
        <v>2044</v>
      </c>
      <c r="W855">
        <v>50081770</v>
      </c>
      <c r="X855" t="s">
        <v>594</v>
      </c>
      <c r="Y855" t="e">
        <f>VLOOKUP(W855,Sheet2!A:D,3,0)</f>
        <v>#N/A</v>
      </c>
      <c r="Z855" t="e">
        <f>VLOOKUP(W855,Sheet2!A:D,4,0)</f>
        <v>#N/A</v>
      </c>
    </row>
    <row r="856" spans="21:26" ht="15">
      <c r="U856" s="63">
        <v>50081776</v>
      </c>
      <c r="V856" s="64" t="s">
        <v>2045</v>
      </c>
      <c r="W856">
        <v>50081775</v>
      </c>
      <c r="X856" t="s">
        <v>595</v>
      </c>
      <c r="Y856">
        <f>VLOOKUP(W856,Sheet2!A:D,3,0)</f>
        <v>50082200</v>
      </c>
      <c r="Z856" t="str">
        <f>VLOOKUP(W856,Sheet2!A:D,4,0)</f>
        <v>HDPE: RELENE E52009</v>
      </c>
    </row>
    <row r="857" spans="21:26" ht="15">
      <c r="U857" s="63">
        <v>50081777</v>
      </c>
      <c r="V857" s="64" t="s">
        <v>2046</v>
      </c>
      <c r="W857">
        <v>50081775</v>
      </c>
      <c r="X857" t="s">
        <v>595</v>
      </c>
      <c r="Y857">
        <f>VLOOKUP(W857,Sheet2!A:D,3,0)</f>
        <v>50082200</v>
      </c>
      <c r="Z857" t="str">
        <f>VLOOKUP(W857,Sheet2!A:D,4,0)</f>
        <v>HDPE: RELENE E52009</v>
      </c>
    </row>
    <row r="858" spans="21:26" ht="15">
      <c r="U858" s="63">
        <v>50081786</v>
      </c>
      <c r="V858" s="64" t="s">
        <v>388</v>
      </c>
      <c r="W858">
        <v>50081785</v>
      </c>
      <c r="X858" t="s">
        <v>596</v>
      </c>
      <c r="Y858">
        <f>VLOOKUP(W858,Sheet2!A:D,3,0)</f>
        <v>50082184</v>
      </c>
      <c r="Z858" t="str">
        <f>VLOOKUP(W858,Sheet2!A:D,4,0)</f>
        <v>LDPE: PURELL PE 1810 E</v>
      </c>
    </row>
    <row r="859" spans="21:26" ht="15">
      <c r="U859" s="63">
        <v>50081787</v>
      </c>
      <c r="V859" s="64" t="s">
        <v>1391</v>
      </c>
      <c r="W859">
        <v>50081785</v>
      </c>
      <c r="X859" t="s">
        <v>596</v>
      </c>
      <c r="Y859">
        <f>VLOOKUP(W859,Sheet2!A:D,3,0)</f>
        <v>50082184</v>
      </c>
      <c r="Z859" t="str">
        <f>VLOOKUP(W859,Sheet2!A:D,4,0)</f>
        <v>LDPE: PURELL PE 1810 E</v>
      </c>
    </row>
    <row r="860" spans="21:26" ht="15">
      <c r="U860" s="63">
        <v>50081789</v>
      </c>
      <c r="V860" s="64" t="s">
        <v>1392</v>
      </c>
      <c r="W860">
        <v>50081788</v>
      </c>
      <c r="X860" t="s">
        <v>597</v>
      </c>
      <c r="Y860">
        <f>VLOOKUP(W860,Sheet2!A:D,3,0)</f>
        <v>50082184</v>
      </c>
      <c r="Z860" t="str">
        <f>VLOOKUP(W860,Sheet2!A:D,4,0)</f>
        <v>LDPE: PURELL PE 1810 E</v>
      </c>
    </row>
    <row r="861" spans="21:26" ht="15">
      <c r="U861" s="63">
        <v>50081790</v>
      </c>
      <c r="V861" s="64" t="s">
        <v>1393</v>
      </c>
      <c r="W861">
        <v>50081788</v>
      </c>
      <c r="X861" t="s">
        <v>597</v>
      </c>
      <c r="Y861">
        <f>VLOOKUP(W861,Sheet2!A:D,3,0)</f>
        <v>50082184</v>
      </c>
      <c r="Z861" t="str">
        <f>VLOOKUP(W861,Sheet2!A:D,4,0)</f>
        <v>LDPE: PURELL PE 1810 E</v>
      </c>
    </row>
    <row r="862" spans="21:26" ht="15">
      <c r="U862" s="63">
        <v>50081792</v>
      </c>
      <c r="V862" s="64" t="s">
        <v>1394</v>
      </c>
      <c r="W862">
        <v>50081791</v>
      </c>
      <c r="X862" t="s">
        <v>598</v>
      </c>
      <c r="Y862">
        <f>VLOOKUP(W862,Sheet2!A:D,3,0)</f>
        <v>50082184</v>
      </c>
      <c r="Z862" t="str">
        <f>VLOOKUP(W862,Sheet2!A:D,4,0)</f>
        <v>LDPE: PURELL PE 1810 E</v>
      </c>
    </row>
    <row r="863" spans="21:26" ht="15">
      <c r="U863" s="63">
        <v>50081793</v>
      </c>
      <c r="V863" s="64" t="s">
        <v>1395</v>
      </c>
      <c r="W863">
        <v>50081791</v>
      </c>
      <c r="X863" t="s">
        <v>598</v>
      </c>
      <c r="Y863">
        <f>VLOOKUP(W863,Sheet2!A:D,3,0)</f>
        <v>50082184</v>
      </c>
      <c r="Z863" t="str">
        <f>VLOOKUP(W863,Sheet2!A:D,4,0)</f>
        <v>LDPE: PURELL PE 1810 E</v>
      </c>
    </row>
    <row r="864" spans="21:26" ht="15">
      <c r="U864" s="63">
        <v>50081797</v>
      </c>
      <c r="V864" s="64" t="s">
        <v>2047</v>
      </c>
      <c r="W864">
        <v>50081796</v>
      </c>
      <c r="X864" t="s">
        <v>599</v>
      </c>
      <c r="Y864">
        <f>VLOOKUP(W864,Sheet2!A:D,3,0)</f>
        <v>50082184</v>
      </c>
      <c r="Z864" t="str">
        <f>VLOOKUP(W864,Sheet2!A:D,4,0)</f>
        <v>LDPE: PURELL PE 1810 E</v>
      </c>
    </row>
    <row r="865" spans="21:26" ht="15">
      <c r="U865" s="63">
        <v>50081798</v>
      </c>
      <c r="V865" s="64" t="s">
        <v>2048</v>
      </c>
      <c r="W865">
        <v>50081796</v>
      </c>
      <c r="X865" t="s">
        <v>599</v>
      </c>
      <c r="Y865">
        <f>VLOOKUP(W865,Sheet2!A:D,3,0)</f>
        <v>50082184</v>
      </c>
      <c r="Z865" t="str">
        <f>VLOOKUP(W865,Sheet2!A:D,4,0)</f>
        <v>LDPE: PURELL PE 1810 E</v>
      </c>
    </row>
    <row r="866" spans="21:26" ht="15">
      <c r="U866" s="63">
        <v>50081800</v>
      </c>
      <c r="V866" s="64" t="s">
        <v>2049</v>
      </c>
      <c r="W866">
        <v>50081799</v>
      </c>
      <c r="X866" t="s">
        <v>600</v>
      </c>
      <c r="Y866">
        <f>VLOOKUP(W866,Sheet2!A:D,3,0)</f>
        <v>50082200</v>
      </c>
      <c r="Z866" t="str">
        <f>VLOOKUP(W866,Sheet2!A:D,4,0)</f>
        <v>HDPE: RELENE E52009</v>
      </c>
    </row>
    <row r="867" spans="21:26" ht="15">
      <c r="U867" s="63">
        <v>50081801</v>
      </c>
      <c r="V867" s="64" t="s">
        <v>2050</v>
      </c>
      <c r="W867">
        <v>50081799</v>
      </c>
      <c r="X867" t="s">
        <v>600</v>
      </c>
      <c r="Y867">
        <f>VLOOKUP(W867,Sheet2!A:D,3,0)</f>
        <v>50082200</v>
      </c>
      <c r="Z867" t="str">
        <f>VLOOKUP(W867,Sheet2!A:D,4,0)</f>
        <v>HDPE: RELENE E52009</v>
      </c>
    </row>
    <row r="868" spans="21:26" ht="15">
      <c r="U868" s="63">
        <v>50081803</v>
      </c>
      <c r="V868" s="64" t="s">
        <v>387</v>
      </c>
      <c r="W868">
        <v>50081802</v>
      </c>
      <c r="X868" t="s">
        <v>601</v>
      </c>
      <c r="Y868">
        <f>VLOOKUP(W868,Sheet2!A:D,3,0)</f>
        <v>50082200</v>
      </c>
      <c r="Z868" t="str">
        <f>VLOOKUP(W868,Sheet2!A:D,4,0)</f>
        <v>HDPE: RELENE E52009</v>
      </c>
    </row>
    <row r="869" spans="21:26" ht="15">
      <c r="U869" s="63">
        <v>50081805</v>
      </c>
      <c r="V869" s="64" t="s">
        <v>207</v>
      </c>
      <c r="W869">
        <v>50081804</v>
      </c>
      <c r="X869" t="s">
        <v>602</v>
      </c>
      <c r="Y869">
        <f>VLOOKUP(W869,Sheet2!A:D,3,0)</f>
        <v>50082200</v>
      </c>
      <c r="Z869" t="str">
        <f>VLOOKUP(W869,Sheet2!A:D,4,0)</f>
        <v>HDPE: RELENE E52009</v>
      </c>
    </row>
    <row r="870" spans="21:26" ht="15">
      <c r="U870" s="63">
        <v>50081806</v>
      </c>
      <c r="V870" s="64" t="s">
        <v>2051</v>
      </c>
      <c r="W870">
        <v>50081804</v>
      </c>
      <c r="X870" t="s">
        <v>602</v>
      </c>
      <c r="Y870">
        <f>VLOOKUP(W870,Sheet2!A:D,3,0)</f>
        <v>50082200</v>
      </c>
      <c r="Z870" t="str">
        <f>VLOOKUP(W870,Sheet2!A:D,4,0)</f>
        <v>HDPE: RELENE E52009</v>
      </c>
    </row>
    <row r="871" spans="21:26" ht="15">
      <c r="U871" s="63">
        <v>50081808</v>
      </c>
      <c r="V871" s="64" t="s">
        <v>23</v>
      </c>
      <c r="W871">
        <v>50081807</v>
      </c>
      <c r="X871" t="s">
        <v>603</v>
      </c>
      <c r="Y871">
        <f>VLOOKUP(W871,Sheet2!A:D,3,0)</f>
        <v>50082200</v>
      </c>
      <c r="Z871" t="str">
        <f>VLOOKUP(W871,Sheet2!A:D,4,0)</f>
        <v>HDPE: RELENE E52009</v>
      </c>
    </row>
    <row r="872" spans="21:26" ht="15">
      <c r="U872" s="63">
        <v>50081809</v>
      </c>
      <c r="V872" s="64" t="s">
        <v>2052</v>
      </c>
      <c r="W872">
        <v>50081807</v>
      </c>
      <c r="X872" t="s">
        <v>603</v>
      </c>
      <c r="Y872">
        <f>VLOOKUP(W872,Sheet2!A:D,3,0)</f>
        <v>50082200</v>
      </c>
      <c r="Z872" t="str">
        <f>VLOOKUP(W872,Sheet2!A:D,4,0)</f>
        <v>HDPE: RELENE E52009</v>
      </c>
    </row>
    <row r="873" spans="21:26" ht="15">
      <c r="U873" s="63">
        <v>50081813</v>
      </c>
      <c r="V873" s="64" t="s">
        <v>2053</v>
      </c>
      <c r="W873">
        <v>50081812</v>
      </c>
      <c r="X873" t="s">
        <v>604</v>
      </c>
      <c r="Y873">
        <f>VLOOKUP(W873,Sheet2!A:D,3,0)</f>
        <v>50082200</v>
      </c>
      <c r="Z873" t="str">
        <f>VLOOKUP(W873,Sheet2!A:D,4,0)</f>
        <v>HDPE: RELENE E52009</v>
      </c>
    </row>
    <row r="874" spans="21:26" ht="15">
      <c r="U874" s="63">
        <v>50081814</v>
      </c>
      <c r="V874" s="64" t="s">
        <v>2054</v>
      </c>
      <c r="W874">
        <v>50081812</v>
      </c>
      <c r="X874" t="s">
        <v>604</v>
      </c>
      <c r="Y874">
        <f>VLOOKUP(W874,Sheet2!A:D,3,0)</f>
        <v>50082200</v>
      </c>
      <c r="Z874" t="str">
        <f>VLOOKUP(W874,Sheet2!A:D,4,0)</f>
        <v>HDPE: RELENE E52009</v>
      </c>
    </row>
    <row r="875" spans="21:26" ht="15">
      <c r="U875" s="63">
        <v>50081816</v>
      </c>
      <c r="V875" s="64" t="s">
        <v>2055</v>
      </c>
      <c r="W875">
        <v>50081815</v>
      </c>
      <c r="X875" t="s">
        <v>605</v>
      </c>
      <c r="Y875">
        <f>VLOOKUP(W875,Sheet2!A:D,3,0)</f>
        <v>50082200</v>
      </c>
      <c r="Z875" t="str">
        <f>VLOOKUP(W875,Sheet2!A:D,4,0)</f>
        <v>HDPE: RELENE E52009</v>
      </c>
    </row>
    <row r="876" spans="21:26" ht="15">
      <c r="U876" s="63">
        <v>50081817</v>
      </c>
      <c r="V876" s="64" t="s">
        <v>2056</v>
      </c>
      <c r="W876">
        <v>50081815</v>
      </c>
      <c r="X876" t="s">
        <v>605</v>
      </c>
      <c r="Y876">
        <f>VLOOKUP(W876,Sheet2!A:D,3,0)</f>
        <v>50082200</v>
      </c>
      <c r="Z876" t="str">
        <f>VLOOKUP(W876,Sheet2!A:D,4,0)</f>
        <v>HDPE: RELENE E52009</v>
      </c>
    </row>
    <row r="877" spans="21:26" ht="15">
      <c r="U877" s="63">
        <v>50081819</v>
      </c>
      <c r="V877" s="64" t="s">
        <v>2057</v>
      </c>
      <c r="W877">
        <v>50081818</v>
      </c>
      <c r="X877" t="s">
        <v>606</v>
      </c>
      <c r="Y877">
        <f>VLOOKUP(W877,Sheet2!A:D,3,0)</f>
        <v>50082200</v>
      </c>
      <c r="Z877" t="str">
        <f>VLOOKUP(W877,Sheet2!A:D,4,0)</f>
        <v>HDPE: RELENE E52009</v>
      </c>
    </row>
    <row r="878" spans="21:26" ht="15">
      <c r="U878" s="63">
        <v>50081820</v>
      </c>
      <c r="V878" s="64" t="s">
        <v>2058</v>
      </c>
      <c r="W878">
        <v>50081818</v>
      </c>
      <c r="X878" t="s">
        <v>606</v>
      </c>
      <c r="Y878">
        <f>VLOOKUP(W878,Sheet2!A:D,3,0)</f>
        <v>50082200</v>
      </c>
      <c r="Z878" t="str">
        <f>VLOOKUP(W878,Sheet2!A:D,4,0)</f>
        <v>HDPE: RELENE E52009</v>
      </c>
    </row>
    <row r="879" spans="21:26" ht="15">
      <c r="U879" s="63">
        <v>50081822</v>
      </c>
      <c r="V879" s="64" t="s">
        <v>2059</v>
      </c>
      <c r="W879">
        <v>50081821</v>
      </c>
      <c r="X879" t="s">
        <v>607</v>
      </c>
      <c r="Y879">
        <f>VLOOKUP(W879,Sheet2!A:D,3,0)</f>
        <v>50082183</v>
      </c>
      <c r="Z879" t="str">
        <f>VLOOKUP(W879,Sheet2!A:D,4,0)</f>
        <v>LDPE: PURELL PE 1840 H</v>
      </c>
    </row>
    <row r="880" spans="21:26" ht="15">
      <c r="U880" s="63">
        <v>50081823</v>
      </c>
      <c r="V880" s="64" t="s">
        <v>2060</v>
      </c>
      <c r="W880">
        <v>50081821</v>
      </c>
      <c r="X880" t="s">
        <v>607</v>
      </c>
      <c r="Y880">
        <f>VLOOKUP(W880,Sheet2!A:D,3,0)</f>
        <v>50082183</v>
      </c>
      <c r="Z880" t="str">
        <f>VLOOKUP(W880,Sheet2!A:D,4,0)</f>
        <v>LDPE: PURELL PE 1840 H</v>
      </c>
    </row>
    <row r="881" spans="21:26" ht="15">
      <c r="U881" s="63">
        <v>50081825</v>
      </c>
      <c r="V881" s="64" t="s">
        <v>1396</v>
      </c>
      <c r="W881">
        <v>50081824</v>
      </c>
      <c r="X881" t="s">
        <v>608</v>
      </c>
      <c r="Y881">
        <f>VLOOKUP(W881,Sheet2!A:D,3,0)</f>
        <v>50082183</v>
      </c>
      <c r="Z881" t="str">
        <f>VLOOKUP(W881,Sheet2!A:D,4,0)</f>
        <v>LDPE: PURELL PE 1840 H</v>
      </c>
    </row>
    <row r="882" spans="21:26" ht="15">
      <c r="U882" s="63">
        <v>50081826</v>
      </c>
      <c r="V882" s="64" t="s">
        <v>1398</v>
      </c>
      <c r="W882">
        <v>50081824</v>
      </c>
      <c r="X882" t="s">
        <v>608</v>
      </c>
      <c r="Y882">
        <f>VLOOKUP(W882,Sheet2!A:D,3,0)</f>
        <v>50082183</v>
      </c>
      <c r="Z882" t="str">
        <f>VLOOKUP(W882,Sheet2!A:D,4,0)</f>
        <v>LDPE: PURELL PE 1840 H</v>
      </c>
    </row>
    <row r="883" spans="21:26" ht="15">
      <c r="U883" s="63">
        <v>50081828</v>
      </c>
      <c r="V883" s="64" t="s">
        <v>1399</v>
      </c>
      <c r="W883">
        <v>50081827</v>
      </c>
      <c r="X883" t="s">
        <v>609</v>
      </c>
      <c r="Y883">
        <f>VLOOKUP(W883,Sheet2!A:D,3,0)</f>
        <v>50082184</v>
      </c>
      <c r="Z883" t="str">
        <f>VLOOKUP(W883,Sheet2!A:D,4,0)</f>
        <v>LDPE: PURELL PE 1810 E</v>
      </c>
    </row>
    <row r="884" spans="21:26" ht="15">
      <c r="U884" s="63">
        <v>50081829</v>
      </c>
      <c r="V884" s="64" t="s">
        <v>1400</v>
      </c>
      <c r="W884">
        <v>50081827</v>
      </c>
      <c r="X884" t="s">
        <v>609</v>
      </c>
      <c r="Y884">
        <f>VLOOKUP(W884,Sheet2!A:D,3,0)</f>
        <v>50082184</v>
      </c>
      <c r="Z884" t="str">
        <f>VLOOKUP(W884,Sheet2!A:D,4,0)</f>
        <v>LDPE: PURELL PE 1810 E</v>
      </c>
    </row>
    <row r="885" spans="21:26" ht="15">
      <c r="U885" s="63">
        <v>50081840</v>
      </c>
      <c r="V885" s="64" t="s">
        <v>137</v>
      </c>
      <c r="W885">
        <v>50081839</v>
      </c>
      <c r="X885" t="s">
        <v>613</v>
      </c>
      <c r="Y885">
        <f>VLOOKUP(W885,Sheet2!A:D,3,0)</f>
        <v>50082183</v>
      </c>
      <c r="Z885" t="str">
        <f>VLOOKUP(W885,Sheet2!A:D,4,0)</f>
        <v>LDPE: PURELL PE 1840 H</v>
      </c>
    </row>
    <row r="886" spans="21:26" ht="15">
      <c r="U886" s="63">
        <v>50081841</v>
      </c>
      <c r="V886" s="64" t="s">
        <v>11</v>
      </c>
      <c r="W886">
        <v>50081839</v>
      </c>
      <c r="X886" t="s">
        <v>613</v>
      </c>
      <c r="Y886">
        <f>VLOOKUP(W886,Sheet2!A:D,3,0)</f>
        <v>50082183</v>
      </c>
      <c r="Z886" t="str">
        <f>VLOOKUP(W886,Sheet2!A:D,4,0)</f>
        <v>LDPE: PURELL PE 1840 H</v>
      </c>
    </row>
    <row r="887" spans="21:26" ht="15">
      <c r="U887" s="63">
        <v>50081844</v>
      </c>
      <c r="V887" s="64" t="s">
        <v>2061</v>
      </c>
      <c r="W887">
        <v>50081843</v>
      </c>
      <c r="X887" t="s">
        <v>614</v>
      </c>
      <c r="Y887">
        <f>VLOOKUP(W887,Sheet2!A:D,3,0)</f>
        <v>50082200</v>
      </c>
      <c r="Z887" t="str">
        <f>VLOOKUP(W887,Sheet2!A:D,4,0)</f>
        <v>HDPE: RELENE E52009</v>
      </c>
    </row>
    <row r="888" spans="21:26" ht="15">
      <c r="U888" s="63">
        <v>50081845</v>
      </c>
      <c r="V888" s="64" t="s">
        <v>2062</v>
      </c>
      <c r="W888">
        <v>50081843</v>
      </c>
      <c r="X888" t="s">
        <v>614</v>
      </c>
      <c r="Y888">
        <f>VLOOKUP(W888,Sheet2!A:D,3,0)</f>
        <v>50082200</v>
      </c>
      <c r="Z888" t="str">
        <f>VLOOKUP(W888,Sheet2!A:D,4,0)</f>
        <v>HDPE: RELENE E52009</v>
      </c>
    </row>
    <row r="889" spans="21:26" ht="15">
      <c r="U889" s="63">
        <v>50081847</v>
      </c>
      <c r="V889" s="64" t="s">
        <v>2063</v>
      </c>
      <c r="W889">
        <v>50081846</v>
      </c>
      <c r="X889" t="s">
        <v>615</v>
      </c>
      <c r="Y889">
        <f>VLOOKUP(W889,Sheet2!A:D,3,0)</f>
        <v>50082199</v>
      </c>
      <c r="Z889" t="str">
        <f>VLOOKUP(W889,Sheet2!A:D,4,0)</f>
        <v>HDPE: RELENE M60075</v>
      </c>
    </row>
    <row r="890" spans="21:26" ht="15">
      <c r="U890" s="63">
        <v>50081848</v>
      </c>
      <c r="V890" s="64" t="s">
        <v>2064</v>
      </c>
      <c r="W890">
        <v>50081846</v>
      </c>
      <c r="X890" t="s">
        <v>615</v>
      </c>
      <c r="Y890">
        <f>VLOOKUP(W890,Sheet2!A:D,3,0)</f>
        <v>50082199</v>
      </c>
      <c r="Z890" t="str">
        <f>VLOOKUP(W890,Sheet2!A:D,4,0)</f>
        <v>HDPE: RELENE M60075</v>
      </c>
    </row>
    <row r="891" spans="21:26" ht="15">
      <c r="U891" s="63">
        <v>50081851</v>
      </c>
      <c r="V891" s="64" t="s">
        <v>2065</v>
      </c>
      <c r="W891">
        <v>50081850</v>
      </c>
      <c r="X891" t="s">
        <v>617</v>
      </c>
      <c r="Y891">
        <f>VLOOKUP(W891,Sheet2!A:D,3,0)</f>
        <v>50082200</v>
      </c>
      <c r="Z891" t="str">
        <f>VLOOKUP(W891,Sheet2!A:D,4,0)</f>
        <v>HDPE: RELENE E52009</v>
      </c>
    </row>
    <row r="892" spans="21:26" ht="15">
      <c r="U892" s="63">
        <v>50081852</v>
      </c>
      <c r="V892" s="64" t="s">
        <v>2066</v>
      </c>
      <c r="W892">
        <v>50081850</v>
      </c>
      <c r="X892" t="s">
        <v>617</v>
      </c>
      <c r="Y892">
        <f>VLOOKUP(W892,Sheet2!A:D,3,0)</f>
        <v>50082200</v>
      </c>
      <c r="Z892" t="str">
        <f>VLOOKUP(W892,Sheet2!A:D,4,0)</f>
        <v>HDPE: RELENE E52009</v>
      </c>
    </row>
    <row r="893" spans="21:26" ht="15">
      <c r="U893" s="63">
        <v>50081854</v>
      </c>
      <c r="V893" s="64" t="s">
        <v>2067</v>
      </c>
      <c r="W893">
        <v>50082013</v>
      </c>
      <c r="X893" t="s">
        <v>671</v>
      </c>
      <c r="Y893">
        <f>VLOOKUP(W893,Sheet2!A:D,3,0)</f>
        <v>50082200</v>
      </c>
      <c r="Z893" t="str">
        <f>VLOOKUP(W893,Sheet2!A:D,4,0)</f>
        <v>HDPE: RELENE E52009</v>
      </c>
    </row>
    <row r="894" spans="21:26" ht="15">
      <c r="U894" s="63">
        <v>50081860</v>
      </c>
      <c r="V894" s="64" t="s">
        <v>1401</v>
      </c>
      <c r="W894">
        <v>50081859</v>
      </c>
      <c r="X894" t="s">
        <v>620</v>
      </c>
      <c r="Y894">
        <f>VLOOKUP(W894,Sheet2!A:D,3,0)</f>
        <v>50082184</v>
      </c>
      <c r="Z894" t="str">
        <f>VLOOKUP(W894,Sheet2!A:D,4,0)</f>
        <v>LDPE: PURELL PE 1810 E</v>
      </c>
    </row>
    <row r="895" spans="21:26" ht="15">
      <c r="U895" s="63">
        <v>50081861</v>
      </c>
      <c r="V895" s="64" t="s">
        <v>1402</v>
      </c>
      <c r="W895">
        <v>50081859</v>
      </c>
      <c r="X895" t="s">
        <v>620</v>
      </c>
      <c r="Y895">
        <f>VLOOKUP(W895,Sheet2!A:D,3,0)</f>
        <v>50082184</v>
      </c>
      <c r="Z895" t="str">
        <f>VLOOKUP(W895,Sheet2!A:D,4,0)</f>
        <v>LDPE: PURELL PE 1810 E</v>
      </c>
    </row>
    <row r="896" spans="21:26" ht="15">
      <c r="U896" s="63">
        <v>50081863</v>
      </c>
      <c r="V896" s="64" t="s">
        <v>268</v>
      </c>
      <c r="W896">
        <v>50081862</v>
      </c>
      <c r="X896" t="s">
        <v>621</v>
      </c>
      <c r="Y896">
        <f>VLOOKUP(W896,Sheet2!A:D,3,0)</f>
        <v>50082183</v>
      </c>
      <c r="Z896" t="str">
        <f>VLOOKUP(W896,Sheet2!A:D,4,0)</f>
        <v>LDPE: PURELL PE 1840 H</v>
      </c>
    </row>
    <row r="897" spans="21:26" ht="15">
      <c r="U897" s="63">
        <v>50081864</v>
      </c>
      <c r="V897" s="64" t="s">
        <v>2068</v>
      </c>
      <c r="W897">
        <v>50081862</v>
      </c>
      <c r="X897" t="s">
        <v>621</v>
      </c>
      <c r="Y897">
        <f>VLOOKUP(W897,Sheet2!A:D,3,0)</f>
        <v>50082183</v>
      </c>
      <c r="Z897" t="str">
        <f>VLOOKUP(W897,Sheet2!A:D,4,0)</f>
        <v>LDPE: PURELL PE 1840 H</v>
      </c>
    </row>
    <row r="898" spans="21:26" ht="15">
      <c r="U898" s="63">
        <v>50081866</v>
      </c>
      <c r="V898" s="64" t="s">
        <v>153</v>
      </c>
      <c r="W898">
        <v>50081865</v>
      </c>
      <c r="X898" t="s">
        <v>622</v>
      </c>
      <c r="Y898">
        <f>VLOOKUP(W898,Sheet2!A:D,3,0)</f>
        <v>50082184</v>
      </c>
      <c r="Z898" t="str">
        <f>VLOOKUP(W898,Sheet2!A:D,4,0)</f>
        <v>LDPE: PURELL PE 1810 E</v>
      </c>
    </row>
    <row r="899" spans="21:26" ht="15">
      <c r="U899" s="63">
        <v>50081867</v>
      </c>
      <c r="V899" s="64" t="s">
        <v>187</v>
      </c>
      <c r="W899">
        <v>50081865</v>
      </c>
      <c r="X899" t="s">
        <v>622</v>
      </c>
      <c r="Y899">
        <f>VLOOKUP(W899,Sheet2!A:D,3,0)</f>
        <v>50082184</v>
      </c>
      <c r="Z899" t="str">
        <f>VLOOKUP(W899,Sheet2!A:D,4,0)</f>
        <v>LDPE: PURELL PE 1810 E</v>
      </c>
    </row>
    <row r="900" spans="21:26" ht="15">
      <c r="U900" s="63">
        <v>50081870</v>
      </c>
      <c r="V900" s="64" t="s">
        <v>100</v>
      </c>
      <c r="W900">
        <v>50081869</v>
      </c>
      <c r="X900" t="s">
        <v>624</v>
      </c>
      <c r="Y900">
        <f>VLOOKUP(W900,Sheet2!A:D,3,0)</f>
        <v>50082183</v>
      </c>
      <c r="Z900" t="str">
        <f>VLOOKUP(W900,Sheet2!A:D,4,0)</f>
        <v>LDPE: PURELL PE 1840 H</v>
      </c>
    </row>
    <row r="901" spans="21:26" ht="15">
      <c r="U901" s="63">
        <v>50081871</v>
      </c>
      <c r="V901" s="64" t="s">
        <v>2069</v>
      </c>
      <c r="W901">
        <v>50081869</v>
      </c>
      <c r="X901" t="s">
        <v>624</v>
      </c>
      <c r="Y901">
        <f>VLOOKUP(W901,Sheet2!A:D,3,0)</f>
        <v>50082183</v>
      </c>
      <c r="Z901" t="str">
        <f>VLOOKUP(W901,Sheet2!A:D,4,0)</f>
        <v>LDPE: PURELL PE 1840 H</v>
      </c>
    </row>
    <row r="902" spans="21:26" ht="15">
      <c r="U902" s="63">
        <v>50081873</v>
      </c>
      <c r="V902" s="64" t="s">
        <v>1403</v>
      </c>
      <c r="W902">
        <v>50081872</v>
      </c>
      <c r="X902" t="s">
        <v>625</v>
      </c>
      <c r="Y902">
        <f>VLOOKUP(W902,Sheet2!A:D,3,0)</f>
        <v>50082183</v>
      </c>
      <c r="Z902" t="str">
        <f>VLOOKUP(W902,Sheet2!A:D,4,0)</f>
        <v>LDPE: PURELL PE 1840 H</v>
      </c>
    </row>
    <row r="903" spans="21:26" ht="15">
      <c r="U903" s="63">
        <v>50081874</v>
      </c>
      <c r="V903" s="64" t="s">
        <v>1404</v>
      </c>
      <c r="W903">
        <v>50081872</v>
      </c>
      <c r="X903" t="s">
        <v>625</v>
      </c>
      <c r="Y903">
        <f>VLOOKUP(W903,Sheet2!A:D,3,0)</f>
        <v>50082183</v>
      </c>
      <c r="Z903" t="str">
        <f>VLOOKUP(W903,Sheet2!A:D,4,0)</f>
        <v>LDPE: PURELL PE 1840 H</v>
      </c>
    </row>
    <row r="904" spans="21:26" ht="15">
      <c r="U904" s="63">
        <v>50081876</v>
      </c>
      <c r="V904" s="64" t="s">
        <v>2070</v>
      </c>
      <c r="W904">
        <v>50081875</v>
      </c>
      <c r="X904" t="s">
        <v>626</v>
      </c>
      <c r="Y904">
        <f>VLOOKUP(W904,Sheet2!A:D,3,0)</f>
        <v>50082183</v>
      </c>
      <c r="Z904" t="str">
        <f>VLOOKUP(W904,Sheet2!A:D,4,0)</f>
        <v>LDPE: PURELL PE 1840 H</v>
      </c>
    </row>
    <row r="905" spans="21:26" ht="15">
      <c r="U905" s="63">
        <v>50081877</v>
      </c>
      <c r="V905" s="64" t="s">
        <v>2071</v>
      </c>
      <c r="W905">
        <v>50081875</v>
      </c>
      <c r="X905" t="s">
        <v>626</v>
      </c>
      <c r="Y905">
        <f>VLOOKUP(W905,Sheet2!A:D,3,0)</f>
        <v>50082183</v>
      </c>
      <c r="Z905" t="str">
        <f>VLOOKUP(W905,Sheet2!A:D,4,0)</f>
        <v>LDPE: PURELL PE 1840 H</v>
      </c>
    </row>
    <row r="906" spans="21:26" ht="15">
      <c r="U906" s="63">
        <v>50081878</v>
      </c>
      <c r="V906" s="64" t="s">
        <v>261</v>
      </c>
      <c r="W906">
        <v>50081743</v>
      </c>
      <c r="X906" t="s">
        <v>588</v>
      </c>
      <c r="Y906">
        <f>VLOOKUP(W906,Sheet2!A:D,3,0)</f>
        <v>50082201</v>
      </c>
      <c r="Z906" t="str">
        <f>VLOOKUP(W906,Sheet2!A:D,4,0)</f>
        <v>HDPE: PURELL GF4750</v>
      </c>
    </row>
    <row r="907" spans="21:26" ht="15">
      <c r="U907" s="63">
        <v>50081879</v>
      </c>
      <c r="V907" s="64" t="s">
        <v>2072</v>
      </c>
      <c r="W907">
        <v>50081743</v>
      </c>
      <c r="X907" t="s">
        <v>588</v>
      </c>
      <c r="Y907">
        <f>VLOOKUP(W907,Sheet2!A:D,3,0)</f>
        <v>50082201</v>
      </c>
      <c r="Z907" t="str">
        <f>VLOOKUP(W907,Sheet2!A:D,4,0)</f>
        <v>HDPE: PURELL GF4750</v>
      </c>
    </row>
    <row r="908" spans="21:26" ht="15">
      <c r="U908" s="63">
        <v>50081881</v>
      </c>
      <c r="V908" s="64" t="s">
        <v>1405</v>
      </c>
      <c r="W908">
        <v>50081880</v>
      </c>
      <c r="X908" t="s">
        <v>627</v>
      </c>
      <c r="Y908">
        <f>VLOOKUP(W908,Sheet2!A:D,3,0)</f>
        <v>50082184</v>
      </c>
      <c r="Z908" t="str">
        <f>VLOOKUP(W908,Sheet2!A:D,4,0)</f>
        <v>LDPE: PURELL PE 1810 E</v>
      </c>
    </row>
    <row r="909" spans="21:26" ht="15">
      <c r="U909" s="63">
        <v>50081882</v>
      </c>
      <c r="V909" s="64" t="s">
        <v>1406</v>
      </c>
      <c r="W909">
        <v>50082061</v>
      </c>
      <c r="X909" t="s">
        <v>687</v>
      </c>
      <c r="Y909">
        <f>VLOOKUP(W909,Sheet2!A:D,3,0)</f>
        <v>50082184</v>
      </c>
      <c r="Z909" t="str">
        <f>VLOOKUP(W909,Sheet2!A:D,4,0)</f>
        <v>LDPE: PURELL PE 1810 E</v>
      </c>
    </row>
    <row r="910" spans="21:26" ht="15">
      <c r="U910" s="63">
        <v>50081885</v>
      </c>
      <c r="V910" s="64" t="s">
        <v>1407</v>
      </c>
      <c r="W910">
        <v>50081884</v>
      </c>
      <c r="X910" t="s">
        <v>629</v>
      </c>
      <c r="Y910">
        <f>VLOOKUP(W910,Sheet2!A:D,3,0)</f>
        <v>50082184</v>
      </c>
      <c r="Z910" t="str">
        <f>VLOOKUP(W910,Sheet2!A:D,4,0)</f>
        <v>LDPE: PURELL PE 1810 E</v>
      </c>
    </row>
    <row r="911" spans="21:26" ht="15">
      <c r="U911" s="63">
        <v>50081886</v>
      </c>
      <c r="V911" s="64" t="s">
        <v>1408</v>
      </c>
      <c r="W911">
        <v>50081884</v>
      </c>
      <c r="X911" t="s">
        <v>629</v>
      </c>
      <c r="Y911">
        <f>VLOOKUP(W911,Sheet2!A:D,3,0)</f>
        <v>50082184</v>
      </c>
      <c r="Z911" t="str">
        <f>VLOOKUP(W911,Sheet2!A:D,4,0)</f>
        <v>LDPE: PURELL PE 1810 E</v>
      </c>
    </row>
    <row r="912" spans="21:26" ht="15">
      <c r="U912" s="63">
        <v>50081892</v>
      </c>
      <c r="V912" s="64" t="s">
        <v>250</v>
      </c>
      <c r="W912">
        <v>50081891</v>
      </c>
      <c r="X912" t="s">
        <v>631</v>
      </c>
      <c r="Y912">
        <f>VLOOKUP(W912,Sheet2!A:D,3,0)</f>
        <v>50082183</v>
      </c>
      <c r="Z912" t="str">
        <f>VLOOKUP(W912,Sheet2!A:D,4,0)</f>
        <v>LDPE: PURELL PE 1840 H</v>
      </c>
    </row>
    <row r="913" spans="21:26" ht="15">
      <c r="U913" s="63">
        <v>50081895</v>
      </c>
      <c r="V913" s="64" t="s">
        <v>2073</v>
      </c>
      <c r="W913">
        <v>50081894</v>
      </c>
      <c r="X913" t="s">
        <v>632</v>
      </c>
      <c r="Y913">
        <f>VLOOKUP(W913,Sheet2!A:D,3,0)</f>
        <v>50082184</v>
      </c>
      <c r="Z913" t="str">
        <f>VLOOKUP(W913,Sheet2!A:D,4,0)</f>
        <v>LDPE: PURELL PE 1810 E</v>
      </c>
    </row>
    <row r="914" spans="21:26" ht="15">
      <c r="U914" s="63">
        <v>50081896</v>
      </c>
      <c r="V914" s="64" t="s">
        <v>2074</v>
      </c>
      <c r="W914">
        <v>50081894</v>
      </c>
      <c r="X914" t="s">
        <v>632</v>
      </c>
      <c r="Y914">
        <f>VLOOKUP(W914,Sheet2!A:D,3,0)</f>
        <v>50082184</v>
      </c>
      <c r="Z914" t="str">
        <f>VLOOKUP(W914,Sheet2!A:D,4,0)</f>
        <v>LDPE: PURELL PE 1810 E</v>
      </c>
    </row>
    <row r="915" spans="21:26" ht="15">
      <c r="U915" s="63">
        <v>50081900</v>
      </c>
      <c r="V915" s="64" t="s">
        <v>2075</v>
      </c>
      <c r="W915">
        <v>50081899</v>
      </c>
      <c r="X915" t="s">
        <v>633</v>
      </c>
      <c r="Y915">
        <f>VLOOKUP(W915,Sheet2!A:D,3,0)</f>
        <v>50082199</v>
      </c>
      <c r="Z915" t="str">
        <f>VLOOKUP(W915,Sheet2!A:D,4,0)</f>
        <v>HDPE: RELENE M60075</v>
      </c>
    </row>
    <row r="916" spans="21:26" ht="15">
      <c r="U916" s="63">
        <v>50081901</v>
      </c>
      <c r="V916" s="64" t="s">
        <v>2076</v>
      </c>
      <c r="W916">
        <v>50081899</v>
      </c>
      <c r="X916" t="s">
        <v>633</v>
      </c>
      <c r="Y916">
        <f>VLOOKUP(W916,Sheet2!A:D,3,0)</f>
        <v>50082199</v>
      </c>
      <c r="Z916" t="str">
        <f>VLOOKUP(W916,Sheet2!A:D,4,0)</f>
        <v>HDPE: RELENE M60075</v>
      </c>
    </row>
    <row r="917" spans="21:26" ht="15">
      <c r="U917" s="63">
        <v>50081903</v>
      </c>
      <c r="V917" s="64" t="s">
        <v>50</v>
      </c>
      <c r="W917">
        <v>50081902</v>
      </c>
      <c r="X917" t="s">
        <v>219</v>
      </c>
      <c r="Y917">
        <f>VLOOKUP(W917,Sheet2!A:D,3,0)</f>
        <v>50082200</v>
      </c>
      <c r="Z917" t="str">
        <f>VLOOKUP(W917,Sheet2!A:D,4,0)</f>
        <v>HDPE: RELENE E52009</v>
      </c>
    </row>
    <row r="918" spans="21:26" ht="15">
      <c r="U918" s="63">
        <v>50081904</v>
      </c>
      <c r="V918" s="64" t="s">
        <v>2077</v>
      </c>
      <c r="W918">
        <v>50081902</v>
      </c>
      <c r="X918" t="s">
        <v>219</v>
      </c>
      <c r="Y918">
        <f>VLOOKUP(W918,Sheet2!A:D,3,0)</f>
        <v>50082200</v>
      </c>
      <c r="Z918" t="str">
        <f>VLOOKUP(W918,Sheet2!A:D,4,0)</f>
        <v>HDPE: RELENE E52009</v>
      </c>
    </row>
    <row r="919" spans="21:26" ht="15">
      <c r="U919" s="63">
        <v>50081906</v>
      </c>
      <c r="V919" s="64" t="s">
        <v>2078</v>
      </c>
      <c r="W919">
        <v>50081905</v>
      </c>
      <c r="X919" t="s">
        <v>634</v>
      </c>
      <c r="Y919">
        <f>VLOOKUP(W919,Sheet2!A:D,3,0)</f>
        <v>50082202</v>
      </c>
      <c r="Z919" t="str">
        <f>VLOOKUP(W919,Sheet2!A:D,4,0)</f>
        <v>HDPE: PURELL GC7260</v>
      </c>
    </row>
    <row r="920" spans="21:26" ht="15">
      <c r="U920" s="63">
        <v>50081907</v>
      </c>
      <c r="V920" s="64" t="s">
        <v>2079</v>
      </c>
      <c r="W920">
        <v>50081905</v>
      </c>
      <c r="X920" t="s">
        <v>634</v>
      </c>
      <c r="Y920">
        <f>VLOOKUP(W920,Sheet2!A:D,3,0)</f>
        <v>50082202</v>
      </c>
      <c r="Z920" t="str">
        <f>VLOOKUP(W920,Sheet2!A:D,4,0)</f>
        <v>HDPE: PURELL GC7260</v>
      </c>
    </row>
    <row r="921" spans="21:26" ht="15">
      <c r="U921" s="63">
        <v>50081909</v>
      </c>
      <c r="V921" s="64" t="s">
        <v>2080</v>
      </c>
      <c r="W921">
        <v>50081908</v>
      </c>
      <c r="X921" t="s">
        <v>635</v>
      </c>
      <c r="Y921">
        <f>VLOOKUP(W921,Sheet2!A:D,3,0)</f>
        <v>50082202</v>
      </c>
      <c r="Z921" t="str">
        <f>VLOOKUP(W921,Sheet2!A:D,4,0)</f>
        <v>HDPE: PURELL GC7260</v>
      </c>
    </row>
    <row r="922" spans="21:26" ht="15">
      <c r="U922" s="63">
        <v>50081910</v>
      </c>
      <c r="V922" s="64" t="s">
        <v>2081</v>
      </c>
      <c r="W922">
        <v>50081908</v>
      </c>
      <c r="X922" t="s">
        <v>635</v>
      </c>
      <c r="Y922">
        <f>VLOOKUP(W922,Sheet2!A:D,3,0)</f>
        <v>50082202</v>
      </c>
      <c r="Z922" t="str">
        <f>VLOOKUP(W922,Sheet2!A:D,4,0)</f>
        <v>HDPE: PURELL GC7260</v>
      </c>
    </row>
    <row r="923" spans="21:26" ht="15">
      <c r="U923" s="63">
        <v>50081912</v>
      </c>
      <c r="V923" s="64" t="s">
        <v>2082</v>
      </c>
      <c r="W923">
        <v>50081911</v>
      </c>
      <c r="X923" t="s">
        <v>636</v>
      </c>
      <c r="Y923">
        <f>VLOOKUP(W923,Sheet2!A:D,3,0)</f>
        <v>50082200</v>
      </c>
      <c r="Z923" t="str">
        <f>VLOOKUP(W923,Sheet2!A:D,4,0)</f>
        <v>HDPE: RELENE E52009</v>
      </c>
    </row>
    <row r="924" spans="21:26" ht="15">
      <c r="U924" s="63">
        <v>50081913</v>
      </c>
      <c r="V924" s="64" t="s">
        <v>2083</v>
      </c>
      <c r="W924">
        <v>50081911</v>
      </c>
      <c r="X924" t="s">
        <v>636</v>
      </c>
      <c r="Y924">
        <f>VLOOKUP(W924,Sheet2!A:D,3,0)</f>
        <v>50082200</v>
      </c>
      <c r="Z924" t="str">
        <f>VLOOKUP(W924,Sheet2!A:D,4,0)</f>
        <v>HDPE: RELENE E52009</v>
      </c>
    </row>
    <row r="925" spans="21:26" ht="15">
      <c r="U925" s="63">
        <v>50081915</v>
      </c>
      <c r="V925" s="64" t="s">
        <v>130</v>
      </c>
      <c r="W925">
        <v>50081914</v>
      </c>
      <c r="X925" t="s">
        <v>637</v>
      </c>
      <c r="Y925">
        <f>VLOOKUP(W925,Sheet2!A:D,3,0)</f>
        <v>50082199</v>
      </c>
      <c r="Z925" t="str">
        <f>VLOOKUP(W925,Sheet2!A:D,4,0)</f>
        <v>HDPE: RELENE M60075</v>
      </c>
    </row>
    <row r="926" spans="21:26" ht="15">
      <c r="U926" s="63">
        <v>50081916</v>
      </c>
      <c r="V926" s="64" t="s">
        <v>2084</v>
      </c>
      <c r="W926">
        <v>50081914</v>
      </c>
      <c r="X926" t="s">
        <v>637</v>
      </c>
      <c r="Y926">
        <f>VLOOKUP(W926,Sheet2!A:D,3,0)</f>
        <v>50082199</v>
      </c>
      <c r="Z926" t="str">
        <f>VLOOKUP(W926,Sheet2!A:D,4,0)</f>
        <v>HDPE: RELENE M60075</v>
      </c>
    </row>
    <row r="927" spans="21:26" ht="15">
      <c r="U927" s="63">
        <v>50081918</v>
      </c>
      <c r="V927" s="64" t="s">
        <v>2085</v>
      </c>
      <c r="W927">
        <v>50081917</v>
      </c>
      <c r="X927" t="s">
        <v>638</v>
      </c>
      <c r="Y927">
        <f>VLOOKUP(W927,Sheet2!A:D,3,0)</f>
        <v>50082199</v>
      </c>
      <c r="Z927" t="str">
        <f>VLOOKUP(W927,Sheet2!A:D,4,0)</f>
        <v>HDPE: RELENE M60075</v>
      </c>
    </row>
    <row r="928" spans="21:26" ht="15">
      <c r="U928" s="63">
        <v>50081919</v>
      </c>
      <c r="V928" s="64" t="s">
        <v>2086</v>
      </c>
      <c r="W928">
        <v>50081917</v>
      </c>
      <c r="X928" t="s">
        <v>638</v>
      </c>
      <c r="Y928">
        <f>VLOOKUP(W928,Sheet2!A:D,3,0)</f>
        <v>50082199</v>
      </c>
      <c r="Z928" t="str">
        <f>VLOOKUP(W928,Sheet2!A:D,4,0)</f>
        <v>HDPE: RELENE M60075</v>
      </c>
    </row>
    <row r="929" spans="21:26" ht="15">
      <c r="U929" s="63">
        <v>50081921</v>
      </c>
      <c r="V929" s="64" t="s">
        <v>2087</v>
      </c>
      <c r="W929">
        <v>50081920</v>
      </c>
      <c r="X929" t="s">
        <v>639</v>
      </c>
      <c r="Y929">
        <f>VLOOKUP(W929,Sheet2!A:D,3,0)</f>
        <v>50082199</v>
      </c>
      <c r="Z929" t="str">
        <f>VLOOKUP(W929,Sheet2!A:D,4,0)</f>
        <v>HDPE: RELENE M60075</v>
      </c>
    </row>
    <row r="930" spans="21:26" ht="15">
      <c r="U930" s="63">
        <v>50081922</v>
      </c>
      <c r="V930" s="64" t="s">
        <v>2088</v>
      </c>
      <c r="W930">
        <v>50081920</v>
      </c>
      <c r="X930" t="s">
        <v>639</v>
      </c>
      <c r="Y930">
        <f>VLOOKUP(W930,Sheet2!A:D,3,0)</f>
        <v>50082199</v>
      </c>
      <c r="Z930" t="str">
        <f>VLOOKUP(W930,Sheet2!A:D,4,0)</f>
        <v>HDPE: RELENE M60075</v>
      </c>
    </row>
    <row r="931" spans="21:26" ht="15">
      <c r="U931" s="63">
        <v>50081924</v>
      </c>
      <c r="V931" s="64" t="s">
        <v>2089</v>
      </c>
      <c r="W931">
        <v>50081923</v>
      </c>
      <c r="X931" t="s">
        <v>640</v>
      </c>
      <c r="Y931">
        <f>VLOOKUP(W931,Sheet2!A:D,3,0)</f>
        <v>50082200</v>
      </c>
      <c r="Z931" t="str">
        <f>VLOOKUP(W931,Sheet2!A:D,4,0)</f>
        <v>HDPE: RELENE E52009</v>
      </c>
    </row>
    <row r="932" spans="21:26" ht="15">
      <c r="U932" s="63">
        <v>50081925</v>
      </c>
      <c r="V932" s="64" t="s">
        <v>2090</v>
      </c>
      <c r="W932">
        <v>50081923</v>
      </c>
      <c r="X932" t="s">
        <v>640</v>
      </c>
      <c r="Y932">
        <f>VLOOKUP(W932,Sheet2!A:D,3,0)</f>
        <v>50082200</v>
      </c>
      <c r="Z932" t="str">
        <f>VLOOKUP(W932,Sheet2!A:D,4,0)</f>
        <v>HDPE: RELENE E52009</v>
      </c>
    </row>
    <row r="933" spans="21:26" ht="15">
      <c r="U933" s="63">
        <v>50081927</v>
      </c>
      <c r="V933" s="64" t="s">
        <v>2091</v>
      </c>
      <c r="W933">
        <v>50081926</v>
      </c>
      <c r="X933" t="s">
        <v>641</v>
      </c>
      <c r="Y933">
        <f>VLOOKUP(W933,Sheet2!A:D,3,0)</f>
        <v>50082200</v>
      </c>
      <c r="Z933" t="str">
        <f>VLOOKUP(W933,Sheet2!A:D,4,0)</f>
        <v>HDPE: RELENE E52009</v>
      </c>
    </row>
    <row r="934" spans="21:26" ht="15">
      <c r="U934" s="63">
        <v>50081928</v>
      </c>
      <c r="V934" s="64" t="s">
        <v>2092</v>
      </c>
      <c r="W934">
        <v>50081926</v>
      </c>
      <c r="X934" t="s">
        <v>641</v>
      </c>
      <c r="Y934">
        <f>VLOOKUP(W934,Sheet2!A:D,3,0)</f>
        <v>50082200</v>
      </c>
      <c r="Z934" t="str">
        <f>VLOOKUP(W934,Sheet2!A:D,4,0)</f>
        <v>HDPE: RELENE E52009</v>
      </c>
    </row>
    <row r="935" spans="21:26" ht="15">
      <c r="U935" s="63">
        <v>50081930</v>
      </c>
      <c r="V935" s="64" t="s">
        <v>253</v>
      </c>
      <c r="W935">
        <v>50081929</v>
      </c>
      <c r="X935" t="s">
        <v>273</v>
      </c>
      <c r="Y935">
        <f>VLOOKUP(W935,Sheet2!A:D,3,0)</f>
        <v>50082200</v>
      </c>
      <c r="Z935" t="str">
        <f>VLOOKUP(W935,Sheet2!A:D,4,0)</f>
        <v>HDPE: RELENE E52009</v>
      </c>
    </row>
    <row r="936" spans="21:26" ht="15">
      <c r="U936" s="63">
        <v>50081931</v>
      </c>
      <c r="V936" s="64" t="s">
        <v>209</v>
      </c>
      <c r="W936">
        <v>50081929</v>
      </c>
      <c r="X936" t="s">
        <v>273</v>
      </c>
      <c r="Y936">
        <f>VLOOKUP(W936,Sheet2!A:D,3,0)</f>
        <v>50082200</v>
      </c>
      <c r="Z936" t="str">
        <f>VLOOKUP(W936,Sheet2!A:D,4,0)</f>
        <v>HDPE: RELENE E52009</v>
      </c>
    </row>
    <row r="937" spans="21:26" ht="15">
      <c r="U937" s="63">
        <v>50081933</v>
      </c>
      <c r="V937" s="64" t="s">
        <v>2093</v>
      </c>
      <c r="W937">
        <v>50081932</v>
      </c>
      <c r="X937" t="s">
        <v>642</v>
      </c>
      <c r="Y937">
        <f>VLOOKUP(W937,Sheet2!A:D,3,0)</f>
        <v>50082183</v>
      </c>
      <c r="Z937" t="str">
        <f>VLOOKUP(W937,Sheet2!A:D,4,0)</f>
        <v>LDPE: PURELL PE 1840 H</v>
      </c>
    </row>
    <row r="938" spans="21:26" ht="15">
      <c r="U938" s="63">
        <v>50081934</v>
      </c>
      <c r="V938" s="64" t="s">
        <v>2094</v>
      </c>
      <c r="W938">
        <v>50081932</v>
      </c>
      <c r="X938" t="s">
        <v>642</v>
      </c>
      <c r="Y938">
        <f>VLOOKUP(W938,Sheet2!A:D,3,0)</f>
        <v>50082183</v>
      </c>
      <c r="Z938" t="str">
        <f>VLOOKUP(W938,Sheet2!A:D,4,0)</f>
        <v>LDPE: PURELL PE 1840 H</v>
      </c>
    </row>
    <row r="939" spans="21:26" ht="15">
      <c r="U939" s="63">
        <v>50081936</v>
      </c>
      <c r="V939" s="64" t="s">
        <v>2095</v>
      </c>
      <c r="W939">
        <v>50081935</v>
      </c>
      <c r="X939" t="s">
        <v>643</v>
      </c>
      <c r="Y939">
        <f>VLOOKUP(W939,Sheet2!A:D,3,0)</f>
        <v>50082183</v>
      </c>
      <c r="Z939" t="str">
        <f>VLOOKUP(W939,Sheet2!A:D,4,0)</f>
        <v>LDPE: PURELL PE 1840 H</v>
      </c>
    </row>
    <row r="940" spans="21:26" ht="15">
      <c r="U940" s="63">
        <v>50081938</v>
      </c>
      <c r="V940" s="64" t="s">
        <v>31</v>
      </c>
      <c r="W940">
        <v>50081937</v>
      </c>
      <c r="X940" t="s">
        <v>644</v>
      </c>
      <c r="Y940">
        <f>VLOOKUP(W940,Sheet2!A:D,3,0)</f>
        <v>50082183</v>
      </c>
      <c r="Z940" t="str">
        <f>VLOOKUP(W940,Sheet2!A:D,4,0)</f>
        <v>LDPE: PURELL PE 1840 H</v>
      </c>
    </row>
    <row r="941" spans="21:26" ht="15">
      <c r="U941" s="63">
        <v>50081939</v>
      </c>
      <c r="V941" s="64" t="s">
        <v>109</v>
      </c>
      <c r="W941">
        <v>50081937</v>
      </c>
      <c r="X941" t="s">
        <v>644</v>
      </c>
      <c r="Y941">
        <f>VLOOKUP(W941,Sheet2!A:D,3,0)</f>
        <v>50082183</v>
      </c>
      <c r="Z941" t="str">
        <f>VLOOKUP(W941,Sheet2!A:D,4,0)</f>
        <v>LDPE: PURELL PE 1840 H</v>
      </c>
    </row>
    <row r="942" spans="21:26" ht="15">
      <c r="U942" s="63">
        <v>50081941</v>
      </c>
      <c r="V942" s="64" t="s">
        <v>1409</v>
      </c>
      <c r="W942">
        <v>50081940</v>
      </c>
      <c r="X942" t="s">
        <v>645</v>
      </c>
      <c r="Y942">
        <f>VLOOKUP(W942,Sheet2!A:D,3,0)</f>
        <v>50082184</v>
      </c>
      <c r="Z942" t="str">
        <f>VLOOKUP(W942,Sheet2!A:D,4,0)</f>
        <v>LDPE: PURELL PE 1810 E</v>
      </c>
    </row>
    <row r="943" spans="21:26" ht="15">
      <c r="U943" s="63">
        <v>50081942</v>
      </c>
      <c r="V943" s="64" t="s">
        <v>1410</v>
      </c>
      <c r="W943">
        <v>50081940</v>
      </c>
      <c r="X943" t="s">
        <v>645</v>
      </c>
      <c r="Y943">
        <f>VLOOKUP(W943,Sheet2!A:D,3,0)</f>
        <v>50082184</v>
      </c>
      <c r="Z943" t="str">
        <f>VLOOKUP(W943,Sheet2!A:D,4,0)</f>
        <v>LDPE: PURELL PE 1810 E</v>
      </c>
    </row>
    <row r="944" spans="21:26" ht="15">
      <c r="U944" s="63">
        <v>50081944</v>
      </c>
      <c r="V944" s="64" t="s">
        <v>1411</v>
      </c>
      <c r="W944">
        <v>50081943</v>
      </c>
      <c r="X944" t="s">
        <v>646</v>
      </c>
      <c r="Y944">
        <f>VLOOKUP(W944,Sheet2!A:D,3,0)</f>
        <v>50082184</v>
      </c>
      <c r="Z944" t="str">
        <f>VLOOKUP(W944,Sheet2!A:D,4,0)</f>
        <v>LDPE: PURELL PE 1810 E</v>
      </c>
    </row>
    <row r="945" spans="21:26" ht="15">
      <c r="U945" s="63">
        <v>50081945</v>
      </c>
      <c r="V945" s="64" t="s">
        <v>1412</v>
      </c>
      <c r="W945">
        <v>50081943</v>
      </c>
      <c r="X945" t="s">
        <v>646</v>
      </c>
      <c r="Y945">
        <f>VLOOKUP(W945,Sheet2!A:D,3,0)</f>
        <v>50082184</v>
      </c>
      <c r="Z945" t="str">
        <f>VLOOKUP(W945,Sheet2!A:D,4,0)</f>
        <v>LDPE: PURELL PE 1810 E</v>
      </c>
    </row>
    <row r="946" spans="21:26" ht="15">
      <c r="U946" s="63">
        <v>50081947</v>
      </c>
      <c r="V946" s="64" t="s">
        <v>148</v>
      </c>
      <c r="W946">
        <v>50081946</v>
      </c>
      <c r="X946" t="s">
        <v>647</v>
      </c>
      <c r="Y946">
        <f>VLOOKUP(W946,Sheet2!A:D,3,0)</f>
        <v>50082183</v>
      </c>
      <c r="Z946" t="str">
        <f>VLOOKUP(W946,Sheet2!A:D,4,0)</f>
        <v>LDPE: PURELL PE 1840 H</v>
      </c>
    </row>
    <row r="947" spans="21:26" ht="15">
      <c r="U947" s="63">
        <v>50081948</v>
      </c>
      <c r="V947" s="64" t="s">
        <v>2096</v>
      </c>
      <c r="W947">
        <v>50081946</v>
      </c>
      <c r="X947" t="s">
        <v>647</v>
      </c>
      <c r="Y947">
        <f>VLOOKUP(W947,Sheet2!A:D,3,0)</f>
        <v>50082183</v>
      </c>
      <c r="Z947" t="str">
        <f>VLOOKUP(W947,Sheet2!A:D,4,0)</f>
        <v>LDPE: PURELL PE 1840 H</v>
      </c>
    </row>
    <row r="948" spans="21:26" ht="15">
      <c r="U948" s="63">
        <v>50081949</v>
      </c>
      <c r="V948" s="64" t="s">
        <v>2097</v>
      </c>
      <c r="W948">
        <v>50081416</v>
      </c>
      <c r="X948" t="s">
        <v>1651</v>
      </c>
      <c r="Y948" t="e">
        <f>VLOOKUP(W948,Sheet2!A:D,3,0)</f>
        <v>#N/A</v>
      </c>
      <c r="Z948" t="e">
        <f>VLOOKUP(W948,Sheet2!A:D,4,0)</f>
        <v>#N/A</v>
      </c>
    </row>
    <row r="949" spans="21:26" ht="15">
      <c r="U949" s="63">
        <v>50081950</v>
      </c>
      <c r="V949" s="64" t="s">
        <v>2098</v>
      </c>
      <c r="W949">
        <v>50081416</v>
      </c>
      <c r="X949" t="s">
        <v>1651</v>
      </c>
      <c r="Y949" t="e">
        <f>VLOOKUP(W949,Sheet2!A:D,3,0)</f>
        <v>#N/A</v>
      </c>
      <c r="Z949" t="e">
        <f>VLOOKUP(W949,Sheet2!A:D,4,0)</f>
        <v>#N/A</v>
      </c>
    </row>
    <row r="950" spans="21:26" ht="15">
      <c r="U950" s="63">
        <v>50081952</v>
      </c>
      <c r="V950" s="64" t="s">
        <v>2099</v>
      </c>
      <c r="W950">
        <v>50081951</v>
      </c>
      <c r="X950" t="s">
        <v>648</v>
      </c>
      <c r="Y950">
        <f>VLOOKUP(W950,Sheet2!A:D,3,0)</f>
        <v>50082183</v>
      </c>
      <c r="Z950" t="str">
        <f>VLOOKUP(W950,Sheet2!A:D,4,0)</f>
        <v>LDPE: PURELL PE 1840 H</v>
      </c>
    </row>
    <row r="951" spans="21:26" ht="15">
      <c r="U951" s="63">
        <v>50081953</v>
      </c>
      <c r="V951" s="64" t="s">
        <v>2100</v>
      </c>
      <c r="W951">
        <v>50081951</v>
      </c>
      <c r="X951" t="s">
        <v>648</v>
      </c>
      <c r="Y951">
        <f>VLOOKUP(W951,Sheet2!A:D,3,0)</f>
        <v>50082183</v>
      </c>
      <c r="Z951" t="str">
        <f>VLOOKUP(W951,Sheet2!A:D,4,0)</f>
        <v>LDPE: PURELL PE 1840 H</v>
      </c>
    </row>
    <row r="952" spans="21:26" ht="15">
      <c r="U952" s="63">
        <v>50081958</v>
      </c>
      <c r="V952" s="64" t="s">
        <v>2101</v>
      </c>
      <c r="W952">
        <v>50081957</v>
      </c>
      <c r="X952" t="s">
        <v>650</v>
      </c>
      <c r="Y952">
        <f>VLOOKUP(W952,Sheet2!A:D,3,0)</f>
        <v>50082200</v>
      </c>
      <c r="Z952" t="str">
        <f>VLOOKUP(W952,Sheet2!A:D,4,0)</f>
        <v>HDPE: RELENE E52009</v>
      </c>
    </row>
    <row r="953" spans="21:26" ht="15">
      <c r="U953" s="63">
        <v>50081959</v>
      </c>
      <c r="V953" s="64" t="s">
        <v>2102</v>
      </c>
      <c r="W953">
        <v>50081957</v>
      </c>
      <c r="X953" t="s">
        <v>650</v>
      </c>
      <c r="Y953">
        <f>VLOOKUP(W953,Sheet2!A:D,3,0)</f>
        <v>50082200</v>
      </c>
      <c r="Z953" t="str">
        <f>VLOOKUP(W953,Sheet2!A:D,4,0)</f>
        <v>HDPE: RELENE E52009</v>
      </c>
    </row>
    <row r="954" spans="21:26" ht="15">
      <c r="U954" s="63">
        <v>50081961</v>
      </c>
      <c r="V954" s="64" t="s">
        <v>2103</v>
      </c>
      <c r="W954">
        <v>50081960</v>
      </c>
      <c r="X954" t="s">
        <v>651</v>
      </c>
      <c r="Y954">
        <f>VLOOKUP(W954,Sheet2!A:D,3,0)</f>
        <v>50082200</v>
      </c>
      <c r="Z954" t="str">
        <f>VLOOKUP(W954,Sheet2!A:D,4,0)</f>
        <v>HDPE: RELENE E52009</v>
      </c>
    </row>
    <row r="955" spans="21:26" ht="15">
      <c r="U955" s="63">
        <v>50081962</v>
      </c>
      <c r="V955" s="64" t="s">
        <v>2104</v>
      </c>
      <c r="W955">
        <v>50081960</v>
      </c>
      <c r="X955" t="s">
        <v>651</v>
      </c>
      <c r="Y955">
        <f>VLOOKUP(W955,Sheet2!A:D,3,0)</f>
        <v>50082200</v>
      </c>
      <c r="Z955" t="str">
        <f>VLOOKUP(W955,Sheet2!A:D,4,0)</f>
        <v>HDPE: RELENE E52009</v>
      </c>
    </row>
    <row r="956" spans="21:26" ht="15">
      <c r="U956" s="63">
        <v>50081964</v>
      </c>
      <c r="V956" s="64" t="s">
        <v>2105</v>
      </c>
      <c r="W956">
        <v>50081963</v>
      </c>
      <c r="X956" t="s">
        <v>652</v>
      </c>
      <c r="Y956">
        <f>VLOOKUP(W956,Sheet2!A:D,3,0)</f>
        <v>50082200</v>
      </c>
      <c r="Z956" t="str">
        <f>VLOOKUP(W956,Sheet2!A:D,4,0)</f>
        <v>HDPE: RELENE E52009</v>
      </c>
    </row>
    <row r="957" spans="21:26" ht="15">
      <c r="U957" s="63">
        <v>50081965</v>
      </c>
      <c r="V957" s="64" t="s">
        <v>2106</v>
      </c>
      <c r="W957">
        <v>50081963</v>
      </c>
      <c r="X957" t="s">
        <v>652</v>
      </c>
      <c r="Y957">
        <f>VLOOKUP(W957,Sheet2!A:D,3,0)</f>
        <v>50082200</v>
      </c>
      <c r="Z957" t="str">
        <f>VLOOKUP(W957,Sheet2!A:D,4,0)</f>
        <v>HDPE: RELENE E52009</v>
      </c>
    </row>
    <row r="958" spans="21:26" ht="15">
      <c r="U958" s="63">
        <v>50081967</v>
      </c>
      <c r="V958" s="64" t="s">
        <v>1413</v>
      </c>
      <c r="W958">
        <v>50081966</v>
      </c>
      <c r="X958" t="s">
        <v>653</v>
      </c>
      <c r="Y958" t="e">
        <f>VLOOKUP(W958,Sheet2!A:D,3,0)</f>
        <v>#N/A</v>
      </c>
      <c r="Z958" t="e">
        <f>VLOOKUP(W958,Sheet2!A:D,4,0)</f>
        <v>#N/A</v>
      </c>
    </row>
    <row r="959" spans="21:26" ht="15">
      <c r="U959" s="63">
        <v>50081970</v>
      </c>
      <c r="V959" s="64" t="s">
        <v>107</v>
      </c>
      <c r="W959">
        <v>50081969</v>
      </c>
      <c r="X959" t="s">
        <v>654</v>
      </c>
      <c r="Y959">
        <f>VLOOKUP(W959,Sheet2!A:D,3,0)</f>
        <v>50082183</v>
      </c>
      <c r="Z959" t="str">
        <f>VLOOKUP(W959,Sheet2!A:D,4,0)</f>
        <v>LDPE: PURELL PE 1840 H</v>
      </c>
    </row>
    <row r="960" spans="21:26" ht="15">
      <c r="U960" s="63">
        <v>50081971</v>
      </c>
      <c r="V960" s="64" t="s">
        <v>2107</v>
      </c>
      <c r="W960">
        <v>50081969</v>
      </c>
      <c r="X960" t="s">
        <v>654</v>
      </c>
      <c r="Y960">
        <f>VLOOKUP(W960,Sheet2!A:D,3,0)</f>
        <v>50082183</v>
      </c>
      <c r="Z960" t="str">
        <f>VLOOKUP(W960,Sheet2!A:D,4,0)</f>
        <v>LDPE: PURELL PE 1840 H</v>
      </c>
    </row>
    <row r="961" spans="21:26" ht="15">
      <c r="U961" s="63">
        <v>50081973</v>
      </c>
      <c r="V961" s="64" t="s">
        <v>2108</v>
      </c>
      <c r="W961">
        <v>50081972</v>
      </c>
      <c r="X961" t="s">
        <v>655</v>
      </c>
      <c r="Y961">
        <f>VLOOKUP(W961,Sheet2!A:D,3,0)</f>
        <v>50082183</v>
      </c>
      <c r="Z961" t="str">
        <f>VLOOKUP(W961,Sheet2!A:D,4,0)</f>
        <v>LDPE: PURELL PE 1840 H</v>
      </c>
    </row>
    <row r="962" spans="21:26" ht="15">
      <c r="U962" s="63">
        <v>50081974</v>
      </c>
      <c r="V962" s="64" t="s">
        <v>2109</v>
      </c>
      <c r="W962">
        <v>50081972</v>
      </c>
      <c r="X962" t="s">
        <v>655</v>
      </c>
      <c r="Y962">
        <f>VLOOKUP(W962,Sheet2!A:D,3,0)</f>
        <v>50082183</v>
      </c>
      <c r="Z962" t="str">
        <f>VLOOKUP(W962,Sheet2!A:D,4,0)</f>
        <v>LDPE: PURELL PE 1840 H</v>
      </c>
    </row>
    <row r="963" spans="21:26" ht="15">
      <c r="U963" s="63">
        <v>50081976</v>
      </c>
      <c r="V963" s="64" t="s">
        <v>2110</v>
      </c>
      <c r="W963">
        <v>50081975</v>
      </c>
      <c r="X963" t="s">
        <v>656</v>
      </c>
      <c r="Y963">
        <f>VLOOKUP(W963,Sheet2!A:D,3,0)</f>
        <v>50082183</v>
      </c>
      <c r="Z963" t="str">
        <f>VLOOKUP(W963,Sheet2!A:D,4,0)</f>
        <v>LDPE: PURELL PE 1840 H</v>
      </c>
    </row>
    <row r="964" spans="21:26" ht="15">
      <c r="U964" s="63">
        <v>50081978</v>
      </c>
      <c r="V964" s="64" t="s">
        <v>2111</v>
      </c>
      <c r="W964">
        <v>50081977</v>
      </c>
      <c r="X964" t="s">
        <v>657</v>
      </c>
      <c r="Y964">
        <f>VLOOKUP(W964,Sheet2!A:D,3,0)</f>
        <v>50082183</v>
      </c>
      <c r="Z964" t="str">
        <f>VLOOKUP(W964,Sheet2!A:D,4,0)</f>
        <v>LDPE: PURELL PE 1840 H</v>
      </c>
    </row>
    <row r="965" spans="21:26" ht="15">
      <c r="U965" s="63">
        <v>50081979</v>
      </c>
      <c r="V965" s="64" t="s">
        <v>2112</v>
      </c>
      <c r="W965">
        <v>50081977</v>
      </c>
      <c r="X965" t="s">
        <v>657</v>
      </c>
      <c r="Y965">
        <f>VLOOKUP(W965,Sheet2!A:D,3,0)</f>
        <v>50082183</v>
      </c>
      <c r="Z965" t="str">
        <f>VLOOKUP(W965,Sheet2!A:D,4,0)</f>
        <v>LDPE: PURELL PE 1840 H</v>
      </c>
    </row>
    <row r="966" spans="21:26" ht="15">
      <c r="U966" s="63">
        <v>50081980</v>
      </c>
      <c r="V966" s="64" t="s">
        <v>2113</v>
      </c>
      <c r="W966">
        <v>50081830</v>
      </c>
      <c r="X966" t="s">
        <v>610</v>
      </c>
      <c r="Y966">
        <f>VLOOKUP(W966,Sheet2!A:D,3,0)</f>
        <v>50082201</v>
      </c>
      <c r="Z966" t="str">
        <f>VLOOKUP(W966,Sheet2!A:D,4,0)</f>
        <v>HDPE: PURELL GF4750</v>
      </c>
    </row>
    <row r="967" spans="21:26" ht="15">
      <c r="U967" s="63">
        <v>50081981</v>
      </c>
      <c r="V967" s="64" t="s">
        <v>2114</v>
      </c>
      <c r="W967">
        <v>50081830</v>
      </c>
      <c r="X967" t="s">
        <v>610</v>
      </c>
      <c r="Y967">
        <f>VLOOKUP(W967,Sheet2!A:D,3,0)</f>
        <v>50082201</v>
      </c>
      <c r="Z967" t="str">
        <f>VLOOKUP(W967,Sheet2!A:D,4,0)</f>
        <v>HDPE: PURELL GF4750</v>
      </c>
    </row>
    <row r="968" spans="21:26" ht="15">
      <c r="U968" s="63">
        <v>50081983</v>
      </c>
      <c r="V968" s="64" t="s">
        <v>1415</v>
      </c>
      <c r="W968">
        <v>50081982</v>
      </c>
      <c r="X968" t="s">
        <v>1416</v>
      </c>
      <c r="Y968">
        <f>VLOOKUP(W968,Sheet2!A:D,3,0)</f>
        <v>50082198</v>
      </c>
      <c r="Z968" t="str">
        <f>VLOOKUP(W968,Sheet2!A:D,4,0)</f>
        <v>LDPE: RELENE 22FA002</v>
      </c>
    </row>
    <row r="969" spans="21:26" ht="15">
      <c r="U969" s="63">
        <v>50081984</v>
      </c>
      <c r="V969" s="64" t="s">
        <v>1417</v>
      </c>
      <c r="W969">
        <v>50081982</v>
      </c>
      <c r="X969" t="s">
        <v>1416</v>
      </c>
      <c r="Y969">
        <f>VLOOKUP(W969,Sheet2!A:D,3,0)</f>
        <v>50082198</v>
      </c>
      <c r="Z969" t="str">
        <f>VLOOKUP(W969,Sheet2!A:D,4,0)</f>
        <v>LDPE: RELENE 22FA002</v>
      </c>
    </row>
    <row r="970" spans="21:26" ht="15">
      <c r="U970" s="63">
        <v>50081986</v>
      </c>
      <c r="V970" s="64" t="s">
        <v>2115</v>
      </c>
      <c r="W970">
        <v>50081985</v>
      </c>
      <c r="X970" t="s">
        <v>658</v>
      </c>
      <c r="Y970">
        <f>VLOOKUP(W970,Sheet2!A:D,3,0)</f>
        <v>50082183</v>
      </c>
      <c r="Z970" t="str">
        <f>VLOOKUP(W970,Sheet2!A:D,4,0)</f>
        <v>LDPE: PURELL PE 1840 H</v>
      </c>
    </row>
    <row r="971" spans="21:26" ht="15">
      <c r="U971" s="63">
        <v>50081987</v>
      </c>
      <c r="V971" s="64" t="s">
        <v>2116</v>
      </c>
      <c r="W971">
        <v>50081985</v>
      </c>
      <c r="X971" t="s">
        <v>658</v>
      </c>
      <c r="Y971">
        <f>VLOOKUP(W971,Sheet2!A:D,3,0)</f>
        <v>50082183</v>
      </c>
      <c r="Z971" t="str">
        <f>VLOOKUP(W971,Sheet2!A:D,4,0)</f>
        <v>LDPE: PURELL PE 1840 H</v>
      </c>
    </row>
    <row r="972" spans="21:26" ht="15">
      <c r="U972" s="63">
        <v>50081988</v>
      </c>
      <c r="V972" s="64" t="s">
        <v>2117</v>
      </c>
      <c r="W972">
        <v>50081831</v>
      </c>
      <c r="X972" t="s">
        <v>611</v>
      </c>
      <c r="Y972">
        <f>VLOOKUP(W972,Sheet2!A:D,3,0)</f>
        <v>50082201</v>
      </c>
      <c r="Z972" t="str">
        <f>VLOOKUP(W972,Sheet2!A:D,4,0)</f>
        <v>HDPE: PURELL GF4750</v>
      </c>
    </row>
    <row r="973" spans="21:26" ht="15">
      <c r="U973" s="63">
        <v>50081989</v>
      </c>
      <c r="V973" s="64" t="s">
        <v>2118</v>
      </c>
      <c r="W973">
        <v>50081831</v>
      </c>
      <c r="X973" t="s">
        <v>611</v>
      </c>
      <c r="Y973">
        <f>VLOOKUP(W973,Sheet2!A:D,3,0)</f>
        <v>50082201</v>
      </c>
      <c r="Z973" t="str">
        <f>VLOOKUP(W973,Sheet2!A:D,4,0)</f>
        <v>HDPE: PURELL GF4750</v>
      </c>
    </row>
    <row r="974" spans="21:26" ht="15">
      <c r="U974" s="63">
        <v>50081991</v>
      </c>
      <c r="V974" s="64" t="s">
        <v>2119</v>
      </c>
      <c r="W974">
        <v>50081990</v>
      </c>
      <c r="X974" t="s">
        <v>659</v>
      </c>
      <c r="Y974">
        <f>VLOOKUP(W974,Sheet2!A:D,3,0)</f>
        <v>50082183</v>
      </c>
      <c r="Z974" t="str">
        <f>VLOOKUP(W974,Sheet2!A:D,4,0)</f>
        <v>LDPE: PURELL PE 1840 H</v>
      </c>
    </row>
    <row r="975" spans="21:26" ht="15">
      <c r="U975" s="63">
        <v>50081992</v>
      </c>
      <c r="V975" s="64" t="s">
        <v>2120</v>
      </c>
      <c r="W975">
        <v>50081990</v>
      </c>
      <c r="X975" t="s">
        <v>659</v>
      </c>
      <c r="Y975">
        <f>VLOOKUP(W975,Sheet2!A:D,3,0)</f>
        <v>50082183</v>
      </c>
      <c r="Z975" t="str">
        <f>VLOOKUP(W975,Sheet2!A:D,4,0)</f>
        <v>LDPE: PURELL PE 1840 H</v>
      </c>
    </row>
    <row r="976" spans="21:26" ht="15">
      <c r="U976" s="63">
        <v>50082001</v>
      </c>
      <c r="V976" s="64" t="s">
        <v>2121</v>
      </c>
      <c r="W976">
        <v>50082000</v>
      </c>
      <c r="X976" t="s">
        <v>667</v>
      </c>
      <c r="Y976">
        <f>VLOOKUP(W976,Sheet2!A:D,3,0)</f>
        <v>50082184</v>
      </c>
      <c r="Z976" t="str">
        <f>VLOOKUP(W976,Sheet2!A:D,4,0)</f>
        <v>LDPE: PURELL PE 1810 E</v>
      </c>
    </row>
    <row r="977" spans="21:26" ht="15">
      <c r="U977" s="63">
        <v>50082002</v>
      </c>
      <c r="V977" s="64" t="s">
        <v>2122</v>
      </c>
      <c r="W977">
        <v>50082000</v>
      </c>
      <c r="X977" t="s">
        <v>667</v>
      </c>
      <c r="Y977">
        <f>VLOOKUP(W977,Sheet2!A:D,3,0)</f>
        <v>50082184</v>
      </c>
      <c r="Z977" t="str">
        <f>VLOOKUP(W977,Sheet2!A:D,4,0)</f>
        <v>LDPE: PURELL PE 1810 E</v>
      </c>
    </row>
    <row r="978" spans="21:26" ht="15">
      <c r="U978" s="63">
        <v>50082004</v>
      </c>
      <c r="V978" s="64" t="s">
        <v>488</v>
      </c>
      <c r="W978">
        <v>50082003</v>
      </c>
      <c r="X978" t="s">
        <v>668</v>
      </c>
      <c r="Y978">
        <f>VLOOKUP(W978,Sheet2!A:D,3,0)</f>
        <v>50082184</v>
      </c>
      <c r="Z978" t="str">
        <f>VLOOKUP(W978,Sheet2!A:D,4,0)</f>
        <v>LDPE: PURELL PE 1810 E</v>
      </c>
    </row>
    <row r="979" spans="21:26" ht="15">
      <c r="U979" s="63">
        <v>50082005</v>
      </c>
      <c r="V979" s="64" t="s">
        <v>229</v>
      </c>
      <c r="W979">
        <v>50082003</v>
      </c>
      <c r="X979" t="s">
        <v>668</v>
      </c>
      <c r="Y979">
        <f>VLOOKUP(W979,Sheet2!A:D,3,0)</f>
        <v>50082184</v>
      </c>
      <c r="Z979" t="str">
        <f>VLOOKUP(W979,Sheet2!A:D,4,0)</f>
        <v>LDPE: PURELL PE 1810 E</v>
      </c>
    </row>
    <row r="980" spans="21:26" ht="15">
      <c r="U980" s="63">
        <v>50082007</v>
      </c>
      <c r="V980" s="64" t="s">
        <v>493</v>
      </c>
      <c r="W980">
        <v>50082006</v>
      </c>
      <c r="X980" t="s">
        <v>669</v>
      </c>
      <c r="Y980">
        <f>VLOOKUP(W980,Sheet2!A:D,3,0)</f>
        <v>50082200</v>
      </c>
      <c r="Z980" t="str">
        <f>VLOOKUP(W980,Sheet2!A:D,4,0)</f>
        <v>HDPE: RELENE E52009</v>
      </c>
    </row>
    <row r="981" spans="21:26" ht="15">
      <c r="U981" s="63">
        <v>50082008</v>
      </c>
      <c r="V981" s="64" t="s">
        <v>2123</v>
      </c>
      <c r="W981">
        <v>50082006</v>
      </c>
      <c r="X981" t="s">
        <v>669</v>
      </c>
      <c r="Y981">
        <f>VLOOKUP(W981,Sheet2!A:D,3,0)</f>
        <v>50082200</v>
      </c>
      <c r="Z981" t="str">
        <f>VLOOKUP(W981,Sheet2!A:D,4,0)</f>
        <v>HDPE: RELENE E52009</v>
      </c>
    </row>
    <row r="982" spans="21:26" ht="15">
      <c r="U982" s="63">
        <v>50082011</v>
      </c>
      <c r="V982" s="64" t="s">
        <v>154</v>
      </c>
      <c r="W982">
        <v>50082010</v>
      </c>
      <c r="X982" t="s">
        <v>670</v>
      </c>
      <c r="Y982">
        <f>VLOOKUP(W982,Sheet2!A:D,3,0)</f>
        <v>50082200</v>
      </c>
      <c r="Z982" t="str">
        <f>VLOOKUP(W982,Sheet2!A:D,4,0)</f>
        <v>HDPE: RELENE E52009</v>
      </c>
    </row>
    <row r="983" spans="21:26" ht="15">
      <c r="U983" s="63">
        <v>50082012</v>
      </c>
      <c r="V983" s="64" t="s">
        <v>110</v>
      </c>
      <c r="W983">
        <v>50082010</v>
      </c>
      <c r="X983" t="s">
        <v>670</v>
      </c>
      <c r="Y983">
        <f>VLOOKUP(W983,Sheet2!A:D,3,0)</f>
        <v>50082200</v>
      </c>
      <c r="Z983" t="str">
        <f>VLOOKUP(W983,Sheet2!A:D,4,0)</f>
        <v>HDPE: RELENE E52009</v>
      </c>
    </row>
    <row r="984" spans="21:26" ht="15">
      <c r="U984" s="63">
        <v>50082014</v>
      </c>
      <c r="V984" s="64" t="s">
        <v>2124</v>
      </c>
      <c r="W984">
        <v>50082013</v>
      </c>
      <c r="X984" t="s">
        <v>671</v>
      </c>
      <c r="Y984">
        <f>VLOOKUP(W984,Sheet2!A:D,3,0)</f>
        <v>50082200</v>
      </c>
      <c r="Z984" t="str">
        <f>VLOOKUP(W984,Sheet2!A:D,4,0)</f>
        <v>HDPE: RELENE E52009</v>
      </c>
    </row>
    <row r="985" spans="21:26" ht="15">
      <c r="U985" s="63">
        <v>50082015</v>
      </c>
      <c r="V985" s="64" t="s">
        <v>2125</v>
      </c>
      <c r="W985">
        <v>50082013</v>
      </c>
      <c r="X985" t="s">
        <v>671</v>
      </c>
      <c r="Y985">
        <f>VLOOKUP(W985,Sheet2!A:D,3,0)</f>
        <v>50082200</v>
      </c>
      <c r="Z985" t="str">
        <f>VLOOKUP(W985,Sheet2!A:D,4,0)</f>
        <v>HDPE: RELENE E52009</v>
      </c>
    </row>
    <row r="986" spans="21:26" ht="15">
      <c r="U986" s="63">
        <v>50082017</v>
      </c>
      <c r="V986" s="64" t="s">
        <v>2126</v>
      </c>
      <c r="W986">
        <v>50082016</v>
      </c>
      <c r="X986" t="s">
        <v>672</v>
      </c>
      <c r="Y986">
        <f>VLOOKUP(W986,Sheet2!A:D,3,0)</f>
        <v>50082200</v>
      </c>
      <c r="Z986" t="str">
        <f>VLOOKUP(W986,Sheet2!A:D,4,0)</f>
        <v>HDPE: RELENE E52009</v>
      </c>
    </row>
    <row r="987" spans="21:26" ht="15">
      <c r="U987" s="63">
        <v>50082018</v>
      </c>
      <c r="V987" s="64" t="s">
        <v>2127</v>
      </c>
      <c r="W987">
        <v>50082016</v>
      </c>
      <c r="X987" t="s">
        <v>672</v>
      </c>
      <c r="Y987">
        <f>VLOOKUP(W987,Sheet2!A:D,3,0)</f>
        <v>50082200</v>
      </c>
      <c r="Z987" t="str">
        <f>VLOOKUP(W987,Sheet2!A:D,4,0)</f>
        <v>HDPE: RELENE E52009</v>
      </c>
    </row>
    <row r="988" spans="21:26" ht="15">
      <c r="U988" s="63">
        <v>50082022</v>
      </c>
      <c r="V988" s="64" t="s">
        <v>276</v>
      </c>
      <c r="W988">
        <v>50082021</v>
      </c>
      <c r="X988" t="s">
        <v>673</v>
      </c>
      <c r="Y988">
        <f>VLOOKUP(W988,Sheet2!A:D,3,0)</f>
        <v>50082183</v>
      </c>
      <c r="Z988" t="str">
        <f>VLOOKUP(W988,Sheet2!A:D,4,0)</f>
        <v>LDPE: PURELL PE 1840 H</v>
      </c>
    </row>
    <row r="989" spans="21:26" ht="15">
      <c r="U989" s="63">
        <v>50082023</v>
      </c>
      <c r="V989" s="64" t="s">
        <v>2128</v>
      </c>
      <c r="W989">
        <v>50082021</v>
      </c>
      <c r="X989" t="s">
        <v>673</v>
      </c>
      <c r="Y989">
        <f>VLOOKUP(W989,Sheet2!A:D,3,0)</f>
        <v>50082183</v>
      </c>
      <c r="Z989" t="str">
        <f>VLOOKUP(W989,Sheet2!A:D,4,0)</f>
        <v>LDPE: PURELL PE 1840 H</v>
      </c>
    </row>
    <row r="990" spans="21:26" ht="15">
      <c r="U990" s="63">
        <v>50082025</v>
      </c>
      <c r="V990" s="64" t="s">
        <v>2129</v>
      </c>
      <c r="W990">
        <v>50082024</v>
      </c>
      <c r="X990" t="s">
        <v>674</v>
      </c>
      <c r="Y990">
        <f>VLOOKUP(W990,Sheet2!A:D,3,0)</f>
        <v>50082183</v>
      </c>
      <c r="Z990" t="str">
        <f>VLOOKUP(W990,Sheet2!A:D,4,0)</f>
        <v>LDPE: PURELL PE 1840 H</v>
      </c>
    </row>
    <row r="991" spans="21:26" ht="15">
      <c r="U991" s="63">
        <v>50082026</v>
      </c>
      <c r="V991" s="64" t="s">
        <v>2130</v>
      </c>
      <c r="W991">
        <v>50082024</v>
      </c>
      <c r="X991" t="s">
        <v>674</v>
      </c>
      <c r="Y991">
        <f>VLOOKUP(W991,Sheet2!A:D,3,0)</f>
        <v>50082183</v>
      </c>
      <c r="Z991" t="str">
        <f>VLOOKUP(W991,Sheet2!A:D,4,0)</f>
        <v>LDPE: PURELL PE 1840 H</v>
      </c>
    </row>
    <row r="992" spans="21:26" ht="15">
      <c r="U992" s="63">
        <v>50082028</v>
      </c>
      <c r="V992" s="64" t="s">
        <v>2131</v>
      </c>
      <c r="W992">
        <v>50082027</v>
      </c>
      <c r="X992" t="s">
        <v>675</v>
      </c>
      <c r="Y992">
        <f>VLOOKUP(W992,Sheet2!A:D,3,0)</f>
        <v>50082183</v>
      </c>
      <c r="Z992" t="str">
        <f>VLOOKUP(W992,Sheet2!A:D,4,0)</f>
        <v>LDPE: PURELL PE 1840 H</v>
      </c>
    </row>
    <row r="993" spans="21:26" ht="15">
      <c r="U993" s="63">
        <v>50082029</v>
      </c>
      <c r="V993" s="64" t="s">
        <v>2132</v>
      </c>
      <c r="W993">
        <v>50082027</v>
      </c>
      <c r="X993" t="s">
        <v>675</v>
      </c>
      <c r="Y993">
        <f>VLOOKUP(W993,Sheet2!A:D,3,0)</f>
        <v>50082183</v>
      </c>
      <c r="Z993" t="str">
        <f>VLOOKUP(W993,Sheet2!A:D,4,0)</f>
        <v>LDPE: PURELL PE 1840 H</v>
      </c>
    </row>
    <row r="994" spans="21:26" ht="15">
      <c r="U994" s="63">
        <v>50082030</v>
      </c>
      <c r="V994" s="64" t="s">
        <v>2133</v>
      </c>
      <c r="W994">
        <v>50081883</v>
      </c>
      <c r="X994" t="s">
        <v>628</v>
      </c>
      <c r="Y994">
        <f>VLOOKUP(W994,Sheet2!A:D,3,0)</f>
        <v>50082201</v>
      </c>
      <c r="Z994" t="str">
        <f>VLOOKUP(W994,Sheet2!A:D,4,0)</f>
        <v>HDPE: PURELL GF4750</v>
      </c>
    </row>
    <row r="995" spans="21:26" ht="15">
      <c r="U995" s="63">
        <v>50082031</v>
      </c>
      <c r="V995" s="64" t="s">
        <v>2134</v>
      </c>
      <c r="W995">
        <v>50081883</v>
      </c>
      <c r="X995" t="s">
        <v>628</v>
      </c>
      <c r="Y995">
        <f>VLOOKUP(W995,Sheet2!A:D,3,0)</f>
        <v>50082201</v>
      </c>
      <c r="Z995" t="str">
        <f>VLOOKUP(W995,Sheet2!A:D,4,0)</f>
        <v>HDPE: PURELL GF4750</v>
      </c>
    </row>
    <row r="996" spans="21:26" ht="15">
      <c r="U996" s="63">
        <v>50082036</v>
      </c>
      <c r="V996" s="64" t="s">
        <v>1418</v>
      </c>
      <c r="W996">
        <v>50082035</v>
      </c>
      <c r="X996" t="s">
        <v>678</v>
      </c>
      <c r="Y996">
        <f>VLOOKUP(W996,Sheet2!A:D,3,0)</f>
        <v>50082184</v>
      </c>
      <c r="Z996" t="str">
        <f>VLOOKUP(W996,Sheet2!A:D,4,0)</f>
        <v>LDPE: PURELL PE 1810 E</v>
      </c>
    </row>
    <row r="997" spans="21:26" ht="15">
      <c r="U997" s="63">
        <v>50082037</v>
      </c>
      <c r="V997" s="64" t="s">
        <v>1419</v>
      </c>
      <c r="W997">
        <v>50082035</v>
      </c>
      <c r="X997" t="s">
        <v>678</v>
      </c>
      <c r="Y997">
        <f>VLOOKUP(W997,Sheet2!A:D,3,0)</f>
        <v>50082184</v>
      </c>
      <c r="Z997" t="str">
        <f>VLOOKUP(W997,Sheet2!A:D,4,0)</f>
        <v>LDPE: PURELL PE 1810 E</v>
      </c>
    </row>
    <row r="998" spans="21:26" ht="15">
      <c r="U998" s="63">
        <v>50082039</v>
      </c>
      <c r="V998" s="64" t="s">
        <v>386</v>
      </c>
      <c r="W998">
        <v>50082038</v>
      </c>
      <c r="X998" t="s">
        <v>679</v>
      </c>
      <c r="Y998">
        <f>VLOOKUP(W998,Sheet2!A:D,3,0)</f>
        <v>50082184</v>
      </c>
      <c r="Z998" t="str">
        <f>VLOOKUP(W998,Sheet2!A:D,4,0)</f>
        <v>LDPE: PURELL PE 1810 E</v>
      </c>
    </row>
    <row r="999" spans="21:26" ht="15">
      <c r="U999" s="63">
        <v>50082040</v>
      </c>
      <c r="V999" s="64" t="s">
        <v>1420</v>
      </c>
      <c r="W999">
        <v>50082038</v>
      </c>
      <c r="X999" t="s">
        <v>679</v>
      </c>
      <c r="Y999">
        <f>VLOOKUP(W999,Sheet2!A:D,3,0)</f>
        <v>50082184</v>
      </c>
      <c r="Z999" t="str">
        <f>VLOOKUP(W999,Sheet2!A:D,4,0)</f>
        <v>LDPE: PURELL PE 1810 E</v>
      </c>
    </row>
    <row r="1000" spans="21:26" ht="15">
      <c r="U1000" s="63">
        <v>50082042</v>
      </c>
      <c r="V1000" s="64" t="s">
        <v>2135</v>
      </c>
      <c r="W1000">
        <v>50082041</v>
      </c>
      <c r="X1000" t="s">
        <v>680</v>
      </c>
      <c r="Y1000">
        <f>VLOOKUP(W1000,Sheet2!A:D,3,0)</f>
        <v>50082183</v>
      </c>
      <c r="Z1000" t="str">
        <f>VLOOKUP(W1000,Sheet2!A:D,4,0)</f>
        <v>LDPE: PURELL PE 1840 H</v>
      </c>
    </row>
    <row r="1001" spans="21:26" ht="15">
      <c r="U1001" s="63">
        <v>50082043</v>
      </c>
      <c r="V1001" s="64" t="s">
        <v>2136</v>
      </c>
      <c r="W1001">
        <v>50082041</v>
      </c>
      <c r="X1001" t="s">
        <v>680</v>
      </c>
      <c r="Y1001">
        <f>VLOOKUP(W1001,Sheet2!A:D,3,0)</f>
        <v>50082183</v>
      </c>
      <c r="Z1001" t="str">
        <f>VLOOKUP(W1001,Sheet2!A:D,4,0)</f>
        <v>LDPE: PURELL PE 1840 H</v>
      </c>
    </row>
    <row r="1002" spans="21:26" ht="15">
      <c r="U1002" s="63">
        <v>50082045</v>
      </c>
      <c r="V1002" s="64" t="s">
        <v>2137</v>
      </c>
      <c r="W1002">
        <v>50082044</v>
      </c>
      <c r="X1002" t="s">
        <v>681</v>
      </c>
      <c r="Y1002">
        <f>VLOOKUP(W1002,Sheet2!A:D,3,0)</f>
        <v>50082183</v>
      </c>
      <c r="Z1002" t="str">
        <f>VLOOKUP(W1002,Sheet2!A:D,4,0)</f>
        <v>LDPE: PURELL PE 1840 H</v>
      </c>
    </row>
    <row r="1003" spans="21:26" ht="15">
      <c r="U1003" s="63">
        <v>50082048</v>
      </c>
      <c r="V1003" s="64" t="s">
        <v>1421</v>
      </c>
      <c r="W1003">
        <v>50082047</v>
      </c>
      <c r="X1003" t="s">
        <v>683</v>
      </c>
      <c r="Y1003">
        <f>VLOOKUP(W1003,Sheet2!A:D,3,0)</f>
        <v>50082184</v>
      </c>
      <c r="Z1003" t="str">
        <f>VLOOKUP(W1003,Sheet2!A:D,4,0)</f>
        <v>LDPE: PURELL PE 1810 E</v>
      </c>
    </row>
    <row r="1004" spans="21:26" ht="15">
      <c r="U1004" s="63">
        <v>50082049</v>
      </c>
      <c r="V1004" s="64" t="s">
        <v>1423</v>
      </c>
      <c r="W1004">
        <v>50082047</v>
      </c>
      <c r="X1004" t="s">
        <v>683</v>
      </c>
      <c r="Y1004">
        <f>VLOOKUP(W1004,Sheet2!A:D,3,0)</f>
        <v>50082184</v>
      </c>
      <c r="Z1004" t="str">
        <f>VLOOKUP(W1004,Sheet2!A:D,4,0)</f>
        <v>LDPE: PURELL PE 1810 E</v>
      </c>
    </row>
    <row r="1005" spans="21:26" ht="15">
      <c r="U1005" s="63">
        <v>50082053</v>
      </c>
      <c r="V1005" s="64" t="s">
        <v>2138</v>
      </c>
      <c r="W1005">
        <v>50082052</v>
      </c>
      <c r="X1005" t="s">
        <v>684</v>
      </c>
      <c r="Y1005">
        <f>VLOOKUP(W1005,Sheet2!A:D,3,0)</f>
        <v>50082200</v>
      </c>
      <c r="Z1005" t="str">
        <f>VLOOKUP(W1005,Sheet2!A:D,4,0)</f>
        <v>HDPE: RELENE E52009</v>
      </c>
    </row>
    <row r="1006" spans="21:26" ht="15">
      <c r="U1006" s="63">
        <v>50082054</v>
      </c>
      <c r="V1006" s="64" t="s">
        <v>2139</v>
      </c>
      <c r="W1006">
        <v>50082052</v>
      </c>
      <c r="X1006" t="s">
        <v>684</v>
      </c>
      <c r="Y1006">
        <f>VLOOKUP(W1006,Sheet2!A:D,3,0)</f>
        <v>50082200</v>
      </c>
      <c r="Z1006" t="str">
        <f>VLOOKUP(W1006,Sheet2!A:D,4,0)</f>
        <v>HDPE: RELENE E52009</v>
      </c>
    </row>
    <row r="1007" spans="21:26" ht="15">
      <c r="U1007" s="63">
        <v>50082056</v>
      </c>
      <c r="V1007" s="64" t="s">
        <v>2140</v>
      </c>
      <c r="W1007">
        <v>50082055</v>
      </c>
      <c r="X1007" t="s">
        <v>685</v>
      </c>
      <c r="Y1007">
        <f>VLOOKUP(W1007,Sheet2!A:D,3,0)</f>
        <v>50082183</v>
      </c>
      <c r="Z1007" t="str">
        <f>VLOOKUP(W1007,Sheet2!A:D,4,0)</f>
        <v>LDPE: PURELL PE 1840 H</v>
      </c>
    </row>
    <row r="1008" spans="21:26" ht="15">
      <c r="U1008" s="63">
        <v>50082057</v>
      </c>
      <c r="V1008" s="64" t="s">
        <v>2141</v>
      </c>
      <c r="W1008">
        <v>50082055</v>
      </c>
      <c r="X1008" t="s">
        <v>685</v>
      </c>
      <c r="Y1008">
        <f>VLOOKUP(W1008,Sheet2!A:D,3,0)</f>
        <v>50082183</v>
      </c>
      <c r="Z1008" t="str">
        <f>VLOOKUP(W1008,Sheet2!A:D,4,0)</f>
        <v>LDPE: PURELL PE 1840 H</v>
      </c>
    </row>
    <row r="1009" spans="21:26" ht="15">
      <c r="U1009" s="63">
        <v>50082059</v>
      </c>
      <c r="V1009" s="64" t="s">
        <v>1424</v>
      </c>
      <c r="W1009">
        <v>50082058</v>
      </c>
      <c r="X1009" t="s">
        <v>686</v>
      </c>
      <c r="Y1009">
        <f>VLOOKUP(W1009,Sheet2!A:D,3,0)</f>
        <v>50082184</v>
      </c>
      <c r="Z1009" t="str">
        <f>VLOOKUP(W1009,Sheet2!A:D,4,0)</f>
        <v>LDPE: PURELL PE 1810 E</v>
      </c>
    </row>
    <row r="1010" spans="21:26" ht="15">
      <c r="U1010" s="63">
        <v>50082060</v>
      </c>
      <c r="V1010" s="64" t="s">
        <v>1425</v>
      </c>
      <c r="W1010">
        <v>50082058</v>
      </c>
      <c r="X1010" t="s">
        <v>686</v>
      </c>
      <c r="Y1010">
        <f>VLOOKUP(W1010,Sheet2!A:D,3,0)</f>
        <v>50082184</v>
      </c>
      <c r="Z1010" t="str">
        <f>VLOOKUP(W1010,Sheet2!A:D,4,0)</f>
        <v>LDPE: PURELL PE 1810 E</v>
      </c>
    </row>
    <row r="1011" spans="21:26" ht="15">
      <c r="U1011" s="63">
        <v>50082062</v>
      </c>
      <c r="V1011" s="64" t="s">
        <v>1426</v>
      </c>
      <c r="W1011">
        <v>50082061</v>
      </c>
      <c r="X1011" t="s">
        <v>687</v>
      </c>
      <c r="Y1011">
        <f>VLOOKUP(W1011,Sheet2!A:D,3,0)</f>
        <v>50082184</v>
      </c>
      <c r="Z1011" t="str">
        <f>VLOOKUP(W1011,Sheet2!A:D,4,0)</f>
        <v>LDPE: PURELL PE 1810 E</v>
      </c>
    </row>
    <row r="1012" spans="21:26" ht="15">
      <c r="U1012" s="63">
        <v>50082063</v>
      </c>
      <c r="V1012" s="64" t="s">
        <v>1427</v>
      </c>
      <c r="W1012">
        <v>50082061</v>
      </c>
      <c r="X1012" t="s">
        <v>687</v>
      </c>
      <c r="Y1012">
        <f>VLOOKUP(W1012,Sheet2!A:D,3,0)</f>
        <v>50082184</v>
      </c>
      <c r="Z1012" t="str">
        <f>VLOOKUP(W1012,Sheet2!A:D,4,0)</f>
        <v>LDPE: PURELL PE 1810 E</v>
      </c>
    </row>
    <row r="1013" spans="21:26" ht="15">
      <c r="U1013" s="63">
        <v>50082065</v>
      </c>
      <c r="V1013" s="64" t="s">
        <v>2142</v>
      </c>
      <c r="W1013">
        <v>50082064</v>
      </c>
      <c r="X1013" t="s">
        <v>688</v>
      </c>
      <c r="Y1013">
        <f>VLOOKUP(W1013,Sheet2!A:D,3,0)</f>
        <v>50082183</v>
      </c>
      <c r="Z1013" t="str">
        <f>VLOOKUP(W1013,Sheet2!A:D,4,0)</f>
        <v>LDPE: PURELL PE 1840 H</v>
      </c>
    </row>
    <row r="1014" spans="21:26" ht="15">
      <c r="U1014" s="63">
        <v>50082066</v>
      </c>
      <c r="V1014" s="64" t="s">
        <v>2143</v>
      </c>
      <c r="W1014">
        <v>50082064</v>
      </c>
      <c r="X1014" t="s">
        <v>688</v>
      </c>
      <c r="Y1014">
        <f>VLOOKUP(W1014,Sheet2!A:D,3,0)</f>
        <v>50082183</v>
      </c>
      <c r="Z1014" t="str">
        <f>VLOOKUP(W1014,Sheet2!A:D,4,0)</f>
        <v>LDPE: PURELL PE 1840 H</v>
      </c>
    </row>
    <row r="1015" spans="21:26" ht="15">
      <c r="U1015" s="63">
        <v>50082068</v>
      </c>
      <c r="V1015" s="64" t="s">
        <v>2144</v>
      </c>
      <c r="W1015">
        <v>50082067</v>
      </c>
      <c r="X1015" t="s">
        <v>689</v>
      </c>
      <c r="Y1015">
        <f>VLOOKUP(W1015,Sheet2!A:D,3,0)</f>
        <v>50082183</v>
      </c>
      <c r="Z1015" t="str">
        <f>VLOOKUP(W1015,Sheet2!A:D,4,0)</f>
        <v>LDPE: PURELL PE 1840 H</v>
      </c>
    </row>
    <row r="1016" spans="21:26" ht="15">
      <c r="U1016" s="63">
        <v>50082069</v>
      </c>
      <c r="V1016" s="64" t="s">
        <v>2145</v>
      </c>
      <c r="W1016">
        <v>50082067</v>
      </c>
      <c r="X1016" t="s">
        <v>689</v>
      </c>
      <c r="Y1016">
        <f>VLOOKUP(W1016,Sheet2!A:D,3,0)</f>
        <v>50082183</v>
      </c>
      <c r="Z1016" t="str">
        <f>VLOOKUP(W1016,Sheet2!A:D,4,0)</f>
        <v>LDPE: PURELL PE 1840 H</v>
      </c>
    </row>
    <row r="1017" spans="21:26" ht="15">
      <c r="U1017" s="63">
        <v>50082070</v>
      </c>
      <c r="V1017" s="64" t="s">
        <v>2146</v>
      </c>
      <c r="W1017">
        <v>50082032</v>
      </c>
      <c r="X1017" t="s">
        <v>1704</v>
      </c>
      <c r="Y1017" t="e">
        <f>VLOOKUP(W1017,Sheet2!A:D,3,0)</f>
        <v>#N/A</v>
      </c>
      <c r="Z1017" t="e">
        <f>VLOOKUP(W1017,Sheet2!A:D,4,0)</f>
        <v>#N/A</v>
      </c>
    </row>
    <row r="1018" spans="21:26" ht="15">
      <c r="U1018" s="63">
        <v>50082077</v>
      </c>
      <c r="V1018" s="64" t="s">
        <v>59</v>
      </c>
      <c r="W1018">
        <v>50082076</v>
      </c>
      <c r="X1018" t="s">
        <v>79</v>
      </c>
      <c r="Y1018">
        <f>VLOOKUP(W1018,Sheet2!A:D,3,0)</f>
        <v>50082184</v>
      </c>
      <c r="Z1018" t="str">
        <f>VLOOKUP(W1018,Sheet2!A:D,4,0)</f>
        <v>LDPE: PURELL PE 1810 E</v>
      </c>
    </row>
    <row r="1019" spans="21:26" ht="15">
      <c r="U1019" s="63">
        <v>50082078</v>
      </c>
      <c r="V1019" s="64" t="s">
        <v>118</v>
      </c>
      <c r="W1019">
        <v>50082076</v>
      </c>
      <c r="X1019" t="s">
        <v>79</v>
      </c>
      <c r="Y1019">
        <f>VLOOKUP(W1019,Sheet2!A:D,3,0)</f>
        <v>50082184</v>
      </c>
      <c r="Z1019" t="str">
        <f>VLOOKUP(W1019,Sheet2!A:D,4,0)</f>
        <v>LDPE: PURELL PE 1810 E</v>
      </c>
    </row>
    <row r="1020" spans="21:26" ht="15">
      <c r="U1020" s="63">
        <v>50082081</v>
      </c>
      <c r="V1020" s="64" t="s">
        <v>2147</v>
      </c>
      <c r="W1020">
        <v>50082080</v>
      </c>
      <c r="X1020" t="s">
        <v>691</v>
      </c>
      <c r="Y1020">
        <f>VLOOKUP(W1020,Sheet2!A:D,3,0)</f>
        <v>50082200</v>
      </c>
      <c r="Z1020" t="str">
        <f>VLOOKUP(W1020,Sheet2!A:D,4,0)</f>
        <v>HDPE: RELENE E52009</v>
      </c>
    </row>
    <row r="1021" spans="21:26" ht="15">
      <c r="U1021" s="63">
        <v>50082082</v>
      </c>
      <c r="V1021" s="64" t="s">
        <v>2148</v>
      </c>
      <c r="W1021">
        <v>50082080</v>
      </c>
      <c r="X1021" t="s">
        <v>691</v>
      </c>
      <c r="Y1021">
        <f>VLOOKUP(W1021,Sheet2!A:D,3,0)</f>
        <v>50082200</v>
      </c>
      <c r="Z1021" t="str">
        <f>VLOOKUP(W1021,Sheet2!A:D,4,0)</f>
        <v>HDPE: RELENE E52009</v>
      </c>
    </row>
    <row r="1022" spans="21:26" ht="15">
      <c r="U1022" s="63">
        <v>50082084</v>
      </c>
      <c r="V1022" s="64" t="s">
        <v>2149</v>
      </c>
      <c r="W1022">
        <v>50082083</v>
      </c>
      <c r="X1022" t="s">
        <v>692</v>
      </c>
      <c r="Y1022">
        <f>VLOOKUP(W1022,Sheet2!A:D,3,0)</f>
        <v>50082200</v>
      </c>
      <c r="Z1022" t="str">
        <f>VLOOKUP(W1022,Sheet2!A:D,4,0)</f>
        <v>HDPE: RELENE E52009</v>
      </c>
    </row>
    <row r="1023" spans="21:26" ht="15">
      <c r="U1023" s="63">
        <v>50082085</v>
      </c>
      <c r="V1023" s="64" t="s">
        <v>2150</v>
      </c>
      <c r="W1023">
        <v>50082083</v>
      </c>
      <c r="X1023" t="s">
        <v>692</v>
      </c>
      <c r="Y1023">
        <f>VLOOKUP(W1023,Sheet2!A:D,3,0)</f>
        <v>50082200</v>
      </c>
      <c r="Z1023" t="str">
        <f>VLOOKUP(W1023,Sheet2!A:D,4,0)</f>
        <v>HDPE: RELENE E52009</v>
      </c>
    </row>
    <row r="1024" spans="21:26" ht="15">
      <c r="U1024" s="63">
        <v>50082087</v>
      </c>
      <c r="V1024" s="64" t="s">
        <v>2151</v>
      </c>
      <c r="W1024">
        <v>50082086</v>
      </c>
      <c r="X1024" t="s">
        <v>693</v>
      </c>
      <c r="Y1024">
        <f>VLOOKUP(W1024,Sheet2!A:D,3,0)</f>
        <v>50082184</v>
      </c>
      <c r="Z1024" t="str">
        <f>VLOOKUP(W1024,Sheet2!A:D,4,0)</f>
        <v>LDPE: PURELL PE 1810 E</v>
      </c>
    </row>
    <row r="1025" spans="21:26" ht="15">
      <c r="U1025" s="63">
        <v>50082088</v>
      </c>
      <c r="V1025" s="64" t="s">
        <v>2152</v>
      </c>
      <c r="W1025">
        <v>50082086</v>
      </c>
      <c r="X1025" t="s">
        <v>693</v>
      </c>
      <c r="Y1025">
        <f>VLOOKUP(W1025,Sheet2!A:D,3,0)</f>
        <v>50082184</v>
      </c>
      <c r="Z1025" t="str">
        <f>VLOOKUP(W1025,Sheet2!A:D,4,0)</f>
        <v>LDPE: PURELL PE 1810 E</v>
      </c>
    </row>
    <row r="1026" spans="21:26" ht="15">
      <c r="U1026" s="63">
        <v>50082090</v>
      </c>
      <c r="V1026" s="64" t="s">
        <v>2153</v>
      </c>
      <c r="W1026">
        <v>50082089</v>
      </c>
      <c r="X1026" t="s">
        <v>694</v>
      </c>
      <c r="Y1026">
        <f>VLOOKUP(W1026,Sheet2!A:D,3,0)</f>
        <v>50082183</v>
      </c>
      <c r="Z1026" t="str">
        <f>VLOOKUP(W1026,Sheet2!A:D,4,0)</f>
        <v>LDPE: PURELL PE 1840 H</v>
      </c>
    </row>
    <row r="1027" spans="21:26" ht="15">
      <c r="U1027" s="63">
        <v>50082091</v>
      </c>
      <c r="V1027" s="64" t="s">
        <v>2154</v>
      </c>
      <c r="W1027">
        <v>50082089</v>
      </c>
      <c r="X1027" t="s">
        <v>694</v>
      </c>
      <c r="Y1027">
        <f>VLOOKUP(W1027,Sheet2!A:D,3,0)</f>
        <v>50082183</v>
      </c>
      <c r="Z1027" t="str">
        <f>VLOOKUP(W1027,Sheet2!A:D,4,0)</f>
        <v>LDPE: PURELL PE 1840 H</v>
      </c>
    </row>
    <row r="1028" spans="21:26" ht="15">
      <c r="U1028" s="63">
        <v>50082093</v>
      </c>
      <c r="V1028" s="64" t="s">
        <v>2155</v>
      </c>
      <c r="W1028">
        <v>50082092</v>
      </c>
      <c r="X1028" t="s">
        <v>695</v>
      </c>
      <c r="Y1028">
        <f>VLOOKUP(W1028,Sheet2!A:D,3,0)</f>
        <v>50082183</v>
      </c>
      <c r="Z1028" t="str">
        <f>VLOOKUP(W1028,Sheet2!A:D,4,0)</f>
        <v>LDPE: PURELL PE 1840 H</v>
      </c>
    </row>
    <row r="1029" spans="21:26" ht="15">
      <c r="U1029" s="63">
        <v>50082094</v>
      </c>
      <c r="V1029" s="64" t="s">
        <v>2156</v>
      </c>
      <c r="W1029">
        <v>50082092</v>
      </c>
      <c r="X1029" t="s">
        <v>695</v>
      </c>
      <c r="Y1029">
        <f>VLOOKUP(W1029,Sheet2!A:D,3,0)</f>
        <v>50082183</v>
      </c>
      <c r="Z1029" t="str">
        <f>VLOOKUP(W1029,Sheet2!A:D,4,0)</f>
        <v>LDPE: PURELL PE 1840 H</v>
      </c>
    </row>
    <row r="1030" spans="21:26" ht="15">
      <c r="U1030" s="63">
        <v>50082096</v>
      </c>
      <c r="V1030" s="64" t="s">
        <v>76</v>
      </c>
      <c r="W1030">
        <v>50082095</v>
      </c>
      <c r="X1030" t="s">
        <v>196</v>
      </c>
      <c r="Y1030">
        <f>VLOOKUP(W1030,Sheet2!A:D,3,0)</f>
        <v>50082184</v>
      </c>
      <c r="Z1030" t="str">
        <f>VLOOKUP(W1030,Sheet2!A:D,4,0)</f>
        <v>LDPE: PURELL PE 1810 E</v>
      </c>
    </row>
    <row r="1031" spans="21:26" ht="15">
      <c r="U1031" s="63">
        <v>50082097</v>
      </c>
      <c r="V1031" s="64" t="s">
        <v>1428</v>
      </c>
      <c r="W1031">
        <v>50082095</v>
      </c>
      <c r="X1031" t="s">
        <v>196</v>
      </c>
      <c r="Y1031">
        <f>VLOOKUP(W1031,Sheet2!A:D,3,0)</f>
        <v>50082184</v>
      </c>
      <c r="Z1031" t="str">
        <f>VLOOKUP(W1031,Sheet2!A:D,4,0)</f>
        <v>LDPE: PURELL PE 1810 E</v>
      </c>
    </row>
    <row r="1032" spans="21:26" ht="15">
      <c r="U1032" s="63">
        <v>50082099</v>
      </c>
      <c r="V1032" s="64" t="s">
        <v>2157</v>
      </c>
      <c r="W1032">
        <v>50081417</v>
      </c>
      <c r="X1032" t="s">
        <v>1652</v>
      </c>
      <c r="Y1032" t="e">
        <f>VLOOKUP(W1032,Sheet2!A:D,3,0)</f>
        <v>#N/A</v>
      </c>
      <c r="Z1032" t="e">
        <f>VLOOKUP(W1032,Sheet2!A:D,4,0)</f>
        <v>#N/A</v>
      </c>
    </row>
    <row r="1033" spans="21:26" ht="15">
      <c r="U1033" s="63">
        <v>50082100</v>
      </c>
      <c r="V1033" s="64" t="s">
        <v>2158</v>
      </c>
      <c r="W1033">
        <v>50081417</v>
      </c>
      <c r="X1033" t="s">
        <v>1652</v>
      </c>
      <c r="Y1033" t="e">
        <f>VLOOKUP(W1033,Sheet2!A:D,3,0)</f>
        <v>#N/A</v>
      </c>
      <c r="Z1033" t="e">
        <f>VLOOKUP(W1033,Sheet2!A:D,4,0)</f>
        <v>#N/A</v>
      </c>
    </row>
    <row r="1034" spans="21:26" ht="15">
      <c r="U1034" s="63">
        <v>50082107</v>
      </c>
      <c r="V1034" s="64" t="s">
        <v>2159</v>
      </c>
      <c r="W1034">
        <v>50082079</v>
      </c>
      <c r="X1034" t="s">
        <v>690</v>
      </c>
      <c r="Y1034">
        <f>VLOOKUP(W1034,Sheet2!A:D,3,0)</f>
        <v>50082199</v>
      </c>
      <c r="Z1034" t="str">
        <f>VLOOKUP(W1034,Sheet2!A:D,4,0)</f>
        <v>HDPE: RELENE M60075</v>
      </c>
    </row>
    <row r="1035" spans="21:26" ht="15">
      <c r="U1035" s="63">
        <v>50082109</v>
      </c>
      <c r="V1035" s="64" t="s">
        <v>2160</v>
      </c>
      <c r="W1035">
        <v>50082108</v>
      </c>
      <c r="X1035" t="s">
        <v>698</v>
      </c>
      <c r="Y1035">
        <f>VLOOKUP(W1035,Sheet2!A:D,3,0)</f>
        <v>50082200</v>
      </c>
      <c r="Z1035" t="str">
        <f>VLOOKUP(W1035,Sheet2!A:D,4,0)</f>
        <v>HDPE: RELENE E52009</v>
      </c>
    </row>
    <row r="1036" spans="21:26" ht="15">
      <c r="U1036" s="63">
        <v>50082110</v>
      </c>
      <c r="V1036" s="64" t="s">
        <v>2161</v>
      </c>
      <c r="W1036">
        <v>50082108</v>
      </c>
      <c r="X1036" t="s">
        <v>698</v>
      </c>
      <c r="Y1036">
        <f>VLOOKUP(W1036,Sheet2!A:D,3,0)</f>
        <v>50082200</v>
      </c>
      <c r="Z1036" t="str">
        <f>VLOOKUP(W1036,Sheet2!A:D,4,0)</f>
        <v>HDPE: RELENE E52009</v>
      </c>
    </row>
    <row r="1037" spans="21:26" ht="15">
      <c r="U1037" s="63">
        <v>50082112</v>
      </c>
      <c r="V1037" s="64" t="s">
        <v>2162</v>
      </c>
      <c r="W1037">
        <v>50082111</v>
      </c>
      <c r="X1037" t="s">
        <v>699</v>
      </c>
      <c r="Y1037">
        <f>VLOOKUP(W1037,Sheet2!A:D,3,0)</f>
        <v>50082200</v>
      </c>
      <c r="Z1037" t="str">
        <f>VLOOKUP(W1037,Sheet2!A:D,4,0)</f>
        <v>HDPE: RELENE E52009</v>
      </c>
    </row>
    <row r="1038" spans="21:26" ht="15">
      <c r="U1038" s="63">
        <v>50082113</v>
      </c>
      <c r="V1038" s="64" t="s">
        <v>2163</v>
      </c>
      <c r="W1038">
        <v>50082111</v>
      </c>
      <c r="X1038" t="s">
        <v>699</v>
      </c>
      <c r="Y1038">
        <f>VLOOKUP(W1038,Sheet2!A:D,3,0)</f>
        <v>50082200</v>
      </c>
      <c r="Z1038" t="str">
        <f>VLOOKUP(W1038,Sheet2!A:D,4,0)</f>
        <v>HDPE: RELENE E52009</v>
      </c>
    </row>
    <row r="1039" spans="21:26" ht="15">
      <c r="U1039" s="63">
        <v>50082114</v>
      </c>
      <c r="V1039" s="64" t="s">
        <v>1429</v>
      </c>
      <c r="W1039">
        <v>50082116</v>
      </c>
      <c r="X1039" t="s">
        <v>700</v>
      </c>
      <c r="Y1039">
        <f>VLOOKUP(W1039,Sheet2!A:D,3,0)</f>
        <v>50082184</v>
      </c>
      <c r="Z1039" t="str">
        <f>VLOOKUP(W1039,Sheet2!A:D,4,0)</f>
        <v>LDPE: PURELL PE 1810 E</v>
      </c>
    </row>
    <row r="1040" spans="21:26" ht="15">
      <c r="U1040" s="63">
        <v>50082115</v>
      </c>
      <c r="V1040" s="64" t="s">
        <v>1430</v>
      </c>
      <c r="W1040">
        <v>50082116</v>
      </c>
      <c r="X1040" t="s">
        <v>700</v>
      </c>
      <c r="Y1040">
        <f>VLOOKUP(W1040,Sheet2!A:D,3,0)</f>
        <v>50082184</v>
      </c>
      <c r="Z1040" t="str">
        <f>VLOOKUP(W1040,Sheet2!A:D,4,0)</f>
        <v>LDPE: PURELL PE 1810 E</v>
      </c>
    </row>
    <row r="1041" spans="21:26" ht="15">
      <c r="U1041" s="63">
        <v>50082118</v>
      </c>
      <c r="V1041" s="64" t="s">
        <v>1431</v>
      </c>
      <c r="W1041">
        <v>50082117</v>
      </c>
      <c r="X1041" t="s">
        <v>701</v>
      </c>
      <c r="Y1041">
        <f>VLOOKUP(W1041,Sheet2!A:D,3,0)</f>
        <v>50082184</v>
      </c>
      <c r="Z1041" t="str">
        <f>VLOOKUP(W1041,Sheet2!A:D,4,0)</f>
        <v>LDPE: PURELL PE 1810 E</v>
      </c>
    </row>
    <row r="1042" spans="21:26" ht="15">
      <c r="U1042" s="63">
        <v>50082119</v>
      </c>
      <c r="V1042" s="64" t="s">
        <v>1432</v>
      </c>
      <c r="W1042">
        <v>50082117</v>
      </c>
      <c r="X1042" t="s">
        <v>701</v>
      </c>
      <c r="Y1042">
        <f>VLOOKUP(W1042,Sheet2!A:D,3,0)</f>
        <v>50082184</v>
      </c>
      <c r="Z1042" t="str">
        <f>VLOOKUP(W1042,Sheet2!A:D,4,0)</f>
        <v>LDPE: PURELL PE 1810 E</v>
      </c>
    </row>
    <row r="1043" spans="21:26" ht="15">
      <c r="U1043" s="63">
        <v>50082121</v>
      </c>
      <c r="V1043" s="64" t="s">
        <v>1433</v>
      </c>
      <c r="W1043">
        <v>50082120</v>
      </c>
      <c r="X1043" t="s">
        <v>702</v>
      </c>
      <c r="Y1043">
        <f>VLOOKUP(W1043,Sheet2!A:D,3,0)</f>
        <v>50082184</v>
      </c>
      <c r="Z1043" t="str">
        <f>VLOOKUP(W1043,Sheet2!A:D,4,0)</f>
        <v>LDPE: PURELL PE 1810 E</v>
      </c>
    </row>
    <row r="1044" spans="21:26" ht="15">
      <c r="U1044" s="63">
        <v>50082123</v>
      </c>
      <c r="V1044" s="64" t="s">
        <v>2164</v>
      </c>
      <c r="W1044">
        <v>50082122</v>
      </c>
      <c r="X1044" t="s">
        <v>703</v>
      </c>
      <c r="Y1044">
        <f>VLOOKUP(W1044,Sheet2!A:D,3,0)</f>
        <v>50082184</v>
      </c>
      <c r="Z1044" t="str">
        <f>VLOOKUP(W1044,Sheet2!A:D,4,0)</f>
        <v>LDPE: PURELL PE 1810 E</v>
      </c>
    </row>
    <row r="1045" spans="21:26" ht="15">
      <c r="U1045" s="63">
        <v>50082124</v>
      </c>
      <c r="V1045" s="64" t="s">
        <v>2165</v>
      </c>
      <c r="W1045">
        <v>50082122</v>
      </c>
      <c r="X1045" t="s">
        <v>703</v>
      </c>
      <c r="Y1045">
        <f>VLOOKUP(W1045,Sheet2!A:D,3,0)</f>
        <v>50082184</v>
      </c>
      <c r="Z1045" t="str">
        <f>VLOOKUP(W1045,Sheet2!A:D,4,0)</f>
        <v>LDPE: PURELL PE 1810 E</v>
      </c>
    </row>
    <row r="1046" spans="21:26" ht="15">
      <c r="U1046" s="63">
        <v>50082126</v>
      </c>
      <c r="V1046" s="64" t="s">
        <v>1434</v>
      </c>
      <c r="W1046">
        <v>50082125</v>
      </c>
      <c r="X1046" t="s">
        <v>704</v>
      </c>
      <c r="Y1046">
        <f>VLOOKUP(W1046,Sheet2!A:D,3,0)</f>
        <v>50082184</v>
      </c>
      <c r="Z1046" t="str">
        <f>VLOOKUP(W1046,Sheet2!A:D,4,0)</f>
        <v>LDPE: PURELL PE 1810 E</v>
      </c>
    </row>
    <row r="1047" spans="21:26" ht="15">
      <c r="U1047" s="63">
        <v>50082127</v>
      </c>
      <c r="V1047" s="64" t="s">
        <v>1435</v>
      </c>
      <c r="W1047">
        <v>50082125</v>
      </c>
      <c r="X1047" t="s">
        <v>704</v>
      </c>
      <c r="Y1047">
        <f>VLOOKUP(W1047,Sheet2!A:D,3,0)</f>
        <v>50082184</v>
      </c>
      <c r="Z1047" t="str">
        <f>VLOOKUP(W1047,Sheet2!A:D,4,0)</f>
        <v>LDPE: PURELL PE 1810 E</v>
      </c>
    </row>
    <row r="1048" spans="21:26" ht="15">
      <c r="U1048" s="63">
        <v>50082129</v>
      </c>
      <c r="V1048" s="64" t="s">
        <v>1436</v>
      </c>
      <c r="W1048">
        <v>50082128</v>
      </c>
      <c r="X1048" t="s">
        <v>705</v>
      </c>
      <c r="Y1048">
        <f>VLOOKUP(W1048,Sheet2!A:D,3,0)</f>
        <v>50082184</v>
      </c>
      <c r="Z1048" t="str">
        <f>VLOOKUP(W1048,Sheet2!A:D,4,0)</f>
        <v>LDPE: PURELL PE 1810 E</v>
      </c>
    </row>
    <row r="1049" spans="21:26" ht="15">
      <c r="U1049" s="63">
        <v>50082130</v>
      </c>
      <c r="V1049" s="64" t="s">
        <v>1437</v>
      </c>
      <c r="W1049">
        <v>50082128</v>
      </c>
      <c r="X1049" t="s">
        <v>705</v>
      </c>
      <c r="Y1049">
        <f>VLOOKUP(W1049,Sheet2!A:D,3,0)</f>
        <v>50082184</v>
      </c>
      <c r="Z1049" t="str">
        <f>VLOOKUP(W1049,Sheet2!A:D,4,0)</f>
        <v>LDPE: PURELL PE 1810 E</v>
      </c>
    </row>
    <row r="1050" spans="21:26" ht="15">
      <c r="U1050" s="63">
        <v>50082133</v>
      </c>
      <c r="V1050" s="64" t="s">
        <v>299</v>
      </c>
      <c r="W1050">
        <v>50082132</v>
      </c>
      <c r="X1050" t="s">
        <v>706</v>
      </c>
      <c r="Y1050">
        <f>VLOOKUP(W1050,Sheet2!A:D,3,0)</f>
        <v>50082184</v>
      </c>
      <c r="Z1050" t="str">
        <f>VLOOKUP(W1050,Sheet2!A:D,4,0)</f>
        <v>LDPE: PURELL PE 1810 E</v>
      </c>
    </row>
    <row r="1051" spans="21:26" ht="15">
      <c r="U1051" s="63">
        <v>50082134</v>
      </c>
      <c r="V1051" s="64" t="s">
        <v>1438</v>
      </c>
      <c r="W1051">
        <v>50082132</v>
      </c>
      <c r="X1051" t="s">
        <v>706</v>
      </c>
      <c r="Y1051">
        <f>VLOOKUP(W1051,Sheet2!A:D,3,0)</f>
        <v>50082184</v>
      </c>
      <c r="Z1051" t="str">
        <f>VLOOKUP(W1051,Sheet2!A:D,4,0)</f>
        <v>LDPE: PURELL PE 1810 E</v>
      </c>
    </row>
    <row r="1052" spans="21:26" ht="15">
      <c r="U1052" s="63">
        <v>50082139</v>
      </c>
      <c r="V1052" s="64" t="s">
        <v>2166</v>
      </c>
      <c r="W1052">
        <v>50082138</v>
      </c>
      <c r="X1052" t="s">
        <v>707</v>
      </c>
      <c r="Y1052">
        <f>VLOOKUP(W1052,Sheet2!A:D,3,0)</f>
        <v>50082200</v>
      </c>
      <c r="Z1052" t="str">
        <f>VLOOKUP(W1052,Sheet2!A:D,4,0)</f>
        <v>HDPE: RELENE E52009</v>
      </c>
    </row>
    <row r="1053" spans="21:26" ht="15">
      <c r="U1053" s="63">
        <v>50082142</v>
      </c>
      <c r="V1053" s="64" t="s">
        <v>127</v>
      </c>
      <c r="W1053">
        <v>50082141</v>
      </c>
      <c r="X1053" t="s">
        <v>708</v>
      </c>
      <c r="Y1053">
        <f>VLOOKUP(W1053,Sheet2!A:D,3,0)</f>
        <v>50082184</v>
      </c>
      <c r="Z1053" t="str">
        <f>VLOOKUP(W1053,Sheet2!A:D,4,0)</f>
        <v>LDPE: PURELL PE 1810 E</v>
      </c>
    </row>
    <row r="1054" spans="21:26" ht="15">
      <c r="U1054" s="63">
        <v>50082143</v>
      </c>
      <c r="V1054" s="64" t="s">
        <v>1439</v>
      </c>
      <c r="W1054">
        <v>50082141</v>
      </c>
      <c r="X1054" t="s">
        <v>708</v>
      </c>
      <c r="Y1054">
        <f>VLOOKUP(W1054,Sheet2!A:D,3,0)</f>
        <v>50082184</v>
      </c>
      <c r="Z1054" t="str">
        <f>VLOOKUP(W1054,Sheet2!A:D,4,0)</f>
        <v>LDPE: PURELL PE 1810 E</v>
      </c>
    </row>
    <row r="1055" spans="21:26" ht="15">
      <c r="U1055" s="63">
        <v>50082148</v>
      </c>
      <c r="V1055" s="64" t="s">
        <v>1440</v>
      </c>
      <c r="W1055">
        <v>50082147</v>
      </c>
      <c r="X1055" t="s">
        <v>711</v>
      </c>
      <c r="Y1055">
        <f>VLOOKUP(W1055,Sheet2!A:D,3,0)</f>
        <v>50082184</v>
      </c>
      <c r="Z1055" t="str">
        <f>VLOOKUP(W1055,Sheet2!A:D,4,0)</f>
        <v>LDPE: PURELL PE 1810 E</v>
      </c>
    </row>
    <row r="1056" spans="21:26" ht="15">
      <c r="U1056" s="63">
        <v>50082149</v>
      </c>
      <c r="V1056" s="64" t="s">
        <v>1441</v>
      </c>
      <c r="W1056">
        <v>50082147</v>
      </c>
      <c r="X1056" t="s">
        <v>711</v>
      </c>
      <c r="Y1056">
        <f>VLOOKUP(W1056,Sheet2!A:D,3,0)</f>
        <v>50082184</v>
      </c>
      <c r="Z1056" t="str">
        <f>VLOOKUP(W1056,Sheet2!A:D,4,0)</f>
        <v>LDPE: PURELL PE 1810 E</v>
      </c>
    </row>
    <row r="1057" spans="21:26" ht="15">
      <c r="U1057" s="63">
        <v>50082156</v>
      </c>
      <c r="V1057" s="64" t="s">
        <v>138</v>
      </c>
      <c r="W1057">
        <v>50082155</v>
      </c>
      <c r="X1057" t="s">
        <v>78</v>
      </c>
      <c r="Y1057">
        <f>VLOOKUP(W1057,Sheet2!A:D,3,0)</f>
        <v>50082199</v>
      </c>
      <c r="Z1057" t="str">
        <f>VLOOKUP(W1057,Sheet2!A:D,4,0)</f>
        <v>HDPE: RELENE M60075</v>
      </c>
    </row>
    <row r="1058" spans="21:26" ht="15">
      <c r="U1058" s="63">
        <v>50082157</v>
      </c>
      <c r="V1058" s="64" t="s">
        <v>2167</v>
      </c>
      <c r="W1058">
        <v>50082155</v>
      </c>
      <c r="X1058" t="s">
        <v>78</v>
      </c>
      <c r="Y1058">
        <f>VLOOKUP(W1058,Sheet2!A:D,3,0)</f>
        <v>50082199</v>
      </c>
      <c r="Z1058" t="str">
        <f>VLOOKUP(W1058,Sheet2!A:D,4,0)</f>
        <v>HDPE: RELENE M60075</v>
      </c>
    </row>
    <row r="1059" spans="21:26" ht="15">
      <c r="U1059" s="63">
        <v>50082159</v>
      </c>
      <c r="V1059" s="64" t="s">
        <v>2168</v>
      </c>
      <c r="W1059">
        <v>50082158</v>
      </c>
      <c r="X1059" t="s">
        <v>713</v>
      </c>
      <c r="Y1059">
        <f>VLOOKUP(W1059,Sheet2!A:D,3,0)</f>
        <v>50082200</v>
      </c>
      <c r="Z1059" t="str">
        <f>VLOOKUP(W1059,Sheet2!A:D,4,0)</f>
        <v>HDPE: RELENE E52009</v>
      </c>
    </row>
    <row r="1060" spans="21:26" ht="15">
      <c r="U1060" s="63">
        <v>50082160</v>
      </c>
      <c r="V1060" s="64" t="s">
        <v>2169</v>
      </c>
      <c r="W1060">
        <v>50082158</v>
      </c>
      <c r="X1060" t="s">
        <v>713</v>
      </c>
      <c r="Y1060">
        <f>VLOOKUP(W1060,Sheet2!A:D,3,0)</f>
        <v>50082200</v>
      </c>
      <c r="Z1060" t="str">
        <f>VLOOKUP(W1060,Sheet2!A:D,4,0)</f>
        <v>HDPE: RELENE E52009</v>
      </c>
    </row>
    <row r="1061" spans="21:26" ht="15">
      <c r="U1061" s="63">
        <v>50082163</v>
      </c>
      <c r="V1061" s="64" t="s">
        <v>1442</v>
      </c>
      <c r="W1061">
        <v>50082162</v>
      </c>
      <c r="X1061" t="s">
        <v>321</v>
      </c>
      <c r="Y1061">
        <f>VLOOKUP(W1061,Sheet2!A:D,3,0)</f>
        <v>50082184</v>
      </c>
      <c r="Z1061" t="str">
        <f>VLOOKUP(W1061,Sheet2!A:D,4,0)</f>
        <v>LDPE: PURELL PE 1810 E</v>
      </c>
    </row>
    <row r="1062" spans="21:26" ht="15">
      <c r="U1062" s="63">
        <v>50082164</v>
      </c>
      <c r="V1062" s="64" t="s">
        <v>1443</v>
      </c>
      <c r="W1062">
        <v>50082162</v>
      </c>
      <c r="X1062" t="s">
        <v>321</v>
      </c>
      <c r="Y1062">
        <f>VLOOKUP(W1062,Sheet2!A:D,3,0)</f>
        <v>50082184</v>
      </c>
      <c r="Z1062" t="str">
        <f>VLOOKUP(W1062,Sheet2!A:D,4,0)</f>
        <v>LDPE: PURELL PE 1810 E</v>
      </c>
    </row>
    <row r="1063" spans="21:26" ht="15">
      <c r="U1063" s="63">
        <v>50082166</v>
      </c>
      <c r="V1063" s="64" t="s">
        <v>216</v>
      </c>
      <c r="W1063">
        <v>50082165</v>
      </c>
      <c r="X1063" t="s">
        <v>714</v>
      </c>
      <c r="Y1063">
        <f>VLOOKUP(W1063,Sheet2!A:D,3,0)</f>
        <v>50082184</v>
      </c>
      <c r="Z1063" t="str">
        <f>VLOOKUP(W1063,Sheet2!A:D,4,0)</f>
        <v>LDPE: PURELL PE 1810 E</v>
      </c>
    </row>
    <row r="1064" spans="21:26" ht="15">
      <c r="U1064" s="63">
        <v>50082167</v>
      </c>
      <c r="V1064" s="64" t="s">
        <v>116</v>
      </c>
      <c r="W1064">
        <v>50082165</v>
      </c>
      <c r="X1064" t="s">
        <v>714</v>
      </c>
      <c r="Y1064">
        <f>VLOOKUP(W1064,Sheet2!A:D,3,0)</f>
        <v>50082184</v>
      </c>
      <c r="Z1064" t="str">
        <f>VLOOKUP(W1064,Sheet2!A:D,4,0)</f>
        <v>LDPE: PURELL PE 1810 E</v>
      </c>
    </row>
    <row r="1065" spans="21:26" ht="15">
      <c r="U1065" s="63">
        <v>50082169</v>
      </c>
      <c r="V1065" s="64" t="s">
        <v>1444</v>
      </c>
      <c r="W1065">
        <v>50082168</v>
      </c>
      <c r="X1065" t="s">
        <v>715</v>
      </c>
      <c r="Y1065">
        <f>VLOOKUP(W1065,Sheet2!A:D,3,0)</f>
        <v>50082184</v>
      </c>
      <c r="Z1065" t="str">
        <f>VLOOKUP(W1065,Sheet2!A:D,4,0)</f>
        <v>LDPE: PURELL PE 1810 E</v>
      </c>
    </row>
    <row r="1066" spans="21:26" ht="15">
      <c r="U1066" s="63">
        <v>50082170</v>
      </c>
      <c r="V1066" s="64" t="s">
        <v>1445</v>
      </c>
      <c r="W1066">
        <v>50082168</v>
      </c>
      <c r="X1066" t="s">
        <v>715</v>
      </c>
      <c r="Y1066">
        <f>VLOOKUP(W1066,Sheet2!A:D,3,0)</f>
        <v>50082184</v>
      </c>
      <c r="Z1066" t="str">
        <f>VLOOKUP(W1066,Sheet2!A:D,4,0)</f>
        <v>LDPE: PURELL PE 1810 E</v>
      </c>
    </row>
    <row r="1067" spans="21:26" ht="15">
      <c r="U1067" s="63">
        <v>50082175</v>
      </c>
      <c r="V1067" s="64" t="s">
        <v>298</v>
      </c>
      <c r="W1067">
        <v>50082174</v>
      </c>
      <c r="X1067" t="s">
        <v>717</v>
      </c>
      <c r="Y1067">
        <f>VLOOKUP(W1067,Sheet2!A:D,3,0)</f>
        <v>50082184</v>
      </c>
      <c r="Z1067" t="str">
        <f>VLOOKUP(W1067,Sheet2!A:D,4,0)</f>
        <v>LDPE: PURELL PE 1810 E</v>
      </c>
    </row>
    <row r="1068" spans="21:26" ht="15">
      <c r="U1068" s="63">
        <v>50082176</v>
      </c>
      <c r="V1068" s="64" t="s">
        <v>1446</v>
      </c>
      <c r="W1068">
        <v>50082174</v>
      </c>
      <c r="X1068" t="s">
        <v>717</v>
      </c>
      <c r="Y1068">
        <f>VLOOKUP(W1068,Sheet2!A:D,3,0)</f>
        <v>50082184</v>
      </c>
      <c r="Z1068" t="str">
        <f>VLOOKUP(W1068,Sheet2!A:D,4,0)</f>
        <v>LDPE: PURELL PE 1810 E</v>
      </c>
    </row>
    <row r="1069" spans="21:26" ht="15">
      <c r="U1069" s="63">
        <v>50082186</v>
      </c>
      <c r="V1069" s="64" t="s">
        <v>128</v>
      </c>
      <c r="W1069">
        <v>50082185</v>
      </c>
      <c r="X1069" t="s">
        <v>722</v>
      </c>
      <c r="Y1069">
        <f>VLOOKUP(W1069,Sheet2!A:D,3,0)</f>
        <v>50082199</v>
      </c>
      <c r="Z1069" t="str">
        <f>VLOOKUP(W1069,Sheet2!A:D,4,0)</f>
        <v>HDPE: RELENE M60075</v>
      </c>
    </row>
    <row r="1070" spans="21:26" ht="15">
      <c r="U1070" s="63">
        <v>50082187</v>
      </c>
      <c r="V1070" s="64" t="s">
        <v>117</v>
      </c>
      <c r="W1070">
        <v>50082185</v>
      </c>
      <c r="X1070" t="s">
        <v>722</v>
      </c>
      <c r="Y1070">
        <f>VLOOKUP(W1070,Sheet2!A:D,3,0)</f>
        <v>50082199</v>
      </c>
      <c r="Z1070" t="str">
        <f>VLOOKUP(W1070,Sheet2!A:D,4,0)</f>
        <v>HDPE: RELENE M60075</v>
      </c>
    </row>
    <row r="1071" spans="21:26" ht="15">
      <c r="U1071" s="63">
        <v>50082211</v>
      </c>
      <c r="V1071" s="64" t="s">
        <v>2170</v>
      </c>
      <c r="W1071">
        <v>50082210</v>
      </c>
      <c r="X1071" t="s">
        <v>725</v>
      </c>
      <c r="Y1071">
        <f>VLOOKUP(W1071,Sheet2!A:D,3,0)</f>
        <v>50082200</v>
      </c>
      <c r="Z1071" t="str">
        <f>VLOOKUP(W1071,Sheet2!A:D,4,0)</f>
        <v>HDPE: RELENE E52009</v>
      </c>
    </row>
    <row r="1072" spans="21:26" ht="15">
      <c r="U1072" s="63">
        <v>50082212</v>
      </c>
      <c r="V1072" s="64" t="s">
        <v>2171</v>
      </c>
      <c r="W1072">
        <v>50082210</v>
      </c>
      <c r="X1072" t="s">
        <v>725</v>
      </c>
      <c r="Y1072">
        <f>VLOOKUP(W1072,Sheet2!A:D,3,0)</f>
        <v>50082200</v>
      </c>
      <c r="Z1072" t="str">
        <f>VLOOKUP(W1072,Sheet2!A:D,4,0)</f>
        <v>HDPE: RELENE E52009</v>
      </c>
    </row>
    <row r="1073" spans="21:26" ht="15">
      <c r="U1073" s="63">
        <v>50082214</v>
      </c>
      <c r="V1073" s="64" t="s">
        <v>2172</v>
      </c>
      <c r="W1073">
        <v>50082213</v>
      </c>
      <c r="X1073" t="s">
        <v>1712</v>
      </c>
      <c r="Y1073" t="e">
        <f>VLOOKUP(W1073,Sheet2!A:D,3,0)</f>
        <v>#N/A</v>
      </c>
      <c r="Z1073" t="e">
        <f>VLOOKUP(W1073,Sheet2!A:D,4,0)</f>
        <v>#N/A</v>
      </c>
    </row>
    <row r="1074" spans="21:26" ht="15">
      <c r="U1074" s="63">
        <v>50082215</v>
      </c>
      <c r="V1074" s="64" t="s">
        <v>2173</v>
      </c>
      <c r="W1074">
        <v>50082213</v>
      </c>
      <c r="X1074" t="s">
        <v>1712</v>
      </c>
      <c r="Y1074" t="e">
        <f>VLOOKUP(W1074,Sheet2!A:D,3,0)</f>
        <v>#N/A</v>
      </c>
      <c r="Z1074" t="e">
        <f>VLOOKUP(W1074,Sheet2!A:D,4,0)</f>
        <v>#N/A</v>
      </c>
    </row>
    <row r="1075" spans="21:26" ht="15">
      <c r="U1075" s="63">
        <v>50082232</v>
      </c>
      <c r="V1075" s="64" t="s">
        <v>2174</v>
      </c>
      <c r="W1075">
        <v>50082231</v>
      </c>
      <c r="X1075" t="s">
        <v>728</v>
      </c>
      <c r="Y1075">
        <f>VLOOKUP(W1075,Sheet2!A:D,3,0)</f>
        <v>50082183</v>
      </c>
      <c r="Z1075" t="str">
        <f>VLOOKUP(W1075,Sheet2!A:D,4,0)</f>
        <v>LDPE: PURELL PE 1840 H</v>
      </c>
    </row>
    <row r="1076" spans="21:26" ht="15">
      <c r="U1076" s="63">
        <v>50082233</v>
      </c>
      <c r="V1076" s="64" t="s">
        <v>2175</v>
      </c>
      <c r="W1076">
        <v>50081531</v>
      </c>
      <c r="X1076" t="s">
        <v>1373</v>
      </c>
      <c r="Y1076">
        <f>VLOOKUP(W1076,Sheet2!A:D,3,0)</f>
        <v>50082198</v>
      </c>
      <c r="Z1076" t="str">
        <f>VLOOKUP(W1076,Sheet2!A:D,4,0)</f>
        <v>LDPE: RELENE 22FA002</v>
      </c>
    </row>
    <row r="1077" spans="21:26" ht="15">
      <c r="U1077" s="63">
        <v>50082236</v>
      </c>
      <c r="V1077" s="64" t="s">
        <v>2176</v>
      </c>
      <c r="W1077">
        <v>50082227</v>
      </c>
      <c r="X1077" t="s">
        <v>727</v>
      </c>
      <c r="Y1077">
        <f>VLOOKUP(W1077,Sheet2!A:D,3,0)</f>
        <v>50082183</v>
      </c>
      <c r="Z1077" t="str">
        <f>VLOOKUP(W1077,Sheet2!A:D,4,0)</f>
        <v>LDPE: PURELL PE 1840 H</v>
      </c>
    </row>
    <row r="1078" spans="21:26" ht="15">
      <c r="U1078" s="63">
        <v>50082237</v>
      </c>
      <c r="V1078" s="64" t="s">
        <v>2177</v>
      </c>
      <c r="W1078">
        <v>50082227</v>
      </c>
      <c r="X1078" t="s">
        <v>727</v>
      </c>
      <c r="Y1078">
        <f>VLOOKUP(W1078,Sheet2!A:D,3,0)</f>
        <v>50082183</v>
      </c>
      <c r="Z1078" t="str">
        <f>VLOOKUP(W1078,Sheet2!A:D,4,0)</f>
        <v>LDPE: PURELL PE 1840 H</v>
      </c>
    </row>
    <row r="1079" spans="21:26" ht="15">
      <c r="U1079" s="63">
        <v>50082240</v>
      </c>
      <c r="V1079" s="64" t="s">
        <v>2178</v>
      </c>
      <c r="W1079">
        <v>50082239</v>
      </c>
      <c r="X1079" t="s">
        <v>729</v>
      </c>
      <c r="Y1079" t="e">
        <f>VLOOKUP(W1079,Sheet2!A:D,3,0)</f>
        <v>#N/A</v>
      </c>
      <c r="Z1079" t="e">
        <f>VLOOKUP(W1079,Sheet2!A:D,4,0)</f>
        <v>#N/A</v>
      </c>
    </row>
    <row r="1080" spans="21:26" ht="15">
      <c r="U1080" s="63">
        <v>50082242</v>
      </c>
      <c r="V1080" s="64" t="s">
        <v>2179</v>
      </c>
      <c r="W1080">
        <v>50082241</v>
      </c>
      <c r="X1080" t="s">
        <v>730</v>
      </c>
      <c r="Y1080">
        <f>VLOOKUP(W1080,Sheet2!A:D,3,0)</f>
        <v>50082183</v>
      </c>
      <c r="Z1080" t="str">
        <f>VLOOKUP(W1080,Sheet2!A:D,4,0)</f>
        <v>LDPE: PURELL PE 1840 H</v>
      </c>
    </row>
    <row r="1081" spans="21:26" ht="15">
      <c r="U1081" s="63">
        <v>50082243</v>
      </c>
      <c r="V1081" s="64" t="s">
        <v>2180</v>
      </c>
      <c r="W1081">
        <v>50082241</v>
      </c>
      <c r="X1081" t="s">
        <v>730</v>
      </c>
      <c r="Y1081">
        <f>VLOOKUP(W1081,Sheet2!A:D,3,0)</f>
        <v>50082183</v>
      </c>
      <c r="Z1081" t="str">
        <f>VLOOKUP(W1081,Sheet2!A:D,4,0)</f>
        <v>LDPE: PURELL PE 1840 H</v>
      </c>
    </row>
    <row r="1082" spans="21:26" ht="15">
      <c r="U1082" s="63">
        <v>50082248</v>
      </c>
      <c r="V1082" s="64" t="s">
        <v>2181</v>
      </c>
      <c r="W1082">
        <v>50082247</v>
      </c>
      <c r="X1082" t="s">
        <v>733</v>
      </c>
      <c r="Y1082" t="e">
        <f>VLOOKUP(W1082,Sheet2!A:D,3,0)</f>
        <v>#N/A</v>
      </c>
      <c r="Z1082" t="e">
        <f>VLOOKUP(W1082,Sheet2!A:D,4,0)</f>
        <v>#N/A</v>
      </c>
    </row>
    <row r="1083" spans="21:26" ht="15">
      <c r="U1083" s="63">
        <v>50082250</v>
      </c>
      <c r="V1083" s="64" t="s">
        <v>1448</v>
      </c>
      <c r="W1083">
        <v>50082249</v>
      </c>
      <c r="X1083" t="s">
        <v>1449</v>
      </c>
      <c r="Y1083">
        <f>VLOOKUP(W1083,Sheet2!A:D,3,0)</f>
        <v>50082198</v>
      </c>
      <c r="Z1083" t="str">
        <f>VLOOKUP(W1083,Sheet2!A:D,4,0)</f>
        <v>LDPE: RELENE 22FA002</v>
      </c>
    </row>
    <row r="1084" spans="21:26" ht="15">
      <c r="U1084" s="63">
        <v>50082253</v>
      </c>
      <c r="V1084" s="64" t="s">
        <v>1450</v>
      </c>
      <c r="W1084">
        <v>50082252</v>
      </c>
      <c r="X1084" t="s">
        <v>1451</v>
      </c>
      <c r="Y1084">
        <f>VLOOKUP(W1084,Sheet2!A:D,3,0)</f>
        <v>50082198</v>
      </c>
      <c r="Z1084" t="str">
        <f>VLOOKUP(W1084,Sheet2!A:D,4,0)</f>
        <v>LDPE: RELENE 22FA002</v>
      </c>
    </row>
    <row r="1085" spans="21:26" ht="15">
      <c r="U1085" s="63">
        <v>50082254</v>
      </c>
      <c r="V1085" s="64" t="s">
        <v>1452</v>
      </c>
      <c r="W1085">
        <v>50082252</v>
      </c>
      <c r="X1085" t="s">
        <v>1451</v>
      </c>
      <c r="Y1085">
        <f>VLOOKUP(W1085,Sheet2!A:D,3,0)</f>
        <v>50082198</v>
      </c>
      <c r="Z1085" t="str">
        <f>VLOOKUP(W1085,Sheet2!A:D,4,0)</f>
        <v>LDPE: RELENE 22FA002</v>
      </c>
    </row>
    <row r="1086" spans="21:26" ht="15">
      <c r="U1086" s="63">
        <v>50082260</v>
      </c>
      <c r="V1086" s="64" t="s">
        <v>1453</v>
      </c>
      <c r="W1086">
        <v>50082249</v>
      </c>
      <c r="X1086" t="s">
        <v>1449</v>
      </c>
      <c r="Y1086">
        <f>VLOOKUP(W1086,Sheet2!A:D,3,0)</f>
        <v>50082198</v>
      </c>
      <c r="Z1086" t="str">
        <f>VLOOKUP(W1086,Sheet2!A:D,4,0)</f>
        <v>LDPE: RELENE 22FA002</v>
      </c>
    </row>
    <row r="1087" spans="21:26" ht="15">
      <c r="U1087" s="63">
        <v>50082262</v>
      </c>
      <c r="V1087" s="64" t="s">
        <v>2182</v>
      </c>
      <c r="W1087">
        <v>50081760</v>
      </c>
      <c r="X1087" t="s">
        <v>590</v>
      </c>
      <c r="Y1087">
        <f>VLOOKUP(W1087,Sheet2!A:D,3,0)</f>
        <v>50082202</v>
      </c>
      <c r="Z1087" t="str">
        <f>VLOOKUP(W1087,Sheet2!A:D,4,0)</f>
        <v>HDPE: PURELL GC7260</v>
      </c>
    </row>
    <row r="1088" spans="21:26" ht="15">
      <c r="U1088" s="63">
        <v>50082263</v>
      </c>
      <c r="V1088" s="64" t="s">
        <v>2183</v>
      </c>
      <c r="W1088">
        <v>50081760</v>
      </c>
      <c r="X1088" t="s">
        <v>590</v>
      </c>
      <c r="Y1088">
        <f>VLOOKUP(W1088,Sheet2!A:D,3,0)</f>
        <v>50082202</v>
      </c>
      <c r="Z1088" t="str">
        <f>VLOOKUP(W1088,Sheet2!A:D,4,0)</f>
        <v>HDPE: PURELL GC7260</v>
      </c>
    </row>
    <row r="1089" spans="21:26" ht="15">
      <c r="U1089" s="63">
        <v>50082373</v>
      </c>
      <c r="V1089" s="64" t="s">
        <v>213</v>
      </c>
      <c r="W1089">
        <v>50082372</v>
      </c>
      <c r="X1089" t="s">
        <v>739</v>
      </c>
      <c r="Y1089">
        <f>VLOOKUP(W1089,Sheet2!A:D,3,0)</f>
        <v>50082200</v>
      </c>
      <c r="Z1089" t="str">
        <f>VLOOKUP(W1089,Sheet2!A:D,4,0)</f>
        <v>HDPE: RELENE E52009</v>
      </c>
    </row>
    <row r="1090" spans="21:26" ht="15">
      <c r="U1090" s="63">
        <v>50082375</v>
      </c>
      <c r="V1090" s="64" t="s">
        <v>214</v>
      </c>
      <c r="W1090">
        <v>50082374</v>
      </c>
      <c r="X1090" t="s">
        <v>740</v>
      </c>
      <c r="Y1090">
        <f>VLOOKUP(W1090,Sheet2!A:D,3,0)</f>
        <v>50082183</v>
      </c>
      <c r="Z1090" t="str">
        <f>VLOOKUP(W1090,Sheet2!A:D,4,0)</f>
        <v>LDPE: PURELL PE 1840 H</v>
      </c>
    </row>
    <row r="1091" spans="21:26" ht="15">
      <c r="U1091" s="63">
        <v>50082432</v>
      </c>
      <c r="V1091" s="64" t="s">
        <v>2184</v>
      </c>
      <c r="W1091">
        <v>50082431</v>
      </c>
      <c r="X1091" t="s">
        <v>741</v>
      </c>
      <c r="Y1091">
        <f>VLOOKUP(W1091,Sheet2!A:D,3,0)</f>
        <v>50082200</v>
      </c>
      <c r="Z1091" t="str">
        <f>VLOOKUP(W1091,Sheet2!A:D,4,0)</f>
        <v>HDPE: RELENE E52009</v>
      </c>
    </row>
    <row r="1092" spans="21:26" ht="15">
      <c r="U1092" s="63">
        <v>50082434</v>
      </c>
      <c r="V1092" s="64" t="s">
        <v>2185</v>
      </c>
      <c r="W1092">
        <v>50082322</v>
      </c>
      <c r="X1092" t="s">
        <v>735</v>
      </c>
      <c r="Y1092">
        <f>VLOOKUP(W1092,Sheet2!A:D,3,0)</f>
        <v>50082200</v>
      </c>
      <c r="Z1092" t="str">
        <f>VLOOKUP(W1092,Sheet2!A:D,4,0)</f>
        <v>HDPE: RELENE E52009</v>
      </c>
    </row>
    <row r="1093" spans="21:26" ht="15">
      <c r="U1093" s="63">
        <v>50082435</v>
      </c>
      <c r="V1093" s="64" t="s">
        <v>2186</v>
      </c>
      <c r="W1093">
        <v>50082322</v>
      </c>
      <c r="X1093" t="s">
        <v>735</v>
      </c>
      <c r="Y1093">
        <f>VLOOKUP(W1093,Sheet2!A:D,3,0)</f>
        <v>50082200</v>
      </c>
      <c r="Z1093" t="str">
        <f>VLOOKUP(W1093,Sheet2!A:D,4,0)</f>
        <v>HDPE: RELENE E52009</v>
      </c>
    </row>
    <row r="1094" spans="21:26" ht="15">
      <c r="U1094" s="63">
        <v>50083038</v>
      </c>
      <c r="V1094" s="64" t="s">
        <v>2187</v>
      </c>
      <c r="W1094">
        <v>50082447</v>
      </c>
      <c r="X1094" t="s">
        <v>742</v>
      </c>
      <c r="Y1094">
        <f>VLOOKUP(W1094,Sheet2!A:D,3,0)</f>
        <v>50082202</v>
      </c>
      <c r="Z1094" t="str">
        <f>VLOOKUP(W1094,Sheet2!A:D,4,0)</f>
        <v>HDPE: PURELL GC7260</v>
      </c>
    </row>
    <row r="1095" spans="21:26" ht="15">
      <c r="U1095" s="63">
        <v>50083040</v>
      </c>
      <c r="V1095" s="64" t="s">
        <v>2188</v>
      </c>
      <c r="W1095">
        <v>50082447</v>
      </c>
      <c r="X1095" t="s">
        <v>742</v>
      </c>
      <c r="Y1095">
        <f>VLOOKUP(W1095,Sheet2!A:D,3,0)</f>
        <v>50082202</v>
      </c>
      <c r="Z1095" t="str">
        <f>VLOOKUP(W1095,Sheet2!A:D,4,0)</f>
        <v>HDPE: PURELL GC7260</v>
      </c>
    </row>
    <row r="1096" spans="21:26" ht="15">
      <c r="U1096" s="63">
        <v>50083050</v>
      </c>
      <c r="V1096" s="64" t="s">
        <v>2189</v>
      </c>
      <c r="W1096">
        <v>50083049</v>
      </c>
      <c r="X1096" t="s">
        <v>744</v>
      </c>
      <c r="Y1096">
        <f>VLOOKUP(W1096,Sheet2!A:D,3,0)</f>
        <v>50082184</v>
      </c>
      <c r="Z1096" t="str">
        <f>VLOOKUP(W1096,Sheet2!A:D,4,0)</f>
        <v>LDPE: PURELL PE 1810 E</v>
      </c>
    </row>
    <row r="1097" spans="21:26" ht="15">
      <c r="U1097" s="63">
        <v>50083051</v>
      </c>
      <c r="V1097" s="64" t="s">
        <v>2190</v>
      </c>
      <c r="W1097">
        <v>50083049</v>
      </c>
      <c r="X1097" t="s">
        <v>744</v>
      </c>
      <c r="Y1097">
        <f>VLOOKUP(W1097,Sheet2!A:D,3,0)</f>
        <v>50082184</v>
      </c>
      <c r="Z1097" t="str">
        <f>VLOOKUP(W1097,Sheet2!A:D,4,0)</f>
        <v>LDPE: PURELL PE 1810 E</v>
      </c>
    </row>
    <row r="1098" spans="21:26" ht="15">
      <c r="U1098" s="63">
        <v>50083107</v>
      </c>
      <c r="V1098" s="64" t="s">
        <v>2191</v>
      </c>
      <c r="W1098">
        <v>50083105</v>
      </c>
      <c r="X1098" t="s">
        <v>745</v>
      </c>
      <c r="Y1098">
        <f>VLOOKUP(W1098,Sheet2!A:D,3,0)</f>
        <v>50082183</v>
      </c>
      <c r="Z1098" t="str">
        <f>VLOOKUP(W1098,Sheet2!A:D,4,0)</f>
        <v>LDPE: PURELL PE 1840 H</v>
      </c>
    </row>
    <row r="1099" spans="21:26" ht="15">
      <c r="U1099" s="63">
        <v>50083108</v>
      </c>
      <c r="V1099" s="64" t="s">
        <v>2192</v>
      </c>
      <c r="W1099">
        <v>50083105</v>
      </c>
      <c r="X1099" t="s">
        <v>745</v>
      </c>
      <c r="Y1099">
        <f>VLOOKUP(W1099,Sheet2!A:D,3,0)</f>
        <v>50082183</v>
      </c>
      <c r="Z1099" t="str">
        <f>VLOOKUP(W1099,Sheet2!A:D,4,0)</f>
        <v>LDPE: PURELL PE 1840 H</v>
      </c>
    </row>
    <row r="1100" spans="21:26" ht="15">
      <c r="U1100" s="63">
        <v>50083110</v>
      </c>
      <c r="V1100" s="64" t="s">
        <v>2193</v>
      </c>
      <c r="W1100">
        <v>50083109</v>
      </c>
      <c r="X1100" t="s">
        <v>746</v>
      </c>
      <c r="Y1100">
        <f>VLOOKUP(W1100,Sheet2!A:D,3,0)</f>
        <v>50082183</v>
      </c>
      <c r="Z1100" t="str">
        <f>VLOOKUP(W1100,Sheet2!A:D,4,0)</f>
        <v>LDPE: PURELL PE 1840 H</v>
      </c>
    </row>
    <row r="1101" spans="21:26" ht="15">
      <c r="U1101" s="63">
        <v>50083111</v>
      </c>
      <c r="V1101" s="64" t="s">
        <v>2194</v>
      </c>
      <c r="W1101">
        <v>50083109</v>
      </c>
      <c r="X1101" t="s">
        <v>746</v>
      </c>
      <c r="Y1101">
        <f>VLOOKUP(W1101,Sheet2!A:D,3,0)</f>
        <v>50082183</v>
      </c>
      <c r="Z1101" t="str">
        <f>VLOOKUP(W1101,Sheet2!A:D,4,0)</f>
        <v>LDPE: PURELL PE 1840 H</v>
      </c>
    </row>
    <row r="1102" spans="21:26" ht="15">
      <c r="U1102" s="63">
        <v>50083263</v>
      </c>
      <c r="V1102" s="64" t="s">
        <v>490</v>
      </c>
      <c r="W1102">
        <v>50083262</v>
      </c>
      <c r="X1102" t="s">
        <v>750</v>
      </c>
      <c r="Y1102">
        <f>VLOOKUP(W1102,Sheet2!A:D,3,0)</f>
        <v>50082184</v>
      </c>
      <c r="Z1102" t="str">
        <f>VLOOKUP(W1102,Sheet2!A:D,4,0)</f>
        <v>LDPE: PURELL PE 1810 E</v>
      </c>
    </row>
    <row r="1103" spans="21:26" ht="15">
      <c r="U1103" s="63">
        <v>50083264</v>
      </c>
      <c r="V1103" s="64" t="s">
        <v>1458</v>
      </c>
      <c r="W1103">
        <v>50083262</v>
      </c>
      <c r="X1103" t="s">
        <v>750</v>
      </c>
      <c r="Y1103">
        <f>VLOOKUP(W1103,Sheet2!A:D,3,0)</f>
        <v>50082184</v>
      </c>
      <c r="Z1103" t="str">
        <f>VLOOKUP(W1103,Sheet2!A:D,4,0)</f>
        <v>LDPE: PURELL PE 1810 E</v>
      </c>
    </row>
    <row r="1104" spans="21:26" ht="15">
      <c r="U1104" s="63">
        <v>50083266</v>
      </c>
      <c r="V1104" s="64" t="s">
        <v>73</v>
      </c>
      <c r="W1104">
        <v>50083265</v>
      </c>
      <c r="X1104" t="s">
        <v>320</v>
      </c>
      <c r="Y1104">
        <f>VLOOKUP(W1104,Sheet2!A:D,3,0)</f>
        <v>50082184</v>
      </c>
      <c r="Z1104" t="str">
        <f>VLOOKUP(W1104,Sheet2!A:D,4,0)</f>
        <v>LDPE: PURELL PE 1810 E</v>
      </c>
    </row>
    <row r="1105" spans="21:26" ht="15">
      <c r="U1105" s="63">
        <v>50083267</v>
      </c>
      <c r="V1105" s="64" t="s">
        <v>1459</v>
      </c>
      <c r="W1105">
        <v>50083265</v>
      </c>
      <c r="X1105" t="s">
        <v>320</v>
      </c>
      <c r="Y1105">
        <f>VLOOKUP(W1105,Sheet2!A:D,3,0)</f>
        <v>50082184</v>
      </c>
      <c r="Z1105" t="str">
        <f>VLOOKUP(W1105,Sheet2!A:D,4,0)</f>
        <v>LDPE: PURELL PE 1810 E</v>
      </c>
    </row>
    <row r="1106" spans="21:26" ht="15">
      <c r="U1106" s="63">
        <v>50083287</v>
      </c>
      <c r="V1106" s="64" t="s">
        <v>370</v>
      </c>
      <c r="W1106">
        <v>50083286</v>
      </c>
      <c r="X1106" t="s">
        <v>753</v>
      </c>
      <c r="Y1106">
        <f>VLOOKUP(W1106,Sheet2!A:D,3,0)</f>
        <v>50082183</v>
      </c>
      <c r="Z1106" t="str">
        <f>VLOOKUP(W1106,Sheet2!A:D,4,0)</f>
        <v>LDPE: PURELL PE 1840 H</v>
      </c>
    </row>
    <row r="1107" spans="21:26" ht="15">
      <c r="U1107" s="63">
        <v>50083289</v>
      </c>
      <c r="V1107" s="64" t="s">
        <v>24</v>
      </c>
      <c r="W1107">
        <v>50083268</v>
      </c>
      <c r="X1107" t="s">
        <v>751</v>
      </c>
      <c r="Y1107">
        <f>VLOOKUP(W1107,Sheet2!A:D,3,0)</f>
        <v>50082183</v>
      </c>
      <c r="Z1107" t="str">
        <f>VLOOKUP(W1107,Sheet2!A:D,4,0)</f>
        <v>LDPE: PURELL PE 1840 H</v>
      </c>
    </row>
    <row r="1108" spans="21:26" ht="15">
      <c r="U1108" s="63">
        <v>50083290</v>
      </c>
      <c r="V1108" s="64" t="s">
        <v>98</v>
      </c>
      <c r="W1108">
        <v>50083268</v>
      </c>
      <c r="X1108" t="s">
        <v>751</v>
      </c>
      <c r="Y1108">
        <f>VLOOKUP(W1108,Sheet2!A:D,3,0)</f>
        <v>50082183</v>
      </c>
      <c r="Z1108" t="str">
        <f>VLOOKUP(W1108,Sheet2!A:D,4,0)</f>
        <v>LDPE: PURELL PE 1840 H</v>
      </c>
    </row>
    <row r="1109" spans="21:26" ht="15">
      <c r="U1109" s="63">
        <v>50083291</v>
      </c>
      <c r="V1109" s="64" t="s">
        <v>25</v>
      </c>
      <c r="W1109">
        <v>50083269</v>
      </c>
      <c r="X1109" t="s">
        <v>752</v>
      </c>
      <c r="Y1109">
        <f>VLOOKUP(W1109,Sheet2!A:D,3,0)</f>
        <v>50082183</v>
      </c>
      <c r="Z1109" t="str">
        <f>VLOOKUP(W1109,Sheet2!A:D,4,0)</f>
        <v>LDPE: PURELL PE 1840 H</v>
      </c>
    </row>
    <row r="1110" spans="21:26" ht="15">
      <c r="U1110" s="63">
        <v>50083292</v>
      </c>
      <c r="V1110" s="64" t="s">
        <v>2195</v>
      </c>
      <c r="W1110">
        <v>50083269</v>
      </c>
      <c r="X1110" t="s">
        <v>752</v>
      </c>
      <c r="Y1110">
        <f>VLOOKUP(W1110,Sheet2!A:D,3,0)</f>
        <v>50082183</v>
      </c>
      <c r="Z1110" t="str">
        <f>VLOOKUP(W1110,Sheet2!A:D,4,0)</f>
        <v>LDPE: PURELL PE 1840 H</v>
      </c>
    </row>
    <row r="1111" spans="21:26" ht="15">
      <c r="U1111" s="63">
        <v>50083294</v>
      </c>
      <c r="V1111" s="64" t="s">
        <v>2196</v>
      </c>
      <c r="W1111">
        <v>50083293</v>
      </c>
      <c r="X1111" t="s">
        <v>754</v>
      </c>
      <c r="Y1111">
        <f>VLOOKUP(W1111,Sheet2!A:D,3,0)</f>
        <v>50082202</v>
      </c>
      <c r="Z1111" t="str">
        <f>VLOOKUP(W1111,Sheet2!A:D,4,0)</f>
        <v>HDPE: PURELL GC7260</v>
      </c>
    </row>
    <row r="1112" spans="21:26" ht="15">
      <c r="U1112" s="63">
        <v>50083295</v>
      </c>
      <c r="V1112" s="64" t="s">
        <v>2197</v>
      </c>
      <c r="W1112">
        <v>50083293</v>
      </c>
      <c r="X1112" t="s">
        <v>754</v>
      </c>
      <c r="Y1112">
        <f>VLOOKUP(W1112,Sheet2!A:D,3,0)</f>
        <v>50082202</v>
      </c>
      <c r="Z1112" t="str">
        <f>VLOOKUP(W1112,Sheet2!A:D,4,0)</f>
        <v>HDPE: PURELL GC7260</v>
      </c>
    </row>
    <row r="1113" spans="21:26" ht="15">
      <c r="U1113" s="63">
        <v>50083299</v>
      </c>
      <c r="V1113" s="64" t="s">
        <v>1460</v>
      </c>
      <c r="W1113">
        <v>50083298</v>
      </c>
      <c r="X1113" t="s">
        <v>755</v>
      </c>
      <c r="Y1113">
        <f>VLOOKUP(W1113,Sheet2!A:D,3,0)</f>
        <v>50082183</v>
      </c>
      <c r="Z1113" t="str">
        <f>VLOOKUP(W1113,Sheet2!A:D,4,0)</f>
        <v>LDPE: PURELL PE 1840 H</v>
      </c>
    </row>
    <row r="1114" spans="21:26" ht="15">
      <c r="U1114" s="63">
        <v>50083300</v>
      </c>
      <c r="V1114" s="64" t="s">
        <v>1461</v>
      </c>
      <c r="W1114">
        <v>50083298</v>
      </c>
      <c r="X1114" t="s">
        <v>755</v>
      </c>
      <c r="Y1114">
        <f>VLOOKUP(W1114,Sheet2!A:D,3,0)</f>
        <v>50082183</v>
      </c>
      <c r="Z1114" t="str">
        <f>VLOOKUP(W1114,Sheet2!A:D,4,0)</f>
        <v>LDPE: PURELL PE 1840 H</v>
      </c>
    </row>
    <row r="1115" spans="21:26" ht="15">
      <c r="U1115" s="63">
        <v>50083314</v>
      </c>
      <c r="V1115" s="64" t="s">
        <v>1462</v>
      </c>
      <c r="W1115">
        <v>50083313</v>
      </c>
      <c r="X1115" t="s">
        <v>756</v>
      </c>
      <c r="Y1115">
        <f>VLOOKUP(W1115,Sheet2!A:D,3,0)</f>
        <v>50082184</v>
      </c>
      <c r="Z1115" t="str">
        <f>VLOOKUP(W1115,Sheet2!A:D,4,0)</f>
        <v>LDPE: PURELL PE 1810 E</v>
      </c>
    </row>
    <row r="1116" spans="21:26" ht="15">
      <c r="U1116" s="63">
        <v>50083322</v>
      </c>
      <c r="V1116" s="64" t="s">
        <v>2198</v>
      </c>
      <c r="W1116">
        <v>50083321</v>
      </c>
      <c r="X1116" t="s">
        <v>757</v>
      </c>
      <c r="Y1116">
        <f>VLOOKUP(W1116,Sheet2!A:D,3,0)</f>
        <v>50082183</v>
      </c>
      <c r="Z1116" t="str">
        <f>VLOOKUP(W1116,Sheet2!A:D,4,0)</f>
        <v>LDPE: PURELL PE 1840 H</v>
      </c>
    </row>
    <row r="1117" spans="21:26" ht="15">
      <c r="U1117" s="63">
        <v>50083323</v>
      </c>
      <c r="V1117" s="64" t="s">
        <v>2199</v>
      </c>
      <c r="W1117">
        <v>50083321</v>
      </c>
      <c r="X1117" t="s">
        <v>757</v>
      </c>
      <c r="Y1117">
        <f>VLOOKUP(W1117,Sheet2!A:D,3,0)</f>
        <v>50082183</v>
      </c>
      <c r="Z1117" t="str">
        <f>VLOOKUP(W1117,Sheet2!A:D,4,0)</f>
        <v>LDPE: PURELL PE 1840 H</v>
      </c>
    </row>
    <row r="1118" spans="21:26" ht="15">
      <c r="U1118" s="63">
        <v>50083325</v>
      </c>
      <c r="V1118" s="64" t="s">
        <v>2200</v>
      </c>
      <c r="W1118">
        <v>50083324</v>
      </c>
      <c r="X1118" t="s">
        <v>758</v>
      </c>
      <c r="Y1118">
        <f>VLOOKUP(W1118,Sheet2!A:D,3,0)</f>
        <v>50082183</v>
      </c>
      <c r="Z1118" t="str">
        <f>VLOOKUP(W1118,Sheet2!A:D,4,0)</f>
        <v>LDPE: PURELL PE 1840 H</v>
      </c>
    </row>
    <row r="1119" spans="21:26" ht="15">
      <c r="U1119" s="63">
        <v>50083326</v>
      </c>
      <c r="V1119" s="64" t="s">
        <v>2201</v>
      </c>
      <c r="W1119">
        <v>50083324</v>
      </c>
      <c r="X1119" t="s">
        <v>758</v>
      </c>
      <c r="Y1119">
        <f>VLOOKUP(W1119,Sheet2!A:D,3,0)</f>
        <v>50082183</v>
      </c>
      <c r="Z1119" t="str">
        <f>VLOOKUP(W1119,Sheet2!A:D,4,0)</f>
        <v>LDPE: PURELL PE 1840 H</v>
      </c>
    </row>
    <row r="1120" spans="21:26" ht="15">
      <c r="U1120" s="63">
        <v>50083337</v>
      </c>
      <c r="V1120" s="64" t="s">
        <v>2202</v>
      </c>
      <c r="W1120">
        <v>50083336</v>
      </c>
      <c r="X1120" t="s">
        <v>759</v>
      </c>
      <c r="Y1120">
        <f>VLOOKUP(W1120,Sheet2!A:D,3,0)</f>
        <v>50082183</v>
      </c>
      <c r="Z1120" t="str">
        <f>VLOOKUP(W1120,Sheet2!A:D,4,0)</f>
        <v>LDPE: PURELL PE 1840 H</v>
      </c>
    </row>
    <row r="1121" spans="21:26" ht="15">
      <c r="U1121" s="63">
        <v>50091631</v>
      </c>
      <c r="V1121" s="64" t="s">
        <v>476</v>
      </c>
      <c r="W1121">
        <v>50091630</v>
      </c>
      <c r="X1121" t="s">
        <v>760</v>
      </c>
      <c r="Y1121">
        <f>VLOOKUP(W1121,Sheet2!A:D,3,0)</f>
        <v>50082183</v>
      </c>
      <c r="Z1121" t="str">
        <f>VLOOKUP(W1121,Sheet2!A:D,4,0)</f>
        <v>LDPE: PURELL PE 1840 H</v>
      </c>
    </row>
    <row r="1122" spans="21:26" ht="15">
      <c r="U1122" s="63">
        <v>50091632</v>
      </c>
      <c r="V1122" s="64" t="s">
        <v>221</v>
      </c>
      <c r="W1122">
        <v>50091630</v>
      </c>
      <c r="X1122" t="s">
        <v>760</v>
      </c>
      <c r="Y1122">
        <f>VLOOKUP(W1122,Sheet2!A:D,3,0)</f>
        <v>50082183</v>
      </c>
      <c r="Z1122" t="str">
        <f>VLOOKUP(W1122,Sheet2!A:D,4,0)</f>
        <v>LDPE: PURELL PE 1840 H</v>
      </c>
    </row>
    <row r="1123" spans="21:26" ht="15">
      <c r="U1123" s="63">
        <v>50091672</v>
      </c>
      <c r="V1123" s="64" t="s">
        <v>108</v>
      </c>
      <c r="W1123">
        <v>50091633</v>
      </c>
      <c r="X1123" t="s">
        <v>761</v>
      </c>
      <c r="Y1123">
        <f>VLOOKUP(W1123,Sheet2!A:D,3,0)</f>
        <v>50082183</v>
      </c>
      <c r="Z1123" t="str">
        <f>VLOOKUP(W1123,Sheet2!A:D,4,0)</f>
        <v>LDPE: PURELL PE 1840 H</v>
      </c>
    </row>
    <row r="1124" spans="21:26" ht="15">
      <c r="U1124" s="63">
        <v>50091673</v>
      </c>
      <c r="V1124" s="64" t="s">
        <v>2</v>
      </c>
      <c r="W1124">
        <v>50091633</v>
      </c>
      <c r="X1124" t="s">
        <v>761</v>
      </c>
      <c r="Y1124">
        <f>VLOOKUP(W1124,Sheet2!A:D,3,0)</f>
        <v>50082183</v>
      </c>
      <c r="Z1124" t="str">
        <f>VLOOKUP(W1124,Sheet2!A:D,4,0)</f>
        <v>LDPE: PURELL PE 1840 H</v>
      </c>
    </row>
    <row r="1125" spans="21:26" ht="15">
      <c r="U1125" s="63">
        <v>50091674</v>
      </c>
      <c r="V1125" s="64" t="s">
        <v>2203</v>
      </c>
      <c r="W1125">
        <v>50091634</v>
      </c>
      <c r="X1125" t="s">
        <v>762</v>
      </c>
      <c r="Y1125">
        <f>VLOOKUP(W1125,Sheet2!A:D,3,0)</f>
        <v>50082202</v>
      </c>
      <c r="Z1125" t="str">
        <f>VLOOKUP(W1125,Sheet2!A:D,4,0)</f>
        <v>HDPE: PURELL GC7260</v>
      </c>
    </row>
    <row r="1126" spans="21:26" ht="15">
      <c r="U1126" s="63">
        <v>50091675</v>
      </c>
      <c r="V1126" s="64" t="s">
        <v>2204</v>
      </c>
      <c r="W1126">
        <v>50091634</v>
      </c>
      <c r="X1126" t="s">
        <v>762</v>
      </c>
      <c r="Y1126">
        <f>VLOOKUP(W1126,Sheet2!A:D,3,0)</f>
        <v>50082202</v>
      </c>
      <c r="Z1126" t="str">
        <f>VLOOKUP(W1126,Sheet2!A:D,4,0)</f>
        <v>HDPE: PURELL GC7260</v>
      </c>
    </row>
    <row r="1127" spans="21:26" ht="15">
      <c r="U1127" s="63">
        <v>50091676</v>
      </c>
      <c r="V1127" s="64" t="s">
        <v>2205</v>
      </c>
      <c r="W1127">
        <v>50091635</v>
      </c>
      <c r="X1127" t="s">
        <v>763</v>
      </c>
      <c r="Y1127">
        <f>VLOOKUP(W1127,Sheet2!A:D,3,0)</f>
        <v>50082202</v>
      </c>
      <c r="Z1127" t="str">
        <f>VLOOKUP(W1127,Sheet2!A:D,4,0)</f>
        <v>HDPE: PURELL GC7260</v>
      </c>
    </row>
    <row r="1128" spans="21:26" ht="15">
      <c r="U1128" s="63">
        <v>50091677</v>
      </c>
      <c r="V1128" s="64" t="s">
        <v>2206</v>
      </c>
      <c r="W1128">
        <v>50091635</v>
      </c>
      <c r="X1128" t="s">
        <v>763</v>
      </c>
      <c r="Y1128">
        <f>VLOOKUP(W1128,Sheet2!A:D,3,0)</f>
        <v>50082202</v>
      </c>
      <c r="Z1128" t="str">
        <f>VLOOKUP(W1128,Sheet2!A:D,4,0)</f>
        <v>HDPE: PURELL GC7260</v>
      </c>
    </row>
    <row r="1129" spans="21:26" ht="15">
      <c r="U1129" s="63">
        <v>50091678</v>
      </c>
      <c r="V1129" s="64" t="s">
        <v>2207</v>
      </c>
      <c r="W1129">
        <v>50091636</v>
      </c>
      <c r="X1129" t="s">
        <v>764</v>
      </c>
      <c r="Y1129">
        <f>VLOOKUP(W1129,Sheet2!A:D,3,0)</f>
        <v>50082202</v>
      </c>
      <c r="Z1129" t="str">
        <f>VLOOKUP(W1129,Sheet2!A:D,4,0)</f>
        <v>HDPE: PURELL GC7260</v>
      </c>
    </row>
    <row r="1130" spans="21:26" ht="15">
      <c r="U1130" s="63">
        <v>50091679</v>
      </c>
      <c r="V1130" s="64" t="s">
        <v>2208</v>
      </c>
      <c r="W1130">
        <v>50091636</v>
      </c>
      <c r="X1130" t="s">
        <v>764</v>
      </c>
      <c r="Y1130">
        <f>VLOOKUP(W1130,Sheet2!A:D,3,0)</f>
        <v>50082202</v>
      </c>
      <c r="Z1130" t="str">
        <f>VLOOKUP(W1130,Sheet2!A:D,4,0)</f>
        <v>HDPE: PURELL GC7260</v>
      </c>
    </row>
    <row r="1131" spans="21:26" ht="15">
      <c r="U1131" s="63">
        <v>50091687</v>
      </c>
      <c r="V1131" s="64" t="s">
        <v>1465</v>
      </c>
      <c r="W1131">
        <v>50091686</v>
      </c>
      <c r="X1131" t="s">
        <v>766</v>
      </c>
      <c r="Y1131">
        <f>VLOOKUP(W1131,Sheet2!A:D,3,0)</f>
        <v>50082184</v>
      </c>
      <c r="Z1131" t="str">
        <f>VLOOKUP(W1131,Sheet2!A:D,4,0)</f>
        <v>LDPE: PURELL PE 1810 E</v>
      </c>
    </row>
    <row r="1132" spans="21:26" ht="15">
      <c r="U1132" s="63">
        <v>50091688</v>
      </c>
      <c r="V1132" s="64" t="s">
        <v>1466</v>
      </c>
      <c r="W1132">
        <v>50091686</v>
      </c>
      <c r="X1132" t="s">
        <v>766</v>
      </c>
      <c r="Y1132">
        <f>VLOOKUP(W1132,Sheet2!A:D,3,0)</f>
        <v>50082184</v>
      </c>
      <c r="Z1132" t="str">
        <f>VLOOKUP(W1132,Sheet2!A:D,4,0)</f>
        <v>LDPE: PURELL PE 1810 E</v>
      </c>
    </row>
    <row r="1133" spans="21:26" ht="15">
      <c r="U1133" s="63">
        <v>50091791</v>
      </c>
      <c r="V1133" s="64" t="s">
        <v>1467</v>
      </c>
      <c r="W1133">
        <v>50091694</v>
      </c>
      <c r="X1133" t="s">
        <v>767</v>
      </c>
      <c r="Y1133">
        <f>VLOOKUP(W1133,Sheet2!A:D,3,0)</f>
        <v>50082184</v>
      </c>
      <c r="Z1133" t="str">
        <f>VLOOKUP(W1133,Sheet2!A:D,4,0)</f>
        <v>LDPE: PURELL PE 1810 E</v>
      </c>
    </row>
    <row r="1134" spans="21:26" ht="15">
      <c r="U1134" s="63">
        <v>50091792</v>
      </c>
      <c r="V1134" s="64" t="s">
        <v>1468</v>
      </c>
      <c r="W1134">
        <v>50091694</v>
      </c>
      <c r="X1134" t="s">
        <v>767</v>
      </c>
      <c r="Y1134">
        <f>VLOOKUP(W1134,Sheet2!A:D,3,0)</f>
        <v>50082184</v>
      </c>
      <c r="Z1134" t="str">
        <f>VLOOKUP(W1134,Sheet2!A:D,4,0)</f>
        <v>LDPE: PURELL PE 1810 E</v>
      </c>
    </row>
    <row r="1135" spans="21:26" ht="15">
      <c r="U1135" s="63">
        <v>50092028</v>
      </c>
      <c r="V1135" s="64" t="s">
        <v>2209</v>
      </c>
      <c r="W1135">
        <v>50092027</v>
      </c>
      <c r="X1135" t="s">
        <v>770</v>
      </c>
      <c r="Y1135">
        <f>VLOOKUP(W1135,Sheet2!A:D,3,0)</f>
        <v>50082202</v>
      </c>
      <c r="Z1135" t="str">
        <f>VLOOKUP(W1135,Sheet2!A:D,4,0)</f>
        <v>HDPE: PURELL GC7260</v>
      </c>
    </row>
    <row r="1136" spans="21:26" ht="15">
      <c r="U1136" s="63">
        <v>50092032</v>
      </c>
      <c r="V1136" s="64" t="s">
        <v>2210</v>
      </c>
      <c r="W1136">
        <v>50092027</v>
      </c>
      <c r="X1136" t="s">
        <v>770</v>
      </c>
      <c r="Y1136">
        <f>VLOOKUP(W1136,Sheet2!A:D,3,0)</f>
        <v>50082202</v>
      </c>
      <c r="Z1136" t="str">
        <f>VLOOKUP(W1136,Sheet2!A:D,4,0)</f>
        <v>HDPE: PURELL GC7260</v>
      </c>
    </row>
    <row r="1137" spans="21:26" ht="15">
      <c r="U1137" s="63">
        <v>50092186</v>
      </c>
      <c r="V1137" s="64" t="s">
        <v>2211</v>
      </c>
      <c r="W1137">
        <v>50092185</v>
      </c>
      <c r="X1137" t="s">
        <v>773</v>
      </c>
      <c r="Y1137">
        <f>VLOOKUP(W1137,Sheet2!A:D,3,0)</f>
        <v>50082183</v>
      </c>
      <c r="Z1137" t="str">
        <f>VLOOKUP(W1137,Sheet2!A:D,4,0)</f>
        <v>LDPE: PURELL PE 1840 H</v>
      </c>
    </row>
    <row r="1138" spans="21:26" ht="15">
      <c r="U1138" s="63">
        <v>50092187</v>
      </c>
      <c r="V1138" s="64" t="s">
        <v>2212</v>
      </c>
      <c r="W1138">
        <v>50092185</v>
      </c>
      <c r="X1138" t="s">
        <v>773</v>
      </c>
      <c r="Y1138">
        <f>VLOOKUP(W1138,Sheet2!A:D,3,0)</f>
        <v>50082183</v>
      </c>
      <c r="Z1138" t="str">
        <f>VLOOKUP(W1138,Sheet2!A:D,4,0)</f>
        <v>LDPE: PURELL PE 1840 H</v>
      </c>
    </row>
    <row r="1139" spans="21:26" ht="15">
      <c r="U1139" s="63">
        <v>50092189</v>
      </c>
      <c r="V1139" s="64" t="s">
        <v>2213</v>
      </c>
      <c r="W1139">
        <v>50092188</v>
      </c>
      <c r="X1139" t="s">
        <v>774</v>
      </c>
      <c r="Y1139">
        <f>VLOOKUP(W1139,Sheet2!A:D,3,0)</f>
        <v>50082183</v>
      </c>
      <c r="Z1139" t="str">
        <f>VLOOKUP(W1139,Sheet2!A:D,4,0)</f>
        <v>LDPE: PURELL PE 1840 H</v>
      </c>
    </row>
    <row r="1140" spans="21:26" ht="15">
      <c r="U1140" s="63">
        <v>50092190</v>
      </c>
      <c r="V1140" s="64" t="s">
        <v>2214</v>
      </c>
      <c r="W1140">
        <v>50092188</v>
      </c>
      <c r="X1140" t="s">
        <v>774</v>
      </c>
      <c r="Y1140">
        <f>VLOOKUP(W1140,Sheet2!A:D,3,0)</f>
        <v>50082183</v>
      </c>
      <c r="Z1140" t="str">
        <f>VLOOKUP(W1140,Sheet2!A:D,4,0)</f>
        <v>LDPE: PURELL PE 1840 H</v>
      </c>
    </row>
    <row r="1141" spans="21:26" ht="15">
      <c r="U1141" s="63">
        <v>50092255</v>
      </c>
      <c r="V1141" s="64" t="s">
        <v>246</v>
      </c>
      <c r="W1141">
        <v>50092254</v>
      </c>
      <c r="X1141" t="s">
        <v>775</v>
      </c>
      <c r="Y1141">
        <f>VLOOKUP(W1141,Sheet2!A:D,3,0)</f>
        <v>50082200</v>
      </c>
      <c r="Z1141" t="str">
        <f>VLOOKUP(W1141,Sheet2!A:D,4,0)</f>
        <v>HDPE: RELENE E52009</v>
      </c>
    </row>
    <row r="1142" spans="21:26" ht="15">
      <c r="U1142" s="63">
        <v>50092256</v>
      </c>
      <c r="V1142" s="64" t="s">
        <v>2215</v>
      </c>
      <c r="W1142">
        <v>50092254</v>
      </c>
      <c r="X1142" t="s">
        <v>775</v>
      </c>
      <c r="Y1142">
        <f>VLOOKUP(W1142,Sheet2!A:D,3,0)</f>
        <v>50082200</v>
      </c>
      <c r="Z1142" t="str">
        <f>VLOOKUP(W1142,Sheet2!A:D,4,0)</f>
        <v>HDPE: RELENE E52009</v>
      </c>
    </row>
    <row r="1143" spans="21:26" ht="15">
      <c r="U1143" s="63">
        <v>50092422</v>
      </c>
      <c r="V1143" s="64" t="s">
        <v>396</v>
      </c>
      <c r="W1143">
        <v>50092421</v>
      </c>
      <c r="X1143" t="s">
        <v>777</v>
      </c>
      <c r="Y1143">
        <f>VLOOKUP(W1143,Sheet2!A:D,3,0)</f>
        <v>50082183</v>
      </c>
      <c r="Z1143" t="str">
        <f>VLOOKUP(W1143,Sheet2!A:D,4,0)</f>
        <v>LDPE: PURELL PE 1840 H</v>
      </c>
    </row>
    <row r="1144" spans="21:26" ht="15">
      <c r="U1144" s="63">
        <v>50092423</v>
      </c>
      <c r="V1144" s="64" t="s">
        <v>133</v>
      </c>
      <c r="W1144">
        <v>50092421</v>
      </c>
      <c r="X1144" t="s">
        <v>777</v>
      </c>
      <c r="Y1144">
        <f>VLOOKUP(W1144,Sheet2!A:D,3,0)</f>
        <v>50082183</v>
      </c>
      <c r="Z1144" t="str">
        <f>VLOOKUP(W1144,Sheet2!A:D,4,0)</f>
        <v>LDPE: PURELL PE 1840 H</v>
      </c>
    </row>
    <row r="1145" spans="21:26" ht="15">
      <c r="U1145" s="63">
        <v>50092446</v>
      </c>
      <c r="V1145" s="64" t="s">
        <v>2216</v>
      </c>
      <c r="W1145">
        <v>50092445</v>
      </c>
      <c r="X1145" t="s">
        <v>778</v>
      </c>
      <c r="Y1145">
        <f>VLOOKUP(W1145,Sheet2!A:D,3,0)</f>
        <v>50082183</v>
      </c>
      <c r="Z1145" t="str">
        <f>VLOOKUP(W1145,Sheet2!A:D,4,0)</f>
        <v>LDPE: PURELL PE 1840 H</v>
      </c>
    </row>
    <row r="1146" spans="21:26" ht="15">
      <c r="U1146" s="63">
        <v>50092447</v>
      </c>
      <c r="V1146" s="64" t="s">
        <v>2217</v>
      </c>
      <c r="W1146">
        <v>50092445</v>
      </c>
      <c r="X1146" t="s">
        <v>778</v>
      </c>
      <c r="Y1146">
        <f>VLOOKUP(W1146,Sheet2!A:D,3,0)</f>
        <v>50082183</v>
      </c>
      <c r="Z1146" t="str">
        <f>VLOOKUP(W1146,Sheet2!A:D,4,0)</f>
        <v>LDPE: PURELL PE 1840 H</v>
      </c>
    </row>
    <row r="1147" spans="21:26" ht="15">
      <c r="U1147" s="63">
        <v>50092554</v>
      </c>
      <c r="V1147" s="64" t="s">
        <v>120</v>
      </c>
      <c r="W1147">
        <v>50092553</v>
      </c>
      <c r="X1147" t="s">
        <v>781</v>
      </c>
      <c r="Y1147">
        <f>VLOOKUP(W1147,Sheet2!A:D,3,0)</f>
        <v>50082183</v>
      </c>
      <c r="Z1147" t="str">
        <f>VLOOKUP(W1147,Sheet2!A:D,4,0)</f>
        <v>LDPE: PURELL PE 1840 H</v>
      </c>
    </row>
    <row r="1148" spans="21:26" ht="15">
      <c r="U1148" s="63">
        <v>50092585</v>
      </c>
      <c r="V1148" s="64" t="s">
        <v>22</v>
      </c>
      <c r="W1148">
        <v>50092553</v>
      </c>
      <c r="X1148" t="s">
        <v>781</v>
      </c>
      <c r="Y1148">
        <f>VLOOKUP(W1148,Sheet2!A:D,3,0)</f>
        <v>50082183</v>
      </c>
      <c r="Z1148" t="str">
        <f>VLOOKUP(W1148,Sheet2!A:D,4,0)</f>
        <v>LDPE: PURELL PE 1840 H</v>
      </c>
    </row>
    <row r="1149" spans="21:26" ht="15">
      <c r="U1149" s="63">
        <v>50092963</v>
      </c>
      <c r="V1149" s="64" t="s">
        <v>2218</v>
      </c>
      <c r="W1149">
        <v>50092961</v>
      </c>
      <c r="X1149" t="s">
        <v>782</v>
      </c>
      <c r="Y1149">
        <f>VLOOKUP(W1149,Sheet2!A:D,3,0)</f>
        <v>50082184</v>
      </c>
      <c r="Z1149" t="str">
        <f>VLOOKUP(W1149,Sheet2!A:D,4,0)</f>
        <v>LDPE: PURELL PE 1810 E</v>
      </c>
    </row>
    <row r="1150" spans="21:26" ht="15">
      <c r="U1150" s="63">
        <v>50092964</v>
      </c>
      <c r="V1150" s="64" t="s">
        <v>2219</v>
      </c>
      <c r="W1150">
        <v>50092961</v>
      </c>
      <c r="X1150" t="s">
        <v>782</v>
      </c>
      <c r="Y1150">
        <f>VLOOKUP(W1150,Sheet2!A:D,3,0)</f>
        <v>50082184</v>
      </c>
      <c r="Z1150" t="str">
        <f>VLOOKUP(W1150,Sheet2!A:D,4,0)</f>
        <v>LDPE: PURELL PE 1810 E</v>
      </c>
    </row>
    <row r="1151" spans="21:26" ht="15">
      <c r="U1151" s="63">
        <v>50093028</v>
      </c>
      <c r="V1151" s="64" t="s">
        <v>2220</v>
      </c>
      <c r="W1151">
        <v>50093027</v>
      </c>
      <c r="X1151" t="s">
        <v>783</v>
      </c>
      <c r="Y1151">
        <f>VLOOKUP(W1151,Sheet2!A:D,3,0)</f>
        <v>50082202</v>
      </c>
      <c r="Z1151" t="str">
        <f>VLOOKUP(W1151,Sheet2!A:D,4,0)</f>
        <v>HDPE: PURELL GC7260</v>
      </c>
    </row>
    <row r="1152" spans="21:26" ht="15">
      <c r="U1152" s="63">
        <v>50093029</v>
      </c>
      <c r="V1152" s="64" t="s">
        <v>2221</v>
      </c>
      <c r="W1152">
        <v>50093027</v>
      </c>
      <c r="X1152" t="s">
        <v>783</v>
      </c>
      <c r="Y1152">
        <f>VLOOKUP(W1152,Sheet2!A:D,3,0)</f>
        <v>50082202</v>
      </c>
      <c r="Z1152" t="str">
        <f>VLOOKUP(W1152,Sheet2!A:D,4,0)</f>
        <v>HDPE: PURELL GC7260</v>
      </c>
    </row>
    <row r="1153" spans="21:26" ht="15">
      <c r="U1153" s="63">
        <v>50093241</v>
      </c>
      <c r="V1153" s="64" t="s">
        <v>2222</v>
      </c>
      <c r="W1153">
        <v>50093240</v>
      </c>
      <c r="X1153" t="s">
        <v>785</v>
      </c>
      <c r="Y1153">
        <f>VLOOKUP(W1153,Sheet2!A:D,3,0)</f>
        <v>50082184</v>
      </c>
      <c r="Z1153" t="str">
        <f>VLOOKUP(W1153,Sheet2!A:D,4,0)</f>
        <v>LDPE: PURELL PE 1810 E</v>
      </c>
    </row>
    <row r="1154" spans="21:26" ht="15">
      <c r="U1154" s="63">
        <v>50093242</v>
      </c>
      <c r="V1154" s="64" t="s">
        <v>224</v>
      </c>
      <c r="W1154">
        <v>50093240</v>
      </c>
      <c r="X1154" t="s">
        <v>785</v>
      </c>
      <c r="Y1154">
        <f>VLOOKUP(W1154,Sheet2!A:D,3,0)</f>
        <v>50082184</v>
      </c>
      <c r="Z1154" t="str">
        <f>VLOOKUP(W1154,Sheet2!A:D,4,0)</f>
        <v>LDPE: PURELL PE 1810 E</v>
      </c>
    </row>
    <row r="1155" spans="21:26" ht="15">
      <c r="U1155" s="63">
        <v>50093250</v>
      </c>
      <c r="V1155" s="64" t="s">
        <v>2223</v>
      </c>
      <c r="W1155">
        <v>50093376</v>
      </c>
      <c r="X1155" t="s">
        <v>786</v>
      </c>
      <c r="Y1155">
        <f>VLOOKUP(W1155,Sheet2!A:D,3,0)</f>
        <v>50082202</v>
      </c>
      <c r="Z1155" t="str">
        <f>VLOOKUP(W1155,Sheet2!A:D,4,0)</f>
        <v>HDPE: PURELL GC7260</v>
      </c>
    </row>
    <row r="1156" spans="21:26" ht="15">
      <c r="U1156" s="63">
        <v>50093251</v>
      </c>
      <c r="V1156" s="64" t="s">
        <v>2224</v>
      </c>
      <c r="W1156">
        <v>50093376</v>
      </c>
      <c r="X1156" t="s">
        <v>786</v>
      </c>
      <c r="Y1156">
        <f>VLOOKUP(W1156,Sheet2!A:D,3,0)</f>
        <v>50082202</v>
      </c>
      <c r="Z1156" t="str">
        <f>VLOOKUP(W1156,Sheet2!A:D,4,0)</f>
        <v>HDPE: PURELL GC7260</v>
      </c>
    </row>
    <row r="1157" spans="21:26" ht="15">
      <c r="U1157" s="63">
        <v>50093305</v>
      </c>
      <c r="V1157" s="64" t="s">
        <v>2225</v>
      </c>
      <c r="W1157">
        <v>50081583</v>
      </c>
      <c r="X1157" t="s">
        <v>542</v>
      </c>
      <c r="Y1157">
        <f>VLOOKUP(W1157,Sheet2!A:D,3,0)</f>
        <v>50081656</v>
      </c>
      <c r="Z1157" t="str">
        <f>VLOOKUP(W1157,Sheet2!A:D,4,0)</f>
        <v>TOTAL POLYPROPYLENE PPMR021S01</v>
      </c>
    </row>
    <row r="1158" spans="21:26" ht="15">
      <c r="U1158" s="63">
        <v>50093306</v>
      </c>
      <c r="V1158" s="64" t="s">
        <v>2226</v>
      </c>
      <c r="W1158">
        <v>50081628</v>
      </c>
      <c r="X1158" t="s">
        <v>558</v>
      </c>
      <c r="Y1158">
        <f>VLOOKUP(W1158,Sheet2!A:D,3,0)</f>
        <v>50081656</v>
      </c>
      <c r="Z1158" t="str">
        <f>VLOOKUP(W1158,Sheet2!A:D,4,0)</f>
        <v>TOTAL POLYPROPYLENE PPMR021S01</v>
      </c>
    </row>
    <row r="1159" spans="21:26" ht="15">
      <c r="U1159" s="63">
        <v>50093378</v>
      </c>
      <c r="V1159" s="64" t="s">
        <v>2227</v>
      </c>
      <c r="W1159">
        <v>50093377</v>
      </c>
      <c r="X1159" t="s">
        <v>787</v>
      </c>
      <c r="Y1159">
        <f>VLOOKUP(W1159,Sheet2!A:D,3,0)</f>
        <v>50082202</v>
      </c>
      <c r="Z1159" t="str">
        <f>VLOOKUP(W1159,Sheet2!A:D,4,0)</f>
        <v>HDPE: PURELL GC7260</v>
      </c>
    </row>
    <row r="1160" spans="21:26" ht="15">
      <c r="U1160" s="63">
        <v>50093379</v>
      </c>
      <c r="V1160" s="64" t="s">
        <v>2228</v>
      </c>
      <c r="W1160">
        <v>50093377</v>
      </c>
      <c r="X1160" t="s">
        <v>787</v>
      </c>
      <c r="Y1160">
        <f>VLOOKUP(W1160,Sheet2!A:D,3,0)</f>
        <v>50082202</v>
      </c>
      <c r="Z1160" t="str">
        <f>VLOOKUP(W1160,Sheet2!A:D,4,0)</f>
        <v>HDPE: PURELL GC7260</v>
      </c>
    </row>
    <row r="1161" spans="21:26" ht="15">
      <c r="U1161" s="63">
        <v>50096840</v>
      </c>
      <c r="V1161" s="64" t="s">
        <v>2229</v>
      </c>
      <c r="W1161">
        <v>50093556</v>
      </c>
      <c r="X1161" t="s">
        <v>792</v>
      </c>
      <c r="Y1161">
        <f>VLOOKUP(W1161,Sheet2!A:D,3,0)</f>
        <v>50082183</v>
      </c>
      <c r="Z1161" t="str">
        <f>VLOOKUP(W1161,Sheet2!A:D,4,0)</f>
        <v>LDPE: PURELL PE 1840 H</v>
      </c>
    </row>
    <row r="1162" spans="21:26" ht="15">
      <c r="U1162" s="63">
        <v>50096841</v>
      </c>
      <c r="V1162" s="64" t="s">
        <v>2230</v>
      </c>
      <c r="W1162">
        <v>50093556</v>
      </c>
      <c r="X1162" t="s">
        <v>792</v>
      </c>
      <c r="Y1162">
        <f>VLOOKUP(W1162,Sheet2!A:D,3,0)</f>
        <v>50082183</v>
      </c>
      <c r="Z1162" t="str">
        <f>VLOOKUP(W1162,Sheet2!A:D,4,0)</f>
        <v>LDPE: PURELL PE 1840 H</v>
      </c>
    </row>
    <row r="1163" spans="21:26" ht="15">
      <c r="U1163" s="63">
        <v>50096939</v>
      </c>
      <c r="V1163" s="64" t="s">
        <v>2231</v>
      </c>
      <c r="W1163">
        <v>50096938</v>
      </c>
      <c r="X1163" t="s">
        <v>797</v>
      </c>
      <c r="Y1163">
        <f>VLOOKUP(W1163,Sheet2!A:D,3,0)</f>
        <v>50082201</v>
      </c>
      <c r="Z1163" t="str">
        <f>VLOOKUP(W1163,Sheet2!A:D,4,0)</f>
        <v>HDPE: PURELL GF4750</v>
      </c>
    </row>
    <row r="1164" spans="21:26" ht="15">
      <c r="U1164" s="63">
        <v>50096940</v>
      </c>
      <c r="V1164" s="64" t="s">
        <v>2232</v>
      </c>
      <c r="W1164">
        <v>50096938</v>
      </c>
      <c r="X1164" t="s">
        <v>797</v>
      </c>
      <c r="Y1164">
        <f>VLOOKUP(W1164,Sheet2!A:D,3,0)</f>
        <v>50082201</v>
      </c>
      <c r="Z1164" t="str">
        <f>VLOOKUP(W1164,Sheet2!A:D,4,0)</f>
        <v>HDPE: PURELL GF4750</v>
      </c>
    </row>
    <row r="1165" spans="21:26" ht="15">
      <c r="U1165" s="63">
        <v>50096942</v>
      </c>
      <c r="V1165" s="64" t="s">
        <v>2233</v>
      </c>
      <c r="W1165">
        <v>50096941</v>
      </c>
      <c r="X1165" t="s">
        <v>798</v>
      </c>
      <c r="Y1165">
        <f>VLOOKUP(W1165,Sheet2!A:D,3,0)</f>
        <v>50082184</v>
      </c>
      <c r="Z1165" t="str">
        <f>VLOOKUP(W1165,Sheet2!A:D,4,0)</f>
        <v>LDPE: PURELL PE 1810 E</v>
      </c>
    </row>
    <row r="1166" spans="21:26" ht="15">
      <c r="U1166" s="63">
        <v>50096943</v>
      </c>
      <c r="V1166" s="64" t="s">
        <v>2234</v>
      </c>
      <c r="W1166">
        <v>50096941</v>
      </c>
      <c r="X1166" t="s">
        <v>798</v>
      </c>
      <c r="Y1166">
        <f>VLOOKUP(W1166,Sheet2!A:D,3,0)</f>
        <v>50082184</v>
      </c>
      <c r="Z1166" t="str">
        <f>VLOOKUP(W1166,Sheet2!A:D,4,0)</f>
        <v>LDPE: PURELL PE 1810 E</v>
      </c>
    </row>
    <row r="1167" spans="21:26" ht="15">
      <c r="U1167" s="63">
        <v>50096945</v>
      </c>
      <c r="V1167" s="64" t="s">
        <v>2235</v>
      </c>
      <c r="W1167">
        <v>50096944</v>
      </c>
      <c r="X1167" t="s">
        <v>799</v>
      </c>
      <c r="Y1167">
        <f>VLOOKUP(W1167,Sheet2!A:D,3,0)</f>
        <v>50082184</v>
      </c>
      <c r="Z1167" t="str">
        <f>VLOOKUP(W1167,Sheet2!A:D,4,0)</f>
        <v>LDPE: PURELL PE 1810 E</v>
      </c>
    </row>
    <row r="1168" spans="21:26" ht="15">
      <c r="U1168" s="63">
        <v>50096946</v>
      </c>
      <c r="V1168" s="64" t="s">
        <v>225</v>
      </c>
      <c r="W1168">
        <v>50096944</v>
      </c>
      <c r="X1168" t="s">
        <v>799</v>
      </c>
      <c r="Y1168">
        <f>VLOOKUP(W1168,Sheet2!A:D,3,0)</f>
        <v>50082184</v>
      </c>
      <c r="Z1168" t="str">
        <f>VLOOKUP(W1168,Sheet2!A:D,4,0)</f>
        <v>LDPE: PURELL PE 1810 E</v>
      </c>
    </row>
    <row r="1169" spans="21:26" ht="15">
      <c r="U1169" s="63">
        <v>50096958</v>
      </c>
      <c r="V1169" s="64" t="s">
        <v>2236</v>
      </c>
      <c r="W1169">
        <v>50096957</v>
      </c>
      <c r="X1169" t="s">
        <v>800</v>
      </c>
      <c r="Y1169">
        <f>VLOOKUP(W1169,Sheet2!A:D,3,0)</f>
        <v>50082183</v>
      </c>
      <c r="Z1169" t="str">
        <f>VLOOKUP(W1169,Sheet2!A:D,4,0)</f>
        <v>LDPE: PURELL PE 1840 H</v>
      </c>
    </row>
    <row r="1170" spans="21:26" ht="15">
      <c r="U1170" s="63">
        <v>50096959</v>
      </c>
      <c r="V1170" s="64" t="s">
        <v>2237</v>
      </c>
      <c r="W1170">
        <v>50096957</v>
      </c>
      <c r="X1170" t="s">
        <v>800</v>
      </c>
      <c r="Y1170">
        <f>VLOOKUP(W1170,Sheet2!A:D,3,0)</f>
        <v>50082183</v>
      </c>
      <c r="Z1170" t="str">
        <f>VLOOKUP(W1170,Sheet2!A:D,4,0)</f>
        <v>LDPE: PURELL PE 1840 H</v>
      </c>
    </row>
    <row r="1171" spans="21:26" ht="15">
      <c r="U1171" s="63">
        <v>50096968</v>
      </c>
      <c r="V1171" s="64" t="s">
        <v>2238</v>
      </c>
      <c r="W1171">
        <v>50081583</v>
      </c>
      <c r="X1171" t="s">
        <v>542</v>
      </c>
      <c r="Y1171">
        <f>VLOOKUP(W1171,Sheet2!A:D,3,0)</f>
        <v>50081656</v>
      </c>
      <c r="Z1171" t="str">
        <f>VLOOKUP(W1171,Sheet2!A:D,4,0)</f>
        <v>TOTAL POLYPROPYLENE PPMR021S01</v>
      </c>
    </row>
    <row r="1172" spans="21:26" ht="15">
      <c r="U1172" s="63">
        <v>50097176</v>
      </c>
      <c r="V1172" s="64" t="s">
        <v>1470</v>
      </c>
      <c r="W1172">
        <v>50097175</v>
      </c>
      <c r="X1172" t="s">
        <v>815</v>
      </c>
      <c r="Y1172">
        <f>VLOOKUP(W1172,Sheet2!A:D,3,0)</f>
        <v>50082183</v>
      </c>
      <c r="Z1172" t="str">
        <f>VLOOKUP(W1172,Sheet2!A:D,4,0)</f>
        <v>LDPE: PURELL PE 1840 H</v>
      </c>
    </row>
    <row r="1173" spans="21:26" ht="15">
      <c r="U1173" s="63">
        <v>50097182</v>
      </c>
      <c r="V1173" s="64" t="s">
        <v>2239</v>
      </c>
      <c r="W1173">
        <v>50096973</v>
      </c>
      <c r="X1173" t="s">
        <v>803</v>
      </c>
      <c r="Y1173">
        <f>VLOOKUP(W1173,Sheet2!A:D,3,0)</f>
        <v>50082202</v>
      </c>
      <c r="Z1173" t="str">
        <f>VLOOKUP(W1173,Sheet2!A:D,4,0)</f>
        <v>HDPE: PURELL GC7260</v>
      </c>
    </row>
    <row r="1174" spans="21:26" ht="15">
      <c r="U1174" s="63">
        <v>50097183</v>
      </c>
      <c r="V1174" s="64" t="s">
        <v>2240</v>
      </c>
      <c r="W1174">
        <v>50096973</v>
      </c>
      <c r="X1174" t="s">
        <v>803</v>
      </c>
      <c r="Y1174">
        <f>VLOOKUP(W1174,Sheet2!A:D,3,0)</f>
        <v>50082202</v>
      </c>
      <c r="Z1174" t="str">
        <f>VLOOKUP(W1174,Sheet2!A:D,4,0)</f>
        <v>HDPE: PURELL GC7260</v>
      </c>
    </row>
    <row r="1175" spans="21:26" ht="15">
      <c r="U1175" s="63">
        <v>50097388</v>
      </c>
      <c r="V1175" s="64" t="s">
        <v>2241</v>
      </c>
      <c r="W1175">
        <v>50096979</v>
      </c>
      <c r="X1175" t="s">
        <v>807</v>
      </c>
      <c r="Y1175">
        <f>VLOOKUP(W1175,Sheet2!A:D,3,0)</f>
        <v>50082184</v>
      </c>
      <c r="Z1175" t="str">
        <f>VLOOKUP(W1175,Sheet2!A:D,4,0)</f>
        <v>LDPE: PURELL PE 1810 E</v>
      </c>
    </row>
    <row r="1176" spans="21:26" ht="15">
      <c r="U1176" s="63">
        <v>50097391</v>
      </c>
      <c r="V1176" s="64" t="s">
        <v>2242</v>
      </c>
      <c r="W1176">
        <v>50097316</v>
      </c>
      <c r="X1176" t="s">
        <v>818</v>
      </c>
      <c r="Y1176">
        <f>VLOOKUP(W1176,Sheet2!A:D,3,0)</f>
        <v>50082202</v>
      </c>
      <c r="Z1176" t="str">
        <f>VLOOKUP(W1176,Sheet2!A:D,4,0)</f>
        <v>HDPE: PURELL GC7260</v>
      </c>
    </row>
    <row r="1177" spans="21:26" ht="15">
      <c r="U1177" s="63">
        <v>50097445</v>
      </c>
      <c r="V1177" s="64" t="s">
        <v>2243</v>
      </c>
      <c r="W1177">
        <v>50097444</v>
      </c>
      <c r="X1177" t="s">
        <v>822</v>
      </c>
      <c r="Y1177">
        <f>VLOOKUP(W1177,Sheet2!A:D,3,0)</f>
        <v>50082184</v>
      </c>
      <c r="Z1177" t="str">
        <f>VLOOKUP(W1177,Sheet2!A:D,4,0)</f>
        <v>LDPE: PURELL PE 1810 E</v>
      </c>
    </row>
    <row r="1178" spans="21:26" ht="15">
      <c r="U1178" s="63">
        <v>50097478</v>
      </c>
      <c r="V1178" s="64" t="s">
        <v>2244</v>
      </c>
      <c r="W1178">
        <v>50096920</v>
      </c>
      <c r="X1178" t="s">
        <v>796</v>
      </c>
      <c r="Y1178">
        <f>VLOOKUP(W1178,Sheet2!A:D,3,0)</f>
        <v>50082202</v>
      </c>
      <c r="Z1178" t="str">
        <f>VLOOKUP(W1178,Sheet2!A:D,4,0)</f>
        <v>HDPE: PURELL GC7260</v>
      </c>
    </row>
    <row r="1179" spans="21:26" ht="15">
      <c r="U1179" s="63">
        <v>50097479</v>
      </c>
      <c r="V1179" s="64" t="s">
        <v>2245</v>
      </c>
      <c r="W1179">
        <v>50096920</v>
      </c>
      <c r="X1179" t="s">
        <v>796</v>
      </c>
      <c r="Y1179">
        <f>VLOOKUP(W1179,Sheet2!A:D,3,0)</f>
        <v>50082202</v>
      </c>
      <c r="Z1179" t="str">
        <f>VLOOKUP(W1179,Sheet2!A:D,4,0)</f>
        <v>HDPE: PURELL GC7260</v>
      </c>
    </row>
    <row r="1180" spans="21:26" ht="15">
      <c r="U1180" s="63">
        <v>50097557</v>
      </c>
      <c r="V1180" s="64" t="s">
        <v>2246</v>
      </c>
      <c r="W1180">
        <v>50097556</v>
      </c>
      <c r="X1180" t="s">
        <v>824</v>
      </c>
      <c r="Y1180">
        <f>VLOOKUP(W1180,Sheet2!A:D,3,0)</f>
        <v>50082202</v>
      </c>
      <c r="Z1180" t="str">
        <f>VLOOKUP(W1180,Sheet2!A:D,4,0)</f>
        <v>HDPE: PURELL GC7260</v>
      </c>
    </row>
    <row r="1181" spans="21:26" ht="15">
      <c r="U1181" s="63">
        <v>50097558</v>
      </c>
      <c r="V1181" s="64" t="s">
        <v>2247</v>
      </c>
      <c r="W1181">
        <v>50097556</v>
      </c>
      <c r="X1181" t="s">
        <v>824</v>
      </c>
      <c r="Y1181">
        <f>VLOOKUP(W1181,Sheet2!A:D,3,0)</f>
        <v>50082202</v>
      </c>
      <c r="Z1181" t="str">
        <f>VLOOKUP(W1181,Sheet2!A:D,4,0)</f>
        <v>HDPE: PURELL GC7260</v>
      </c>
    </row>
    <row r="1182" spans="21:26" ht="15">
      <c r="U1182" s="63">
        <v>50097601</v>
      </c>
      <c r="V1182" s="64" t="s">
        <v>2248</v>
      </c>
      <c r="W1182">
        <v>50097600</v>
      </c>
      <c r="X1182" t="s">
        <v>825</v>
      </c>
      <c r="Y1182">
        <f>VLOOKUP(W1182,Sheet2!A:D,3,0)</f>
        <v>50082201</v>
      </c>
      <c r="Z1182" t="str">
        <f>VLOOKUP(W1182,Sheet2!A:D,4,0)</f>
        <v>HDPE: PURELL GF4750</v>
      </c>
    </row>
    <row r="1183" spans="21:26" ht="15">
      <c r="U1183" s="63">
        <v>50097602</v>
      </c>
      <c r="V1183" s="64" t="s">
        <v>2249</v>
      </c>
      <c r="W1183">
        <v>50097600</v>
      </c>
      <c r="X1183" t="s">
        <v>825</v>
      </c>
      <c r="Y1183">
        <f>VLOOKUP(W1183,Sheet2!A:D,3,0)</f>
        <v>50082201</v>
      </c>
      <c r="Z1183" t="str">
        <f>VLOOKUP(W1183,Sheet2!A:D,4,0)</f>
        <v>HDPE: PURELL GF4750</v>
      </c>
    </row>
    <row r="1184" spans="21:26" ht="15">
      <c r="U1184" s="63">
        <v>50097603</v>
      </c>
      <c r="V1184" s="64" t="s">
        <v>2250</v>
      </c>
      <c r="W1184">
        <v>50096918</v>
      </c>
      <c r="X1184" t="s">
        <v>794</v>
      </c>
      <c r="Y1184">
        <f>VLOOKUP(W1184,Sheet2!A:D,3,0)</f>
        <v>50082202</v>
      </c>
      <c r="Z1184" t="str">
        <f>VLOOKUP(W1184,Sheet2!A:D,4,0)</f>
        <v>HDPE: PURELL GC7260</v>
      </c>
    </row>
    <row r="1185" spans="21:26" ht="15">
      <c r="U1185" s="63">
        <v>50097604</v>
      </c>
      <c r="V1185" s="64" t="s">
        <v>2251</v>
      </c>
      <c r="W1185">
        <v>50096918</v>
      </c>
      <c r="X1185" t="s">
        <v>794</v>
      </c>
      <c r="Y1185">
        <f>VLOOKUP(W1185,Sheet2!A:D,3,0)</f>
        <v>50082202</v>
      </c>
      <c r="Z1185" t="str">
        <f>VLOOKUP(W1185,Sheet2!A:D,4,0)</f>
        <v>HDPE: PURELL GC7260</v>
      </c>
    </row>
    <row r="1186" spans="21:26" ht="15">
      <c r="U1186" s="63">
        <v>50097618</v>
      </c>
      <c r="V1186" s="64" t="s">
        <v>1471</v>
      </c>
      <c r="W1186">
        <v>50097617</v>
      </c>
      <c r="X1186" t="s">
        <v>826</v>
      </c>
      <c r="Y1186">
        <f>VLOOKUP(W1186,Sheet2!A:D,3,0)</f>
        <v>50082184</v>
      </c>
      <c r="Z1186" t="str">
        <f>VLOOKUP(W1186,Sheet2!A:D,4,0)</f>
        <v>LDPE: PURELL PE 1810 E</v>
      </c>
    </row>
    <row r="1187" spans="21:26" ht="15">
      <c r="U1187" s="63">
        <v>50097619</v>
      </c>
      <c r="V1187" s="64" t="s">
        <v>1472</v>
      </c>
      <c r="W1187">
        <v>50097617</v>
      </c>
      <c r="X1187" t="s">
        <v>826</v>
      </c>
      <c r="Y1187">
        <f>VLOOKUP(W1187,Sheet2!A:D,3,0)</f>
        <v>50082184</v>
      </c>
      <c r="Z1187" t="str">
        <f>VLOOKUP(W1187,Sheet2!A:D,4,0)</f>
        <v>LDPE: PURELL PE 1810 E</v>
      </c>
    </row>
    <row r="1188" spans="21:26" ht="15">
      <c r="U1188" s="63">
        <v>50097738</v>
      </c>
      <c r="V1188" s="64" t="s">
        <v>2252</v>
      </c>
      <c r="W1188">
        <v>50096980</v>
      </c>
      <c r="X1188" t="s">
        <v>808</v>
      </c>
      <c r="Y1188">
        <f>VLOOKUP(W1188,Sheet2!A:D,3,0)</f>
        <v>50082202</v>
      </c>
      <c r="Z1188" t="str">
        <f>VLOOKUP(W1188,Sheet2!A:D,4,0)</f>
        <v>HDPE: PURELL GC7260</v>
      </c>
    </row>
    <row r="1189" spans="21:26" ht="15">
      <c r="U1189" s="63">
        <v>50097927</v>
      </c>
      <c r="V1189" s="64" t="s">
        <v>2253</v>
      </c>
      <c r="W1189">
        <v>50097926</v>
      </c>
      <c r="X1189" t="s">
        <v>829</v>
      </c>
      <c r="Y1189">
        <f>VLOOKUP(W1189,Sheet2!A:D,3,0)</f>
        <v>50082183</v>
      </c>
      <c r="Z1189" t="str">
        <f>VLOOKUP(W1189,Sheet2!A:D,4,0)</f>
        <v>LDPE: PURELL PE 1840 H</v>
      </c>
    </row>
    <row r="1190" spans="21:26" ht="15">
      <c r="U1190" s="63">
        <v>50097928</v>
      </c>
      <c r="V1190" s="64" t="s">
        <v>2254</v>
      </c>
      <c r="W1190">
        <v>50097926</v>
      </c>
      <c r="X1190" t="s">
        <v>829</v>
      </c>
      <c r="Y1190">
        <f>VLOOKUP(W1190,Sheet2!A:D,3,0)</f>
        <v>50082183</v>
      </c>
      <c r="Z1190" t="str">
        <f>VLOOKUP(W1190,Sheet2!A:D,4,0)</f>
        <v>LDPE: PURELL PE 1840 H</v>
      </c>
    </row>
    <row r="1191" spans="21:26" ht="15">
      <c r="U1191" s="63">
        <v>50097930</v>
      </c>
      <c r="V1191" s="64" t="s">
        <v>2255</v>
      </c>
      <c r="W1191">
        <v>50097929</v>
      </c>
      <c r="X1191" t="s">
        <v>830</v>
      </c>
      <c r="Y1191">
        <f>VLOOKUP(W1191,Sheet2!A:D,3,0)</f>
        <v>50082183</v>
      </c>
      <c r="Z1191" t="str">
        <f>VLOOKUP(W1191,Sheet2!A:D,4,0)</f>
        <v>LDPE: PURELL PE 1840 H</v>
      </c>
    </row>
    <row r="1192" spans="21:26" ht="15">
      <c r="U1192" s="63">
        <v>50097932</v>
      </c>
      <c r="V1192" s="64" t="s">
        <v>2256</v>
      </c>
      <c r="W1192">
        <v>50097931</v>
      </c>
      <c r="X1192" t="s">
        <v>831</v>
      </c>
      <c r="Y1192">
        <f>VLOOKUP(W1192,Sheet2!A:D,3,0)</f>
        <v>50082183</v>
      </c>
      <c r="Z1192" t="str">
        <f>VLOOKUP(W1192,Sheet2!A:D,4,0)</f>
        <v>LDPE: PURELL PE 1840 H</v>
      </c>
    </row>
    <row r="1193" spans="21:26" ht="15">
      <c r="U1193" s="63">
        <v>50097933</v>
      </c>
      <c r="V1193" s="64" t="s">
        <v>2257</v>
      </c>
      <c r="W1193">
        <v>50097931</v>
      </c>
      <c r="X1193" t="s">
        <v>831</v>
      </c>
      <c r="Y1193">
        <f>VLOOKUP(W1193,Sheet2!A:D,3,0)</f>
        <v>50082183</v>
      </c>
      <c r="Z1193" t="str">
        <f>VLOOKUP(W1193,Sheet2!A:D,4,0)</f>
        <v>LDPE: PURELL PE 1840 H</v>
      </c>
    </row>
    <row r="1194" spans="21:26" ht="15">
      <c r="U1194" s="63">
        <v>50097935</v>
      </c>
      <c r="V1194" s="64" t="s">
        <v>2258</v>
      </c>
      <c r="W1194">
        <v>50097934</v>
      </c>
      <c r="X1194" t="s">
        <v>832</v>
      </c>
      <c r="Y1194">
        <f>VLOOKUP(W1194,Sheet2!A:D,3,0)</f>
        <v>50082183</v>
      </c>
      <c r="Z1194" t="str">
        <f>VLOOKUP(W1194,Sheet2!A:D,4,0)</f>
        <v>LDPE: PURELL PE 1840 H</v>
      </c>
    </row>
    <row r="1195" spans="21:26" ht="15">
      <c r="U1195" s="63">
        <v>50097937</v>
      </c>
      <c r="V1195" s="64" t="s">
        <v>2259</v>
      </c>
      <c r="W1195">
        <v>50097936</v>
      </c>
      <c r="X1195" t="s">
        <v>833</v>
      </c>
      <c r="Y1195">
        <f>VLOOKUP(W1195,Sheet2!A:D,3,0)</f>
        <v>50082202</v>
      </c>
      <c r="Z1195" t="str">
        <f>VLOOKUP(W1195,Sheet2!A:D,4,0)</f>
        <v>HDPE: PURELL GC7260</v>
      </c>
    </row>
    <row r="1196" spans="21:26" ht="15">
      <c r="U1196" s="63">
        <v>50097938</v>
      </c>
      <c r="V1196" s="64" t="s">
        <v>2260</v>
      </c>
      <c r="W1196">
        <v>50097936</v>
      </c>
      <c r="X1196" t="s">
        <v>833</v>
      </c>
      <c r="Y1196">
        <f>VLOOKUP(W1196,Sheet2!A:D,3,0)</f>
        <v>50082202</v>
      </c>
      <c r="Z1196" t="str">
        <f>VLOOKUP(W1196,Sheet2!A:D,4,0)</f>
        <v>HDPE: PURELL GC7260</v>
      </c>
    </row>
    <row r="1197" spans="21:26" ht="15">
      <c r="U1197" s="63">
        <v>50098074</v>
      </c>
      <c r="V1197" s="64" t="s">
        <v>2261</v>
      </c>
      <c r="W1197">
        <v>50098073</v>
      </c>
      <c r="X1197" t="s">
        <v>834</v>
      </c>
      <c r="Y1197">
        <f>VLOOKUP(W1197,Sheet2!A:D,3,0)</f>
        <v>50082202</v>
      </c>
      <c r="Z1197" t="str">
        <f>VLOOKUP(W1197,Sheet2!A:D,4,0)</f>
        <v>HDPE: PURELL GC7260</v>
      </c>
    </row>
    <row r="1198" spans="21:26" ht="15">
      <c r="U1198" s="63">
        <v>50098127</v>
      </c>
      <c r="V1198" s="64" t="s">
        <v>2262</v>
      </c>
      <c r="W1198">
        <v>50096919</v>
      </c>
      <c r="X1198" t="s">
        <v>795</v>
      </c>
      <c r="Y1198">
        <f>VLOOKUP(W1198,Sheet2!A:D,3,0)</f>
        <v>50082202</v>
      </c>
      <c r="Z1198" t="str">
        <f>VLOOKUP(W1198,Sheet2!A:D,4,0)</f>
        <v>HDPE: PURELL GC7260</v>
      </c>
    </row>
    <row r="1199" spans="21:26" ht="15">
      <c r="U1199" s="63">
        <v>50098128</v>
      </c>
      <c r="V1199" s="64" t="s">
        <v>2018</v>
      </c>
      <c r="W1199">
        <v>50096919</v>
      </c>
      <c r="X1199" t="s">
        <v>795</v>
      </c>
      <c r="Y1199">
        <f>VLOOKUP(W1199,Sheet2!A:D,3,0)</f>
        <v>50082202</v>
      </c>
      <c r="Z1199" t="str">
        <f>VLOOKUP(W1199,Sheet2!A:D,4,0)</f>
        <v>HDPE: PURELL GC7260</v>
      </c>
    </row>
    <row r="1200" spans="21:26" ht="15">
      <c r="U1200" s="63">
        <v>50098133</v>
      </c>
      <c r="V1200" s="64" t="s">
        <v>2263</v>
      </c>
      <c r="W1200">
        <v>50097934</v>
      </c>
      <c r="X1200" t="s">
        <v>832</v>
      </c>
      <c r="Y1200">
        <f>VLOOKUP(W1200,Sheet2!A:D,3,0)</f>
        <v>50082183</v>
      </c>
      <c r="Z1200" t="str">
        <f>VLOOKUP(W1200,Sheet2!A:D,4,0)</f>
        <v>LDPE: PURELL PE 1840 H</v>
      </c>
    </row>
    <row r="1201" spans="21:26" ht="15">
      <c r="U1201" s="63">
        <v>50098148</v>
      </c>
      <c r="V1201" s="64" t="s">
        <v>382</v>
      </c>
      <c r="W1201">
        <v>50098147</v>
      </c>
      <c r="X1201" t="s">
        <v>835</v>
      </c>
      <c r="Y1201">
        <f>VLOOKUP(W1201,Sheet2!A:D,3,0)</f>
        <v>50082183</v>
      </c>
      <c r="Z1201" t="str">
        <f>VLOOKUP(W1201,Sheet2!A:D,4,0)</f>
        <v>LDPE: PURELL PE 1840 H</v>
      </c>
    </row>
    <row r="1202" spans="21:26" ht="15">
      <c r="U1202" s="63">
        <v>50098149</v>
      </c>
      <c r="V1202" s="64" t="s">
        <v>2264</v>
      </c>
      <c r="W1202">
        <v>50098147</v>
      </c>
      <c r="X1202" t="s">
        <v>835</v>
      </c>
      <c r="Y1202">
        <f>VLOOKUP(W1202,Sheet2!A:D,3,0)</f>
        <v>50082183</v>
      </c>
      <c r="Z1202" t="str">
        <f>VLOOKUP(W1202,Sheet2!A:D,4,0)</f>
        <v>LDPE: PURELL PE 1840 H</v>
      </c>
    </row>
    <row r="1203" spans="21:26" ht="15">
      <c r="U1203" s="63">
        <v>50098257</v>
      </c>
      <c r="V1203" s="64" t="s">
        <v>1473</v>
      </c>
      <c r="W1203">
        <v>50098256</v>
      </c>
      <c r="X1203" t="s">
        <v>836</v>
      </c>
      <c r="Y1203">
        <f>VLOOKUP(W1203,Sheet2!A:D,3,0)</f>
        <v>50082184</v>
      </c>
      <c r="Z1203" t="str">
        <f>VLOOKUP(W1203,Sheet2!A:D,4,0)</f>
        <v>LDPE: PURELL PE 1810 E</v>
      </c>
    </row>
    <row r="1204" spans="21:26" ht="15">
      <c r="U1204" s="63">
        <v>50098258</v>
      </c>
      <c r="V1204" s="64" t="s">
        <v>1474</v>
      </c>
      <c r="W1204">
        <v>50098256</v>
      </c>
      <c r="X1204" t="s">
        <v>836</v>
      </c>
      <c r="Y1204">
        <f>VLOOKUP(W1204,Sheet2!A:D,3,0)</f>
        <v>50082184</v>
      </c>
      <c r="Z1204" t="str">
        <f>VLOOKUP(W1204,Sheet2!A:D,4,0)</f>
        <v>LDPE: PURELL PE 1810 E</v>
      </c>
    </row>
    <row r="1205" spans="21:26" ht="15">
      <c r="U1205" s="65">
        <v>50098387</v>
      </c>
      <c r="V1205" s="64" t="s">
        <v>2265</v>
      </c>
      <c r="W1205">
        <v>50098386</v>
      </c>
      <c r="X1205" t="s">
        <v>838</v>
      </c>
      <c r="Y1205">
        <f>VLOOKUP(W1205,Sheet2!A:D,3,0)</f>
        <v>50082183</v>
      </c>
      <c r="Z1205" t="str">
        <f>VLOOKUP(W1205,Sheet2!A:D,4,0)</f>
        <v>LDPE: PURELL PE 1840 H</v>
      </c>
    </row>
    <row r="1206" spans="21:26" ht="15">
      <c r="U1206" s="63">
        <v>50098387</v>
      </c>
      <c r="V1206" s="64" t="s">
        <v>2265</v>
      </c>
      <c r="W1206">
        <v>50099879</v>
      </c>
      <c r="X1206" t="s">
        <v>2266</v>
      </c>
      <c r="Y1206" t="e">
        <f>VLOOKUP(W1206,Sheet2!A:D,3,0)</f>
        <v>#N/A</v>
      </c>
      <c r="Z1206" t="e">
        <f>VLOOKUP(W1206,Sheet2!A:D,4,0)</f>
        <v>#N/A</v>
      </c>
    </row>
    <row r="1207" spans="21:26" ht="15">
      <c r="U1207" s="65">
        <v>50098388</v>
      </c>
      <c r="V1207" s="64" t="s">
        <v>2267</v>
      </c>
      <c r="W1207">
        <v>50098386</v>
      </c>
      <c r="X1207" t="s">
        <v>838</v>
      </c>
      <c r="Y1207">
        <f>VLOOKUP(W1207,Sheet2!A:D,3,0)</f>
        <v>50082183</v>
      </c>
      <c r="Z1207" t="str">
        <f>VLOOKUP(W1207,Sheet2!A:D,4,0)</f>
        <v>LDPE: PURELL PE 1840 H</v>
      </c>
    </row>
    <row r="1208" spans="21:26" ht="15">
      <c r="U1208" s="63">
        <v>50098388</v>
      </c>
      <c r="V1208" s="64" t="s">
        <v>2267</v>
      </c>
      <c r="W1208">
        <v>50099879</v>
      </c>
      <c r="X1208" t="s">
        <v>2266</v>
      </c>
      <c r="Y1208" t="e">
        <f>VLOOKUP(W1208,Sheet2!A:D,3,0)</f>
        <v>#N/A</v>
      </c>
      <c r="Z1208" t="e">
        <f>VLOOKUP(W1208,Sheet2!A:D,4,0)</f>
        <v>#N/A</v>
      </c>
    </row>
    <row r="1209" spans="21:26" ht="15">
      <c r="U1209" s="63">
        <v>50098391</v>
      </c>
      <c r="V1209" s="64" t="s">
        <v>2268</v>
      </c>
      <c r="W1209">
        <v>50098390</v>
      </c>
      <c r="X1209" t="s">
        <v>839</v>
      </c>
      <c r="Y1209" t="e">
        <f>VLOOKUP(W1209,Sheet2!A:D,3,0)</f>
        <v>#N/A</v>
      </c>
      <c r="Z1209" t="e">
        <f>VLOOKUP(W1209,Sheet2!A:D,4,0)</f>
        <v>#N/A</v>
      </c>
    </row>
    <row r="1210" spans="21:26" ht="15">
      <c r="U1210" s="63">
        <v>50098662</v>
      </c>
      <c r="V1210" s="64" t="s">
        <v>2269</v>
      </c>
      <c r="W1210">
        <v>50098661</v>
      </c>
      <c r="X1210" t="s">
        <v>840</v>
      </c>
      <c r="Y1210">
        <f>VLOOKUP(W1210,Sheet2!A:D,3,0)</f>
        <v>50082184</v>
      </c>
      <c r="Z1210" t="str">
        <f>VLOOKUP(W1210,Sheet2!A:D,4,0)</f>
        <v>LDPE: PURELL PE 1810 E</v>
      </c>
    </row>
    <row r="1211" spans="21:26" ht="15">
      <c r="U1211" s="63">
        <v>50098663</v>
      </c>
      <c r="V1211" s="64" t="s">
        <v>2270</v>
      </c>
      <c r="W1211">
        <v>50098661</v>
      </c>
      <c r="X1211" t="s">
        <v>840</v>
      </c>
      <c r="Y1211">
        <f>VLOOKUP(W1211,Sheet2!A:D,3,0)</f>
        <v>50082184</v>
      </c>
      <c r="Z1211" t="str">
        <f>VLOOKUP(W1211,Sheet2!A:D,4,0)</f>
        <v>LDPE: PURELL PE 1810 E</v>
      </c>
    </row>
    <row r="1212" spans="21:26" ht="15">
      <c r="U1212" s="63">
        <v>50098729</v>
      </c>
      <c r="V1212" s="64" t="s">
        <v>2271</v>
      </c>
      <c r="W1212">
        <v>50096917</v>
      </c>
      <c r="X1212" t="s">
        <v>793</v>
      </c>
      <c r="Y1212">
        <f>VLOOKUP(W1212,Sheet2!A:D,3,0)</f>
        <v>50082202</v>
      </c>
      <c r="Z1212" t="str">
        <f>VLOOKUP(W1212,Sheet2!A:D,4,0)</f>
        <v>HDPE: PURELL GC7260</v>
      </c>
    </row>
    <row r="1213" spans="21:26" ht="15">
      <c r="U1213" s="63">
        <v>50098734</v>
      </c>
      <c r="V1213" s="64" t="s">
        <v>2272</v>
      </c>
      <c r="W1213">
        <v>50096917</v>
      </c>
      <c r="X1213" t="s">
        <v>793</v>
      </c>
      <c r="Y1213">
        <f>VLOOKUP(W1213,Sheet2!A:D,3,0)</f>
        <v>50082202</v>
      </c>
      <c r="Z1213" t="str">
        <f>VLOOKUP(W1213,Sheet2!A:D,4,0)</f>
        <v>HDPE: PURELL GC7260</v>
      </c>
    </row>
    <row r="1214" spans="21:26" ht="15">
      <c r="U1214" s="63">
        <v>50098900</v>
      </c>
      <c r="V1214" s="64" t="s">
        <v>2271</v>
      </c>
      <c r="W1214">
        <v>50096917</v>
      </c>
      <c r="X1214" t="s">
        <v>793</v>
      </c>
      <c r="Y1214">
        <f>VLOOKUP(W1214,Sheet2!A:D,3,0)</f>
        <v>50082202</v>
      </c>
      <c r="Z1214" t="str">
        <f>VLOOKUP(W1214,Sheet2!A:D,4,0)</f>
        <v>HDPE: PURELL GC7260</v>
      </c>
    </row>
    <row r="1215" spans="21:26" ht="15">
      <c r="U1215" s="63">
        <v>50098901</v>
      </c>
      <c r="V1215" s="64" t="s">
        <v>2272</v>
      </c>
      <c r="W1215">
        <v>50096917</v>
      </c>
      <c r="X1215" t="s">
        <v>793</v>
      </c>
      <c r="Y1215">
        <f>VLOOKUP(W1215,Sheet2!A:D,3,0)</f>
        <v>50082202</v>
      </c>
      <c r="Z1215" t="str">
        <f>VLOOKUP(W1215,Sheet2!A:D,4,0)</f>
        <v>HDPE: PURELL GC7260</v>
      </c>
    </row>
    <row r="1216" spans="21:26" ht="15">
      <c r="U1216" s="63">
        <v>50098990</v>
      </c>
      <c r="V1216" s="64" t="s">
        <v>1475</v>
      </c>
      <c r="W1216">
        <v>50098989</v>
      </c>
      <c r="X1216" t="s">
        <v>843</v>
      </c>
      <c r="Y1216">
        <f>VLOOKUP(W1216,Sheet2!A:D,3,0)</f>
        <v>50082183</v>
      </c>
      <c r="Z1216" t="str">
        <f>VLOOKUP(W1216,Sheet2!A:D,4,0)</f>
        <v>LDPE: PURELL PE 1840 H</v>
      </c>
    </row>
    <row r="1217" spans="21:26" ht="15">
      <c r="U1217" s="63">
        <v>50098991</v>
      </c>
      <c r="V1217" s="64" t="s">
        <v>1476</v>
      </c>
      <c r="W1217">
        <v>50098989</v>
      </c>
      <c r="X1217" t="s">
        <v>843</v>
      </c>
      <c r="Y1217">
        <f>VLOOKUP(W1217,Sheet2!A:D,3,0)</f>
        <v>50082183</v>
      </c>
      <c r="Z1217" t="str">
        <f>VLOOKUP(W1217,Sheet2!A:D,4,0)</f>
        <v>LDPE: PURELL PE 1840 H</v>
      </c>
    </row>
    <row r="1218" spans="21:26" ht="15">
      <c r="U1218" s="63">
        <v>50098993</v>
      </c>
      <c r="V1218" s="64" t="s">
        <v>2273</v>
      </c>
      <c r="W1218">
        <v>50098992</v>
      </c>
      <c r="X1218" t="s">
        <v>844</v>
      </c>
      <c r="Y1218">
        <f>VLOOKUP(W1218,Sheet2!A:D,3,0)</f>
        <v>50082200</v>
      </c>
      <c r="Z1218" t="str">
        <f>VLOOKUP(W1218,Sheet2!A:D,4,0)</f>
        <v>HDPE: RELENE E52009</v>
      </c>
    </row>
    <row r="1219" spans="21:26" ht="15">
      <c r="U1219" s="63">
        <v>50098994</v>
      </c>
      <c r="V1219" s="64" t="s">
        <v>2274</v>
      </c>
      <c r="W1219">
        <v>50098992</v>
      </c>
      <c r="X1219" t="s">
        <v>844</v>
      </c>
      <c r="Y1219">
        <f>VLOOKUP(W1219,Sheet2!A:D,3,0)</f>
        <v>50082200</v>
      </c>
      <c r="Z1219" t="str">
        <f>VLOOKUP(W1219,Sheet2!A:D,4,0)</f>
        <v>HDPE: RELENE E52009</v>
      </c>
    </row>
    <row r="1220" spans="21:26" ht="15">
      <c r="U1220" s="63">
        <v>50099018</v>
      </c>
      <c r="V1220" s="64" t="s">
        <v>2275</v>
      </c>
      <c r="W1220">
        <v>50097174</v>
      </c>
      <c r="X1220" t="s">
        <v>814</v>
      </c>
      <c r="Y1220">
        <f>VLOOKUP(W1220,Sheet2!A:D,3,0)</f>
        <v>50082183</v>
      </c>
      <c r="Z1220" t="str">
        <f>VLOOKUP(W1220,Sheet2!A:D,4,0)</f>
        <v>LDPE: PURELL PE 1840 H</v>
      </c>
    </row>
    <row r="1221" spans="21:26" ht="15">
      <c r="U1221" s="63">
        <v>50099020</v>
      </c>
      <c r="V1221" s="64" t="s">
        <v>2276</v>
      </c>
      <c r="W1221">
        <v>50097174</v>
      </c>
      <c r="X1221" t="s">
        <v>814</v>
      </c>
      <c r="Y1221">
        <f>VLOOKUP(W1221,Sheet2!A:D,3,0)</f>
        <v>50082183</v>
      </c>
      <c r="Z1221" t="str">
        <f>VLOOKUP(W1221,Sheet2!A:D,4,0)</f>
        <v>LDPE: PURELL PE 1840 H</v>
      </c>
    </row>
    <row r="1222" spans="21:26" ht="15">
      <c r="U1222" s="63">
        <v>50099024</v>
      </c>
      <c r="V1222" s="64" t="s">
        <v>2277</v>
      </c>
      <c r="W1222">
        <v>50099023</v>
      </c>
      <c r="X1222" t="s">
        <v>845</v>
      </c>
      <c r="Y1222">
        <f>VLOOKUP(W1222,Sheet2!A:D,3,0)</f>
        <v>50082200</v>
      </c>
      <c r="Z1222" t="str">
        <f>VLOOKUP(W1222,Sheet2!A:D,4,0)</f>
        <v>HDPE: RELENE E52009</v>
      </c>
    </row>
    <row r="1223" spans="21:26" ht="15">
      <c r="U1223" s="63">
        <v>50099025</v>
      </c>
      <c r="V1223" s="64" t="s">
        <v>2278</v>
      </c>
      <c r="W1223">
        <v>50099023</v>
      </c>
      <c r="X1223" t="s">
        <v>845</v>
      </c>
      <c r="Y1223">
        <f>VLOOKUP(W1223,Sheet2!A:D,3,0)</f>
        <v>50082200</v>
      </c>
      <c r="Z1223" t="str">
        <f>VLOOKUP(W1223,Sheet2!A:D,4,0)</f>
        <v>HDPE: RELENE E52009</v>
      </c>
    </row>
    <row r="1224" spans="21:26" ht="15">
      <c r="U1224" s="63">
        <v>50099121</v>
      </c>
      <c r="V1224" s="64" t="s">
        <v>51</v>
      </c>
      <c r="W1224">
        <v>50099120</v>
      </c>
      <c r="X1224" t="s">
        <v>846</v>
      </c>
      <c r="Y1224">
        <f>VLOOKUP(W1224,Sheet2!A:D,3,0)</f>
        <v>50082184</v>
      </c>
      <c r="Z1224" t="str">
        <f>VLOOKUP(W1224,Sheet2!A:D,4,0)</f>
        <v>LDPE: PURELL PE 1810 E</v>
      </c>
    </row>
    <row r="1225" spans="21:26" ht="15">
      <c r="U1225" s="63">
        <v>50099122</v>
      </c>
      <c r="V1225" s="64" t="s">
        <v>281</v>
      </c>
      <c r="W1225">
        <v>50099120</v>
      </c>
      <c r="X1225" t="s">
        <v>846</v>
      </c>
      <c r="Y1225">
        <f>VLOOKUP(W1225,Sheet2!A:D,3,0)</f>
        <v>50082184</v>
      </c>
      <c r="Z1225" t="str">
        <f>VLOOKUP(W1225,Sheet2!A:D,4,0)</f>
        <v>LDPE: PURELL PE 1810 E</v>
      </c>
    </row>
    <row r="1226" spans="21:26" ht="15">
      <c r="U1226" s="63">
        <v>50099312</v>
      </c>
      <c r="V1226" s="64" t="s">
        <v>487</v>
      </c>
      <c r="W1226">
        <v>50099311</v>
      </c>
      <c r="X1226" t="s">
        <v>849</v>
      </c>
      <c r="Y1226">
        <f>VLOOKUP(W1226,Sheet2!A:D,3,0)</f>
        <v>50082184</v>
      </c>
      <c r="Z1226" t="str">
        <f>VLOOKUP(W1226,Sheet2!A:D,4,0)</f>
        <v>LDPE: PURELL PE 1810 E</v>
      </c>
    </row>
    <row r="1227" spans="21:26" ht="15">
      <c r="U1227" s="63">
        <v>50099313</v>
      </c>
      <c r="V1227" s="64" t="s">
        <v>208</v>
      </c>
      <c r="W1227">
        <v>50099311</v>
      </c>
      <c r="X1227" t="s">
        <v>849</v>
      </c>
      <c r="Y1227">
        <f>VLOOKUP(W1227,Sheet2!A:D,3,0)</f>
        <v>50082184</v>
      </c>
      <c r="Z1227" t="str">
        <f>VLOOKUP(W1227,Sheet2!A:D,4,0)</f>
        <v>LDPE: PURELL PE 1810 E</v>
      </c>
    </row>
    <row r="1228" spans="21:26" ht="15">
      <c r="U1228" s="63">
        <v>50099316</v>
      </c>
      <c r="V1228" s="64" t="s">
        <v>403</v>
      </c>
      <c r="W1228">
        <v>50099315</v>
      </c>
      <c r="X1228" t="s">
        <v>850</v>
      </c>
      <c r="Y1228">
        <f>VLOOKUP(W1228,Sheet2!A:D,3,0)</f>
        <v>50082184</v>
      </c>
      <c r="Z1228" t="str">
        <f>VLOOKUP(W1228,Sheet2!A:D,4,0)</f>
        <v>LDPE: PURELL PE 1810 E</v>
      </c>
    </row>
    <row r="1229" spans="21:26" ht="15">
      <c r="U1229" s="63">
        <v>50099317</v>
      </c>
      <c r="V1229" s="64" t="s">
        <v>1477</v>
      </c>
      <c r="W1229">
        <v>50099315</v>
      </c>
      <c r="X1229" t="s">
        <v>850</v>
      </c>
      <c r="Y1229">
        <f>VLOOKUP(W1229,Sheet2!A:D,3,0)</f>
        <v>50082184</v>
      </c>
      <c r="Z1229" t="str">
        <f>VLOOKUP(W1229,Sheet2!A:D,4,0)</f>
        <v>LDPE: PURELL PE 1810 E</v>
      </c>
    </row>
    <row r="1230" spans="21:26" ht="15">
      <c r="U1230" s="63">
        <v>50099319</v>
      </c>
      <c r="V1230" s="64" t="s">
        <v>172</v>
      </c>
      <c r="W1230">
        <v>50099318</v>
      </c>
      <c r="X1230" t="s">
        <v>851</v>
      </c>
      <c r="Y1230">
        <f>VLOOKUP(W1230,Sheet2!A:D,3,0)</f>
        <v>50082184</v>
      </c>
      <c r="Z1230" t="str">
        <f>VLOOKUP(W1230,Sheet2!A:D,4,0)</f>
        <v>LDPE: PURELL PE 1810 E</v>
      </c>
    </row>
    <row r="1231" spans="21:26" ht="15">
      <c r="U1231" s="63">
        <v>50099320</v>
      </c>
      <c r="V1231" s="64" t="s">
        <v>1478</v>
      </c>
      <c r="W1231">
        <v>50099318</v>
      </c>
      <c r="X1231" t="s">
        <v>851</v>
      </c>
      <c r="Y1231">
        <f>VLOOKUP(W1231,Sheet2!A:D,3,0)</f>
        <v>50082184</v>
      </c>
      <c r="Z1231" t="str">
        <f>VLOOKUP(W1231,Sheet2!A:D,4,0)</f>
        <v>LDPE: PURELL PE 1810 E</v>
      </c>
    </row>
    <row r="1232" spans="21:26" ht="15">
      <c r="U1232" s="63">
        <v>50099595</v>
      </c>
      <c r="V1232" s="64" t="s">
        <v>1479</v>
      </c>
      <c r="W1232">
        <v>50099594</v>
      </c>
      <c r="X1232" t="s">
        <v>855</v>
      </c>
      <c r="Y1232">
        <f>VLOOKUP(W1232,Sheet2!A:D,3,0)</f>
        <v>50082183</v>
      </c>
      <c r="Z1232" t="str">
        <f>VLOOKUP(W1232,Sheet2!A:D,4,0)</f>
        <v>LDPE: PURELL PE 1840 H</v>
      </c>
    </row>
    <row r="1233" spans="21:26" ht="15">
      <c r="U1233" s="63">
        <v>50099596</v>
      </c>
      <c r="V1233" s="64" t="s">
        <v>1480</v>
      </c>
      <c r="W1233">
        <v>50099594</v>
      </c>
      <c r="X1233" t="s">
        <v>855</v>
      </c>
      <c r="Y1233">
        <f>VLOOKUP(W1233,Sheet2!A:D,3,0)</f>
        <v>50082183</v>
      </c>
      <c r="Z1233" t="str">
        <f>VLOOKUP(W1233,Sheet2!A:D,4,0)</f>
        <v>LDPE: PURELL PE 1840 H</v>
      </c>
    </row>
    <row r="1234" spans="21:26" ht="15">
      <c r="U1234" s="63">
        <v>50099834</v>
      </c>
      <c r="V1234" s="64" t="s">
        <v>2279</v>
      </c>
      <c r="W1234">
        <v>50099833</v>
      </c>
      <c r="X1234" t="s">
        <v>857</v>
      </c>
      <c r="Y1234">
        <f>VLOOKUP(W1234,Sheet2!A:D,3,0)</f>
        <v>50082202</v>
      </c>
      <c r="Z1234" t="str">
        <f>VLOOKUP(W1234,Sheet2!A:D,4,0)</f>
        <v>HDPE: PURELL GC7260</v>
      </c>
    </row>
    <row r="1235" spans="21:26" ht="15">
      <c r="U1235" s="63">
        <v>50099835</v>
      </c>
      <c r="V1235" s="64" t="s">
        <v>2280</v>
      </c>
      <c r="W1235">
        <v>50099833</v>
      </c>
      <c r="X1235" t="s">
        <v>857</v>
      </c>
      <c r="Y1235">
        <f>VLOOKUP(W1235,Sheet2!A:D,3,0)</f>
        <v>50082202</v>
      </c>
      <c r="Z1235" t="str">
        <f>VLOOKUP(W1235,Sheet2!A:D,4,0)</f>
        <v>HDPE: PURELL GC7260</v>
      </c>
    </row>
    <row r="1236" spans="21:26" ht="15">
      <c r="U1236" s="63">
        <v>50099836</v>
      </c>
      <c r="V1236" s="64" t="s">
        <v>1481</v>
      </c>
      <c r="W1236">
        <v>50099823</v>
      </c>
      <c r="X1236" t="s">
        <v>856</v>
      </c>
      <c r="Y1236">
        <f>VLOOKUP(W1236,Sheet2!A:D,3,0)</f>
        <v>50082183</v>
      </c>
      <c r="Z1236" t="str">
        <f>VLOOKUP(W1236,Sheet2!A:D,4,0)</f>
        <v>LDPE: PURELL PE 1840 H</v>
      </c>
    </row>
    <row r="1237" spans="21:26" ht="15">
      <c r="U1237" s="63">
        <v>50099837</v>
      </c>
      <c r="V1237" s="64" t="s">
        <v>1482</v>
      </c>
      <c r="W1237">
        <v>50099823</v>
      </c>
      <c r="X1237" t="s">
        <v>856</v>
      </c>
      <c r="Y1237">
        <f>VLOOKUP(W1237,Sheet2!A:D,3,0)</f>
        <v>50082183</v>
      </c>
      <c r="Z1237" t="str">
        <f>VLOOKUP(W1237,Sheet2!A:D,4,0)</f>
        <v>LDPE: PURELL PE 1840 H</v>
      </c>
    </row>
    <row r="1238" spans="21:26" ht="15">
      <c r="U1238" s="63">
        <v>50099859</v>
      </c>
      <c r="V1238" s="64" t="s">
        <v>2281</v>
      </c>
      <c r="W1238">
        <v>50099858</v>
      </c>
      <c r="X1238" t="s">
        <v>858</v>
      </c>
      <c r="Y1238">
        <f>VLOOKUP(W1238,Sheet2!A:D,3,0)</f>
        <v>50082202</v>
      </c>
      <c r="Z1238" t="str">
        <f>VLOOKUP(W1238,Sheet2!A:D,4,0)</f>
        <v>HDPE: PURELL GC7260</v>
      </c>
    </row>
    <row r="1239" spans="21:26" ht="15">
      <c r="U1239" s="63">
        <v>50099860</v>
      </c>
      <c r="V1239" s="64" t="s">
        <v>2282</v>
      </c>
      <c r="W1239">
        <v>50099858</v>
      </c>
      <c r="X1239" t="s">
        <v>858</v>
      </c>
      <c r="Y1239">
        <f>VLOOKUP(W1239,Sheet2!A:D,3,0)</f>
        <v>50082202</v>
      </c>
      <c r="Z1239" t="str">
        <f>VLOOKUP(W1239,Sheet2!A:D,4,0)</f>
        <v>HDPE: PURELL GC7260</v>
      </c>
    </row>
    <row r="1240" spans="21:26" ht="15">
      <c r="U1240" s="63">
        <v>50099946</v>
      </c>
      <c r="V1240" s="64" t="s">
        <v>2283</v>
      </c>
      <c r="W1240">
        <v>50091771</v>
      </c>
      <c r="X1240" t="s">
        <v>768</v>
      </c>
      <c r="Y1240">
        <f>VLOOKUP(W1240,Sheet2!A:D,3,0)</f>
        <v>50082200</v>
      </c>
      <c r="Z1240" t="str">
        <f>VLOOKUP(W1240,Sheet2!A:D,4,0)</f>
        <v>HDPE: RELENE E52009</v>
      </c>
    </row>
    <row r="1241" spans="21:26" ht="15">
      <c r="U1241" s="63">
        <v>50099947</v>
      </c>
      <c r="V1241" s="64" t="s">
        <v>2284</v>
      </c>
      <c r="W1241">
        <v>50091771</v>
      </c>
      <c r="X1241" t="s">
        <v>768</v>
      </c>
      <c r="Y1241">
        <f>VLOOKUP(W1241,Sheet2!A:D,3,0)</f>
        <v>50082200</v>
      </c>
      <c r="Z1241" t="str">
        <f>VLOOKUP(W1241,Sheet2!A:D,4,0)</f>
        <v>HDPE: RELENE E52009</v>
      </c>
    </row>
    <row r="1242" spans="21:26" ht="15">
      <c r="U1242" s="63">
        <v>50100022</v>
      </c>
      <c r="V1242" s="64" t="s">
        <v>2285</v>
      </c>
      <c r="W1242">
        <v>50100021</v>
      </c>
      <c r="X1242" t="s">
        <v>861</v>
      </c>
      <c r="Y1242">
        <f>VLOOKUP(W1242,Sheet2!A:D,3,0)</f>
        <v>50082183</v>
      </c>
      <c r="Z1242" t="str">
        <f>VLOOKUP(W1242,Sheet2!A:D,4,0)</f>
        <v>LDPE: PURELL PE 1840 H</v>
      </c>
    </row>
    <row r="1243" spans="21:26" ht="15">
      <c r="U1243" s="63">
        <v>50100023</v>
      </c>
      <c r="V1243" s="64" t="s">
        <v>2286</v>
      </c>
      <c r="W1243">
        <v>50100021</v>
      </c>
      <c r="X1243" t="s">
        <v>861</v>
      </c>
      <c r="Y1243">
        <f>VLOOKUP(W1243,Sheet2!A:D,3,0)</f>
        <v>50082183</v>
      </c>
      <c r="Z1243" t="str">
        <f>VLOOKUP(W1243,Sheet2!A:D,4,0)</f>
        <v>LDPE: PURELL PE 1840 H</v>
      </c>
    </row>
    <row r="1244" spans="21:26" ht="15">
      <c r="U1244" s="63">
        <v>50100025</v>
      </c>
      <c r="V1244" s="64" t="s">
        <v>2287</v>
      </c>
      <c r="W1244">
        <v>50100024</v>
      </c>
      <c r="X1244" t="s">
        <v>862</v>
      </c>
      <c r="Y1244">
        <f>VLOOKUP(W1244,Sheet2!A:D,3,0)</f>
        <v>50082200</v>
      </c>
      <c r="Z1244" t="str">
        <f>VLOOKUP(W1244,Sheet2!A:D,4,0)</f>
        <v>HDPE: RELENE E52009</v>
      </c>
    </row>
    <row r="1245" spans="21:26" ht="15">
      <c r="U1245" s="63">
        <v>50100026</v>
      </c>
      <c r="V1245" s="64" t="s">
        <v>2288</v>
      </c>
      <c r="W1245">
        <v>50100024</v>
      </c>
      <c r="X1245" t="s">
        <v>862</v>
      </c>
      <c r="Y1245">
        <f>VLOOKUP(W1245,Sheet2!A:D,3,0)</f>
        <v>50082200</v>
      </c>
      <c r="Z1245" t="str">
        <f>VLOOKUP(W1245,Sheet2!A:D,4,0)</f>
        <v>HDPE: RELENE E52009</v>
      </c>
    </row>
    <row r="1246" spans="21:26" ht="15">
      <c r="U1246" s="63">
        <v>50100067</v>
      </c>
      <c r="V1246" s="64" t="s">
        <v>2289</v>
      </c>
      <c r="W1246">
        <v>50100066</v>
      </c>
      <c r="X1246" t="s">
        <v>863</v>
      </c>
      <c r="Y1246">
        <f>VLOOKUP(W1246,Sheet2!A:D,3,0)</f>
        <v>50082183</v>
      </c>
      <c r="Z1246" t="str">
        <f>VLOOKUP(W1246,Sheet2!A:D,4,0)</f>
        <v>LDPE: PURELL PE 1840 H</v>
      </c>
    </row>
    <row r="1247" spans="21:26" ht="15">
      <c r="U1247" s="63">
        <v>50100068</v>
      </c>
      <c r="V1247" s="64" t="s">
        <v>2290</v>
      </c>
      <c r="W1247">
        <v>50100066</v>
      </c>
      <c r="X1247" t="s">
        <v>863</v>
      </c>
      <c r="Y1247">
        <f>VLOOKUP(W1247,Sheet2!A:D,3,0)</f>
        <v>50082183</v>
      </c>
      <c r="Z1247" t="str">
        <f>VLOOKUP(W1247,Sheet2!A:D,4,0)</f>
        <v>LDPE: PURELL PE 1840 H</v>
      </c>
    </row>
    <row r="1248" spans="21:26" ht="15">
      <c r="U1248" s="63">
        <v>50100069</v>
      </c>
      <c r="V1248" s="64" t="s">
        <v>2291</v>
      </c>
      <c r="W1248">
        <v>50098073</v>
      </c>
      <c r="X1248" t="s">
        <v>834</v>
      </c>
      <c r="Y1248">
        <f>VLOOKUP(W1248,Sheet2!A:D,3,0)</f>
        <v>50082202</v>
      </c>
      <c r="Z1248" t="str">
        <f>VLOOKUP(W1248,Sheet2!A:D,4,0)</f>
        <v>HDPE: PURELL GC7260</v>
      </c>
    </row>
    <row r="1249" spans="21:26" ht="15">
      <c r="U1249" s="63">
        <v>50100128</v>
      </c>
      <c r="V1249" s="64" t="s">
        <v>300</v>
      </c>
      <c r="W1249">
        <v>50100127</v>
      </c>
      <c r="X1249" t="s">
        <v>864</v>
      </c>
      <c r="Y1249">
        <f>VLOOKUP(W1249,Sheet2!A:D,3,0)</f>
        <v>50082200</v>
      </c>
      <c r="Z1249" t="str">
        <f>VLOOKUP(W1249,Sheet2!A:D,4,0)</f>
        <v>HDPE: RELENE E52009</v>
      </c>
    </row>
    <row r="1250" spans="21:26" ht="15">
      <c r="U1250" s="63">
        <v>50100129</v>
      </c>
      <c r="V1250" s="64" t="s">
        <v>2292</v>
      </c>
      <c r="W1250">
        <v>50100127</v>
      </c>
      <c r="X1250" t="s">
        <v>864</v>
      </c>
      <c r="Y1250">
        <f>VLOOKUP(W1250,Sheet2!A:D,3,0)</f>
        <v>50082200</v>
      </c>
      <c r="Z1250" t="str">
        <f>VLOOKUP(W1250,Sheet2!A:D,4,0)</f>
        <v>HDPE: RELENE E52009</v>
      </c>
    </row>
    <row r="1251" spans="21:26" ht="15">
      <c r="U1251" s="63">
        <v>50100192</v>
      </c>
      <c r="V1251" s="64" t="s">
        <v>1483</v>
      </c>
      <c r="W1251">
        <v>50098294</v>
      </c>
      <c r="X1251" t="s">
        <v>837</v>
      </c>
      <c r="Y1251">
        <f>VLOOKUP(W1251,Sheet2!A:D,3,0)</f>
        <v>50082184</v>
      </c>
      <c r="Z1251" t="str">
        <f>VLOOKUP(W1251,Sheet2!A:D,4,0)</f>
        <v>LDPE: PURELL PE 1810 E</v>
      </c>
    </row>
    <row r="1252" spans="21:26" ht="15">
      <c r="U1252" s="63">
        <v>50100193</v>
      </c>
      <c r="V1252" s="64" t="s">
        <v>1484</v>
      </c>
      <c r="W1252">
        <v>50098294</v>
      </c>
      <c r="X1252" t="s">
        <v>837</v>
      </c>
      <c r="Y1252">
        <f>VLOOKUP(W1252,Sheet2!A:D,3,0)</f>
        <v>50082184</v>
      </c>
      <c r="Z1252" t="str">
        <f>VLOOKUP(W1252,Sheet2!A:D,4,0)</f>
        <v>LDPE: PURELL PE 1810 E</v>
      </c>
    </row>
    <row r="1253" spans="21:26" ht="15">
      <c r="U1253" s="63">
        <v>50100212</v>
      </c>
      <c r="V1253" s="64" t="s">
        <v>2293</v>
      </c>
      <c r="W1253">
        <v>50100211</v>
      </c>
      <c r="X1253" t="s">
        <v>865</v>
      </c>
      <c r="Y1253">
        <f>VLOOKUP(W1253,Sheet2!A:D,3,0)</f>
        <v>50082200</v>
      </c>
      <c r="Z1253" t="str">
        <f>VLOOKUP(W1253,Sheet2!A:D,4,0)</f>
        <v>HDPE: RELENE E52009</v>
      </c>
    </row>
    <row r="1254" spans="21:26" ht="15">
      <c r="U1254" s="63">
        <v>50100213</v>
      </c>
      <c r="V1254" s="64" t="s">
        <v>2294</v>
      </c>
      <c r="W1254">
        <v>50100211</v>
      </c>
      <c r="X1254" t="s">
        <v>865</v>
      </c>
      <c r="Y1254">
        <f>VLOOKUP(W1254,Sheet2!A:D,3,0)</f>
        <v>50082200</v>
      </c>
      <c r="Z1254" t="str">
        <f>VLOOKUP(W1254,Sheet2!A:D,4,0)</f>
        <v>HDPE: RELENE E52009</v>
      </c>
    </row>
    <row r="1255" spans="21:26" ht="15">
      <c r="U1255" s="63">
        <v>50100255</v>
      </c>
      <c r="V1255" s="64" t="s">
        <v>2295</v>
      </c>
      <c r="W1255">
        <v>50100254</v>
      </c>
      <c r="X1255" t="s">
        <v>866</v>
      </c>
      <c r="Y1255">
        <f>VLOOKUP(W1255,Sheet2!A:D,3,0)</f>
        <v>50082202</v>
      </c>
      <c r="Z1255" t="str">
        <f>VLOOKUP(W1255,Sheet2!A:D,4,0)</f>
        <v>HDPE: PURELL GC7260</v>
      </c>
    </row>
    <row r="1256" spans="21:26" ht="15">
      <c r="U1256" s="63">
        <v>50100256</v>
      </c>
      <c r="V1256" s="64" t="s">
        <v>2296</v>
      </c>
      <c r="W1256">
        <v>50100254</v>
      </c>
      <c r="X1256" t="s">
        <v>866</v>
      </c>
      <c r="Y1256">
        <f>VLOOKUP(W1256,Sheet2!A:D,3,0)</f>
        <v>50082202</v>
      </c>
      <c r="Z1256" t="str">
        <f>VLOOKUP(W1256,Sheet2!A:D,4,0)</f>
        <v>HDPE: PURELL GC7260</v>
      </c>
    </row>
    <row r="1257" spans="21:26" ht="15">
      <c r="U1257" s="63">
        <v>50100260</v>
      </c>
      <c r="V1257" s="64" t="s">
        <v>2297</v>
      </c>
      <c r="W1257">
        <v>50100259</v>
      </c>
      <c r="X1257" t="s">
        <v>867</v>
      </c>
      <c r="Y1257">
        <f>VLOOKUP(W1257,Sheet2!A:D,3,0)</f>
        <v>50082183</v>
      </c>
      <c r="Z1257" t="str">
        <f>VLOOKUP(W1257,Sheet2!A:D,4,0)</f>
        <v>LDPE: PURELL PE 1840 H</v>
      </c>
    </row>
    <row r="1258" spans="21:26" ht="15">
      <c r="U1258" s="63">
        <v>50100261</v>
      </c>
      <c r="V1258" s="64" t="s">
        <v>2298</v>
      </c>
      <c r="W1258">
        <v>50100259</v>
      </c>
      <c r="X1258" t="s">
        <v>867</v>
      </c>
      <c r="Y1258">
        <f>VLOOKUP(W1258,Sheet2!A:D,3,0)</f>
        <v>50082183</v>
      </c>
      <c r="Z1258" t="str">
        <f>VLOOKUP(W1258,Sheet2!A:D,4,0)</f>
        <v>LDPE: PURELL PE 1840 H</v>
      </c>
    </row>
    <row r="1259" spans="21:26" ht="15">
      <c r="U1259" s="63">
        <v>50100512</v>
      </c>
      <c r="V1259" s="64" t="s">
        <v>2299</v>
      </c>
      <c r="W1259">
        <v>50100509</v>
      </c>
      <c r="X1259" t="s">
        <v>868</v>
      </c>
      <c r="Y1259">
        <f>VLOOKUP(W1259,Sheet2!A:D,3,0)</f>
        <v>50082200</v>
      </c>
      <c r="Z1259" t="str">
        <f>VLOOKUP(W1259,Sheet2!A:D,4,0)</f>
        <v>HDPE: RELENE E52009</v>
      </c>
    </row>
    <row r="1260" spans="21:26" ht="15">
      <c r="U1260" s="63">
        <v>50100513</v>
      </c>
      <c r="V1260" s="64" t="s">
        <v>2300</v>
      </c>
      <c r="W1260">
        <v>50100509</v>
      </c>
      <c r="X1260" t="s">
        <v>868</v>
      </c>
      <c r="Y1260">
        <f>VLOOKUP(W1260,Sheet2!A:D,3,0)</f>
        <v>50082200</v>
      </c>
      <c r="Z1260" t="str">
        <f>VLOOKUP(W1260,Sheet2!A:D,4,0)</f>
        <v>HDPE: RELENE E52009</v>
      </c>
    </row>
    <row r="1261" spans="21:26" ht="15">
      <c r="U1261" s="63">
        <v>50100515</v>
      </c>
      <c r="V1261" s="64" t="s">
        <v>2301</v>
      </c>
      <c r="W1261">
        <v>50100514</v>
      </c>
      <c r="X1261" t="s">
        <v>869</v>
      </c>
      <c r="Y1261">
        <f>VLOOKUP(W1261,Sheet2!A:D,3,0)</f>
        <v>50082200</v>
      </c>
      <c r="Z1261" t="str">
        <f>VLOOKUP(W1261,Sheet2!A:D,4,0)</f>
        <v>HDPE: RELENE E52009</v>
      </c>
    </row>
    <row r="1262" spans="21:26" ht="15">
      <c r="U1262" s="63">
        <v>50100517</v>
      </c>
      <c r="V1262" s="64" t="s">
        <v>2302</v>
      </c>
      <c r="W1262">
        <v>50100514</v>
      </c>
      <c r="X1262" t="s">
        <v>869</v>
      </c>
      <c r="Y1262">
        <f>VLOOKUP(W1262,Sheet2!A:D,3,0)</f>
        <v>50082200</v>
      </c>
      <c r="Z1262" t="str">
        <f>VLOOKUP(W1262,Sheet2!A:D,4,0)</f>
        <v>HDPE: RELENE E52009</v>
      </c>
    </row>
    <row r="1263" spans="21:26" ht="15">
      <c r="U1263" s="63">
        <v>50100731</v>
      </c>
      <c r="V1263" s="64" t="s">
        <v>2303</v>
      </c>
      <c r="W1263">
        <v>50100730</v>
      </c>
      <c r="X1263" t="s">
        <v>870</v>
      </c>
      <c r="Y1263">
        <f>VLOOKUP(W1263,Sheet2!A:D,3,0)</f>
        <v>50082202</v>
      </c>
      <c r="Z1263" t="str">
        <f>VLOOKUP(W1263,Sheet2!A:D,4,0)</f>
        <v>HDPE: PURELL GC7260</v>
      </c>
    </row>
    <row r="1264" spans="21:26" ht="15">
      <c r="U1264" s="63">
        <v>50100732</v>
      </c>
      <c r="V1264" s="64" t="s">
        <v>2304</v>
      </c>
      <c r="W1264">
        <v>50100730</v>
      </c>
      <c r="X1264" t="s">
        <v>870</v>
      </c>
      <c r="Y1264">
        <f>VLOOKUP(W1264,Sheet2!A:D,3,0)</f>
        <v>50082202</v>
      </c>
      <c r="Z1264" t="str">
        <f>VLOOKUP(W1264,Sheet2!A:D,4,0)</f>
        <v>HDPE: PURELL GC7260</v>
      </c>
    </row>
    <row r="1265" spans="21:26" ht="15">
      <c r="U1265" s="63">
        <v>50100863</v>
      </c>
      <c r="V1265" s="64" t="s">
        <v>2305</v>
      </c>
      <c r="W1265">
        <v>50100862</v>
      </c>
      <c r="X1265" t="s">
        <v>871</v>
      </c>
      <c r="Y1265">
        <f>VLOOKUP(W1265,Sheet2!A:D,3,0)</f>
        <v>50082200</v>
      </c>
      <c r="Z1265" t="str">
        <f>VLOOKUP(W1265,Sheet2!A:D,4,0)</f>
        <v>HDPE: RELENE E52009</v>
      </c>
    </row>
    <row r="1266" spans="21:26" ht="15">
      <c r="U1266" s="63">
        <v>50100864</v>
      </c>
      <c r="V1266" s="64" t="s">
        <v>2306</v>
      </c>
      <c r="W1266">
        <v>50100862</v>
      </c>
      <c r="X1266" t="s">
        <v>871</v>
      </c>
      <c r="Y1266">
        <f>VLOOKUP(W1266,Sheet2!A:D,3,0)</f>
        <v>50082200</v>
      </c>
      <c r="Z1266" t="str">
        <f>VLOOKUP(W1266,Sheet2!A:D,4,0)</f>
        <v>HDPE: RELENE E52009</v>
      </c>
    </row>
    <row r="1267" spans="21:26" ht="15">
      <c r="U1267" s="63">
        <v>50100912</v>
      </c>
      <c r="V1267" s="64" t="s">
        <v>2307</v>
      </c>
      <c r="W1267">
        <v>50100911</v>
      </c>
      <c r="X1267" t="s">
        <v>872</v>
      </c>
      <c r="Y1267">
        <f>VLOOKUP(W1267,Sheet2!A:D,3,0)</f>
        <v>50082183</v>
      </c>
      <c r="Z1267" t="str">
        <f>VLOOKUP(W1267,Sheet2!A:D,4,0)</f>
        <v>LDPE: PURELL PE 1840 H</v>
      </c>
    </row>
    <row r="1268" spans="21:26" ht="15">
      <c r="U1268" s="63">
        <v>50100913</v>
      </c>
      <c r="V1268" s="64" t="s">
        <v>2308</v>
      </c>
      <c r="W1268">
        <v>50100911</v>
      </c>
      <c r="X1268" t="s">
        <v>872</v>
      </c>
      <c r="Y1268">
        <f>VLOOKUP(W1268,Sheet2!A:D,3,0)</f>
        <v>50082183</v>
      </c>
      <c r="Z1268" t="str">
        <f>VLOOKUP(W1268,Sheet2!A:D,4,0)</f>
        <v>LDPE: PURELL PE 1840 H</v>
      </c>
    </row>
    <row r="1269" spans="21:26" ht="15">
      <c r="U1269" s="63">
        <v>50100915</v>
      </c>
      <c r="V1269" s="64" t="s">
        <v>2309</v>
      </c>
      <c r="W1269">
        <v>50100914</v>
      </c>
      <c r="X1269" t="s">
        <v>873</v>
      </c>
      <c r="Y1269">
        <f>VLOOKUP(W1269,Sheet2!A:D,3,0)</f>
        <v>50082183</v>
      </c>
      <c r="Z1269" t="str">
        <f>VLOOKUP(W1269,Sheet2!A:D,4,0)</f>
        <v>LDPE: PURELL PE 1840 H</v>
      </c>
    </row>
    <row r="1270" spans="21:26" ht="15">
      <c r="U1270" s="63">
        <v>50100916</v>
      </c>
      <c r="V1270" s="64" t="s">
        <v>2310</v>
      </c>
      <c r="W1270">
        <v>50100914</v>
      </c>
      <c r="X1270" t="s">
        <v>873</v>
      </c>
      <c r="Y1270">
        <f>VLOOKUP(W1270,Sheet2!A:D,3,0)</f>
        <v>50082183</v>
      </c>
      <c r="Z1270" t="str">
        <f>VLOOKUP(W1270,Sheet2!A:D,4,0)</f>
        <v>LDPE: PURELL PE 1840 H</v>
      </c>
    </row>
    <row r="1271" spans="21:26" ht="15">
      <c r="U1271" s="63">
        <v>50101057</v>
      </c>
      <c r="V1271" s="64" t="s">
        <v>2311</v>
      </c>
      <c r="W1271">
        <v>50081408</v>
      </c>
      <c r="X1271" t="s">
        <v>516</v>
      </c>
      <c r="Y1271">
        <f>VLOOKUP(W1271,Sheet2!A:D,3,0)</f>
        <v>50082184</v>
      </c>
      <c r="Z1271" t="str">
        <f>VLOOKUP(W1271,Sheet2!A:D,4,0)</f>
        <v>LDPE: PURELL PE 1810 E</v>
      </c>
    </row>
    <row r="1272" spans="21:26" ht="15">
      <c r="U1272" s="63">
        <v>50101365</v>
      </c>
      <c r="V1272" s="64" t="s">
        <v>2312</v>
      </c>
      <c r="W1272">
        <v>50101364</v>
      </c>
      <c r="X1272" t="s">
        <v>877</v>
      </c>
      <c r="Y1272">
        <f>VLOOKUP(W1272,Sheet2!A:D,3,0)</f>
        <v>50082200</v>
      </c>
      <c r="Z1272" t="str">
        <f>VLOOKUP(W1272,Sheet2!A:D,4,0)</f>
        <v>HDPE: RELENE E52009</v>
      </c>
    </row>
    <row r="1273" spans="21:26" ht="15">
      <c r="U1273" s="63">
        <v>50101366</v>
      </c>
      <c r="V1273" s="64" t="s">
        <v>2313</v>
      </c>
      <c r="W1273">
        <v>50101364</v>
      </c>
      <c r="X1273" t="s">
        <v>877</v>
      </c>
      <c r="Y1273">
        <f>VLOOKUP(W1273,Sheet2!A:D,3,0)</f>
        <v>50082200</v>
      </c>
      <c r="Z1273" t="str">
        <f>VLOOKUP(W1273,Sheet2!A:D,4,0)</f>
        <v>HDPE: RELENE E52009</v>
      </c>
    </row>
    <row r="1274" spans="21:26" ht="15">
      <c r="U1274" s="63">
        <v>50101369</v>
      </c>
      <c r="V1274" s="64" t="s">
        <v>2314</v>
      </c>
      <c r="W1274">
        <v>50101368</v>
      </c>
      <c r="X1274" t="s">
        <v>878</v>
      </c>
      <c r="Y1274">
        <f>VLOOKUP(W1274,Sheet2!A:D,3,0)</f>
        <v>50082183</v>
      </c>
      <c r="Z1274" t="str">
        <f>VLOOKUP(W1274,Sheet2!A:D,4,0)</f>
        <v>LDPE: PURELL PE 1840 H</v>
      </c>
    </row>
    <row r="1275" spans="21:26" ht="15">
      <c r="U1275" s="63">
        <v>50101370</v>
      </c>
      <c r="V1275" s="64" t="s">
        <v>222</v>
      </c>
      <c r="W1275">
        <v>50101368</v>
      </c>
      <c r="X1275" t="s">
        <v>878</v>
      </c>
      <c r="Y1275">
        <f>VLOOKUP(W1275,Sheet2!A:D,3,0)</f>
        <v>50082183</v>
      </c>
      <c r="Z1275" t="str">
        <f>VLOOKUP(W1275,Sheet2!A:D,4,0)</f>
        <v>LDPE: PURELL PE 1840 H</v>
      </c>
    </row>
    <row r="1276" spans="21:26" ht="15">
      <c r="U1276" s="63">
        <v>50101455</v>
      </c>
      <c r="V1276" s="64" t="s">
        <v>2315</v>
      </c>
      <c r="W1276">
        <v>50082431</v>
      </c>
      <c r="X1276" t="s">
        <v>741</v>
      </c>
      <c r="Y1276">
        <f>VLOOKUP(W1276,Sheet2!A:D,3,0)</f>
        <v>50082200</v>
      </c>
      <c r="Z1276" t="str">
        <f>VLOOKUP(W1276,Sheet2!A:D,4,0)</f>
        <v>HDPE: RELENE E52009</v>
      </c>
    </row>
    <row r="1277" spans="21:26" ht="15">
      <c r="U1277" s="63">
        <v>50101620</v>
      </c>
      <c r="V1277" s="64" t="s">
        <v>2316</v>
      </c>
      <c r="W1277">
        <v>50101619</v>
      </c>
      <c r="X1277" t="s">
        <v>881</v>
      </c>
      <c r="Y1277">
        <f>VLOOKUP(W1277,Sheet2!A:D,3,0)</f>
        <v>50108558</v>
      </c>
      <c r="Z1277" t="str">
        <f>VLOOKUP(W1277,Sheet2!A:D,4,0)</f>
        <v>LDPE: RELENE J1020FF20</v>
      </c>
    </row>
    <row r="1278" spans="21:26" ht="15">
      <c r="U1278" s="63">
        <v>50101621</v>
      </c>
      <c r="V1278" s="64" t="s">
        <v>2317</v>
      </c>
      <c r="W1278">
        <v>50101619</v>
      </c>
      <c r="X1278" t="s">
        <v>881</v>
      </c>
      <c r="Y1278">
        <f>VLOOKUP(W1278,Sheet2!A:D,3,0)</f>
        <v>50108558</v>
      </c>
      <c r="Z1278" t="str">
        <f>VLOOKUP(W1278,Sheet2!A:D,4,0)</f>
        <v>LDPE: RELENE J1020FF20</v>
      </c>
    </row>
    <row r="1279" spans="21:26" ht="15">
      <c r="U1279" s="63">
        <v>50101626</v>
      </c>
      <c r="V1279" s="64" t="s">
        <v>2318</v>
      </c>
      <c r="W1279">
        <v>50101625</v>
      </c>
      <c r="X1279" t="s">
        <v>2319</v>
      </c>
      <c r="Y1279">
        <f>VLOOKUP(W1279,Sheet2!A:D,3,0)</f>
        <v>50108558</v>
      </c>
      <c r="Z1279" t="str">
        <f>VLOOKUP(W1279,Sheet2!A:D,4,0)</f>
        <v>LDPE: RELENE J1020FF20</v>
      </c>
    </row>
    <row r="1280" spans="21:26" ht="15">
      <c r="U1280" s="63">
        <v>50101627</v>
      </c>
      <c r="V1280" s="64" t="s">
        <v>2320</v>
      </c>
      <c r="W1280">
        <v>50101625</v>
      </c>
      <c r="X1280" t="s">
        <v>2319</v>
      </c>
      <c r="Y1280">
        <f>VLOOKUP(W1280,Sheet2!A:D,3,0)</f>
        <v>50108558</v>
      </c>
      <c r="Z1280" t="str">
        <f>VLOOKUP(W1280,Sheet2!A:D,4,0)</f>
        <v>LDPE: RELENE J1020FF20</v>
      </c>
    </row>
    <row r="1281" spans="21:26" ht="15">
      <c r="U1281" s="63">
        <v>50101629</v>
      </c>
      <c r="V1281" s="64" t="s">
        <v>364</v>
      </c>
      <c r="W1281">
        <v>50101628</v>
      </c>
      <c r="X1281" t="s">
        <v>882</v>
      </c>
      <c r="Y1281">
        <f>VLOOKUP(W1281,Sheet2!A:D,3,0)</f>
        <v>50108558</v>
      </c>
      <c r="Z1281" t="str">
        <f>VLOOKUP(W1281,Sheet2!A:D,4,0)</f>
        <v>LDPE: RELENE J1020FF20</v>
      </c>
    </row>
    <row r="1282" spans="21:26" ht="15">
      <c r="U1282" s="63">
        <v>50101630</v>
      </c>
      <c r="V1282" s="64" t="s">
        <v>2321</v>
      </c>
      <c r="W1282">
        <v>50101628</v>
      </c>
      <c r="X1282" t="s">
        <v>882</v>
      </c>
      <c r="Y1282">
        <f>VLOOKUP(W1282,Sheet2!A:D,3,0)</f>
        <v>50108558</v>
      </c>
      <c r="Z1282" t="str">
        <f>VLOOKUP(W1282,Sheet2!A:D,4,0)</f>
        <v>LDPE: RELENE J1020FF20</v>
      </c>
    </row>
    <row r="1283" spans="21:26" ht="15">
      <c r="U1283" s="63">
        <v>50101632</v>
      </c>
      <c r="V1283" s="64" t="s">
        <v>365</v>
      </c>
      <c r="W1283">
        <v>50101631</v>
      </c>
      <c r="X1283" t="s">
        <v>883</v>
      </c>
      <c r="Y1283">
        <f>VLOOKUP(W1283,Sheet2!A:D,3,0)</f>
        <v>50108558</v>
      </c>
      <c r="Z1283" t="str">
        <f>VLOOKUP(W1283,Sheet2!A:D,4,0)</f>
        <v>LDPE: RELENE J1020FF20</v>
      </c>
    </row>
    <row r="1284" spans="21:26" ht="15">
      <c r="U1284" s="63">
        <v>50101633</v>
      </c>
      <c r="V1284" s="64" t="s">
        <v>2322</v>
      </c>
      <c r="W1284">
        <v>50101631</v>
      </c>
      <c r="X1284" t="s">
        <v>883</v>
      </c>
      <c r="Y1284">
        <f>VLOOKUP(W1284,Sheet2!A:D,3,0)</f>
        <v>50108558</v>
      </c>
      <c r="Z1284" t="str">
        <f>VLOOKUP(W1284,Sheet2!A:D,4,0)</f>
        <v>LDPE: RELENE J1020FF20</v>
      </c>
    </row>
    <row r="1285" spans="21:26" ht="15">
      <c r="U1285" s="63">
        <v>50101635</v>
      </c>
      <c r="V1285" s="64" t="s">
        <v>2323</v>
      </c>
      <c r="W1285">
        <v>50101634</v>
      </c>
      <c r="X1285" t="s">
        <v>884</v>
      </c>
      <c r="Y1285">
        <f>VLOOKUP(W1285,Sheet2!A:D,3,0)</f>
        <v>50108558</v>
      </c>
      <c r="Z1285" t="str">
        <f>VLOOKUP(W1285,Sheet2!A:D,4,0)</f>
        <v>LDPE: RELENE J1020FF20</v>
      </c>
    </row>
    <row r="1286" spans="21:26" ht="15">
      <c r="U1286" s="63">
        <v>50101636</v>
      </c>
      <c r="V1286" s="64" t="s">
        <v>2324</v>
      </c>
      <c r="W1286">
        <v>50101634</v>
      </c>
      <c r="X1286" t="s">
        <v>884</v>
      </c>
      <c r="Y1286">
        <f>VLOOKUP(W1286,Sheet2!A:D,3,0)</f>
        <v>50108558</v>
      </c>
      <c r="Z1286" t="str">
        <f>VLOOKUP(W1286,Sheet2!A:D,4,0)</f>
        <v>LDPE: RELENE J1020FF20</v>
      </c>
    </row>
    <row r="1287" spans="21:26" ht="15">
      <c r="U1287" s="63">
        <v>50101713</v>
      </c>
      <c r="V1287" s="64" t="s">
        <v>2325</v>
      </c>
      <c r="W1287">
        <v>50101712</v>
      </c>
      <c r="X1287" t="s">
        <v>885</v>
      </c>
      <c r="Y1287">
        <f>VLOOKUP(W1287,Sheet2!A:D,3,0)</f>
        <v>50082200</v>
      </c>
      <c r="Z1287" t="str">
        <f>VLOOKUP(W1287,Sheet2!A:D,4,0)</f>
        <v>HDPE: RELENE E52009</v>
      </c>
    </row>
    <row r="1288" spans="21:26" ht="15">
      <c r="U1288" s="63">
        <v>50101714</v>
      </c>
      <c r="V1288" s="64" t="s">
        <v>2326</v>
      </c>
      <c r="W1288">
        <v>50101712</v>
      </c>
      <c r="X1288" t="s">
        <v>885</v>
      </c>
      <c r="Y1288">
        <f>VLOOKUP(W1288,Sheet2!A:D,3,0)</f>
        <v>50082200</v>
      </c>
      <c r="Z1288" t="str">
        <f>VLOOKUP(W1288,Sheet2!A:D,4,0)</f>
        <v>HDPE: RELENE E52009</v>
      </c>
    </row>
    <row r="1289" spans="21:26" ht="15">
      <c r="U1289" s="63">
        <v>50101720</v>
      </c>
      <c r="V1289" s="64" t="s">
        <v>2327</v>
      </c>
      <c r="W1289">
        <v>50101719</v>
      </c>
      <c r="X1289" t="s">
        <v>886</v>
      </c>
      <c r="Y1289">
        <f>VLOOKUP(W1289,Sheet2!A:D,3,0)</f>
        <v>50082183</v>
      </c>
      <c r="Z1289" t="str">
        <f>VLOOKUP(W1289,Sheet2!A:D,4,0)</f>
        <v>LDPE: PURELL PE 1840 H</v>
      </c>
    </row>
    <row r="1290" spans="21:26" ht="15">
      <c r="U1290" s="63">
        <v>50101721</v>
      </c>
      <c r="V1290" s="64" t="s">
        <v>2328</v>
      </c>
      <c r="W1290">
        <v>50101719</v>
      </c>
      <c r="X1290" t="s">
        <v>886</v>
      </c>
      <c r="Y1290">
        <f>VLOOKUP(W1290,Sheet2!A:D,3,0)</f>
        <v>50082183</v>
      </c>
      <c r="Z1290" t="str">
        <f>VLOOKUP(W1290,Sheet2!A:D,4,0)</f>
        <v>LDPE: PURELL PE 1840 H</v>
      </c>
    </row>
    <row r="1291" spans="21:26" ht="15">
      <c r="U1291" s="63">
        <v>50101726</v>
      </c>
      <c r="V1291" s="64" t="s">
        <v>245</v>
      </c>
      <c r="W1291">
        <v>50101725</v>
      </c>
      <c r="X1291" t="s">
        <v>887</v>
      </c>
      <c r="Y1291">
        <f>VLOOKUP(W1291,Sheet2!A:D,3,0)</f>
        <v>50082184</v>
      </c>
      <c r="Z1291" t="str">
        <f>VLOOKUP(W1291,Sheet2!A:D,4,0)</f>
        <v>LDPE: PURELL PE 1810 E</v>
      </c>
    </row>
    <row r="1292" spans="21:26" ht="15">
      <c r="U1292" s="63">
        <v>50101727</v>
      </c>
      <c r="V1292" s="64" t="s">
        <v>1485</v>
      </c>
      <c r="W1292">
        <v>50101725</v>
      </c>
      <c r="X1292" t="s">
        <v>887</v>
      </c>
      <c r="Y1292">
        <f>VLOOKUP(W1292,Sheet2!A:D,3,0)</f>
        <v>50082184</v>
      </c>
      <c r="Z1292" t="str">
        <f>VLOOKUP(W1292,Sheet2!A:D,4,0)</f>
        <v>LDPE: PURELL PE 1810 E</v>
      </c>
    </row>
    <row r="1293" spans="21:26" ht="15">
      <c r="U1293" s="63">
        <v>50101733</v>
      </c>
      <c r="V1293" s="64" t="s">
        <v>247</v>
      </c>
      <c r="W1293">
        <v>50101732</v>
      </c>
      <c r="X1293" t="s">
        <v>888</v>
      </c>
      <c r="Y1293">
        <f>VLOOKUP(W1293,Sheet2!A:D,3,0)</f>
        <v>50082184</v>
      </c>
      <c r="Z1293" t="str">
        <f>VLOOKUP(W1293,Sheet2!A:D,4,0)</f>
        <v>LDPE: PURELL PE 1810 E</v>
      </c>
    </row>
    <row r="1294" spans="21:26" ht="15">
      <c r="U1294" s="63">
        <v>50101734</v>
      </c>
      <c r="V1294" s="64" t="s">
        <v>1486</v>
      </c>
      <c r="W1294">
        <v>50101732</v>
      </c>
      <c r="X1294" t="s">
        <v>888</v>
      </c>
      <c r="Y1294">
        <f>VLOOKUP(W1294,Sheet2!A:D,3,0)</f>
        <v>50082184</v>
      </c>
      <c r="Z1294" t="str">
        <f>VLOOKUP(W1294,Sheet2!A:D,4,0)</f>
        <v>LDPE: PURELL PE 1810 E</v>
      </c>
    </row>
    <row r="1295" spans="21:26" ht="15">
      <c r="U1295" s="63">
        <v>50101771</v>
      </c>
      <c r="V1295" s="64" t="s">
        <v>2329</v>
      </c>
      <c r="W1295">
        <v>50096974</v>
      </c>
      <c r="X1295" t="s">
        <v>804</v>
      </c>
      <c r="Y1295">
        <f>VLOOKUP(W1295,Sheet2!A:D,3,0)</f>
        <v>50082202</v>
      </c>
      <c r="Z1295" t="str">
        <f>VLOOKUP(W1295,Sheet2!A:D,4,0)</f>
        <v>HDPE: PURELL GC7260</v>
      </c>
    </row>
    <row r="1296" spans="21:26" ht="15">
      <c r="U1296" s="63">
        <v>50101772</v>
      </c>
      <c r="V1296" s="64" t="s">
        <v>2330</v>
      </c>
      <c r="W1296">
        <v>50096974</v>
      </c>
      <c r="X1296" t="s">
        <v>804</v>
      </c>
      <c r="Y1296">
        <f>VLOOKUP(W1296,Sheet2!A:D,3,0)</f>
        <v>50082202</v>
      </c>
      <c r="Z1296" t="str">
        <f>VLOOKUP(W1296,Sheet2!A:D,4,0)</f>
        <v>HDPE: PURELL GC7260</v>
      </c>
    </row>
    <row r="1297" spans="21:26" ht="15">
      <c r="U1297" s="63">
        <v>50101921</v>
      </c>
      <c r="V1297" s="64" t="s">
        <v>1487</v>
      </c>
      <c r="W1297">
        <v>50101920</v>
      </c>
      <c r="X1297" t="s">
        <v>889</v>
      </c>
      <c r="Y1297">
        <f>VLOOKUP(W1297,Sheet2!A:D,3,0)</f>
        <v>50108558</v>
      </c>
      <c r="Z1297" t="str">
        <f>VLOOKUP(W1297,Sheet2!A:D,4,0)</f>
        <v>LDPE: RELENE J1020FF20</v>
      </c>
    </row>
    <row r="1298" spans="21:26" ht="15">
      <c r="U1298" s="63">
        <v>50101922</v>
      </c>
      <c r="V1298" s="64" t="s">
        <v>1488</v>
      </c>
      <c r="W1298">
        <v>50101920</v>
      </c>
      <c r="X1298" t="s">
        <v>889</v>
      </c>
      <c r="Y1298">
        <f>VLOOKUP(W1298,Sheet2!A:D,3,0)</f>
        <v>50108558</v>
      </c>
      <c r="Z1298" t="str">
        <f>VLOOKUP(W1298,Sheet2!A:D,4,0)</f>
        <v>LDPE: RELENE J1020FF20</v>
      </c>
    </row>
    <row r="1299" spans="21:26" ht="15">
      <c r="U1299" s="63">
        <v>50101944</v>
      </c>
      <c r="V1299" s="64" t="s">
        <v>478</v>
      </c>
      <c r="W1299">
        <v>50101943</v>
      </c>
      <c r="X1299" t="s">
        <v>891</v>
      </c>
      <c r="Y1299">
        <f>VLOOKUP(W1299,Sheet2!A:D,3,0)</f>
        <v>50082200</v>
      </c>
      <c r="Z1299" t="str">
        <f>VLOOKUP(W1299,Sheet2!A:D,4,0)</f>
        <v>HDPE: RELENE E52009</v>
      </c>
    </row>
    <row r="1300" spans="21:26" ht="15">
      <c r="U1300" s="63">
        <v>50101945</v>
      </c>
      <c r="V1300" s="64" t="s">
        <v>2331</v>
      </c>
      <c r="W1300">
        <v>50101943</v>
      </c>
      <c r="X1300" t="s">
        <v>891</v>
      </c>
      <c r="Y1300">
        <f>VLOOKUP(W1300,Sheet2!A:D,3,0)</f>
        <v>50082200</v>
      </c>
      <c r="Z1300" t="str">
        <f>VLOOKUP(W1300,Sheet2!A:D,4,0)</f>
        <v>HDPE: RELENE E52009</v>
      </c>
    </row>
    <row r="1301" spans="21:26" ht="15">
      <c r="U1301" s="63">
        <v>50101977</v>
      </c>
      <c r="V1301" s="64" t="s">
        <v>1489</v>
      </c>
      <c r="W1301">
        <v>50101976</v>
      </c>
      <c r="X1301" t="s">
        <v>1449</v>
      </c>
      <c r="Y1301">
        <f>VLOOKUP(W1301,Sheet2!A:D,3,0)</f>
        <v>50082198</v>
      </c>
      <c r="Z1301" t="str">
        <f>VLOOKUP(W1301,Sheet2!A:D,4,0)</f>
        <v>LDPE: RELENE 22FA002</v>
      </c>
    </row>
    <row r="1302" spans="21:26" ht="15">
      <c r="U1302" s="63">
        <v>50101978</v>
      </c>
      <c r="V1302" s="64" t="s">
        <v>1490</v>
      </c>
      <c r="W1302">
        <v>50101976</v>
      </c>
      <c r="X1302" t="s">
        <v>1449</v>
      </c>
      <c r="Y1302">
        <f>VLOOKUP(W1302,Sheet2!A:D,3,0)</f>
        <v>50082198</v>
      </c>
      <c r="Z1302" t="str">
        <f>VLOOKUP(W1302,Sheet2!A:D,4,0)</f>
        <v>LDPE: RELENE 22FA002</v>
      </c>
    </row>
    <row r="1303" spans="21:26" ht="15">
      <c r="U1303" s="63">
        <v>50101980</v>
      </c>
      <c r="V1303" s="64" t="s">
        <v>2332</v>
      </c>
      <c r="W1303">
        <v>50101979</v>
      </c>
      <c r="X1303" t="s">
        <v>892</v>
      </c>
      <c r="Y1303">
        <f>VLOOKUP(W1303,Sheet2!A:D,3,0)</f>
        <v>50082200</v>
      </c>
      <c r="Z1303" t="str">
        <f>VLOOKUP(W1303,Sheet2!A:D,4,0)</f>
        <v>HDPE: RELENE E52009</v>
      </c>
    </row>
    <row r="1304" spans="21:26" ht="15">
      <c r="U1304" s="63">
        <v>50101981</v>
      </c>
      <c r="V1304" s="64" t="s">
        <v>2333</v>
      </c>
      <c r="W1304">
        <v>50101979</v>
      </c>
      <c r="X1304" t="s">
        <v>892</v>
      </c>
      <c r="Y1304">
        <f>VLOOKUP(W1304,Sheet2!A:D,3,0)</f>
        <v>50082200</v>
      </c>
      <c r="Z1304" t="str">
        <f>VLOOKUP(W1304,Sheet2!A:D,4,0)</f>
        <v>HDPE: RELENE E52009</v>
      </c>
    </row>
    <row r="1305" spans="21:26" ht="15">
      <c r="U1305" s="63">
        <v>50101983</v>
      </c>
      <c r="V1305" s="64" t="s">
        <v>1491</v>
      </c>
      <c r="W1305">
        <v>50101982</v>
      </c>
      <c r="X1305" t="s">
        <v>1492</v>
      </c>
      <c r="Y1305">
        <f>VLOOKUP(W1305,Sheet2!A:D,3,0)</f>
        <v>50108558</v>
      </c>
      <c r="Z1305" t="str">
        <f>VLOOKUP(W1305,Sheet2!A:D,4,0)</f>
        <v>LDPE: RELENE J1020FF20</v>
      </c>
    </row>
    <row r="1306" spans="21:26" ht="15">
      <c r="U1306" s="63">
        <v>50101984</v>
      </c>
      <c r="V1306" s="64" t="s">
        <v>1493</v>
      </c>
      <c r="W1306">
        <v>50101982</v>
      </c>
      <c r="X1306" t="s">
        <v>1492</v>
      </c>
      <c r="Y1306">
        <f>VLOOKUP(W1306,Sheet2!A:D,3,0)</f>
        <v>50108558</v>
      </c>
      <c r="Z1306" t="str">
        <f>VLOOKUP(W1306,Sheet2!A:D,4,0)</f>
        <v>LDPE: RELENE J1020FF20</v>
      </c>
    </row>
    <row r="1307" spans="21:26" ht="15">
      <c r="U1307" s="63">
        <v>50101992</v>
      </c>
      <c r="V1307" s="64" t="s">
        <v>496</v>
      </c>
      <c r="W1307">
        <v>50101991</v>
      </c>
      <c r="X1307" t="s">
        <v>893</v>
      </c>
      <c r="Y1307">
        <f>VLOOKUP(W1307,Sheet2!A:D,3,0)</f>
        <v>50082202</v>
      </c>
      <c r="Z1307" t="str">
        <f>VLOOKUP(W1307,Sheet2!A:D,4,0)</f>
        <v>HDPE: PURELL GC7260</v>
      </c>
    </row>
    <row r="1308" spans="21:26" ht="15">
      <c r="U1308" s="63">
        <v>50101993</v>
      </c>
      <c r="V1308" s="64" t="s">
        <v>2334</v>
      </c>
      <c r="W1308">
        <v>50101991</v>
      </c>
      <c r="X1308" t="s">
        <v>893</v>
      </c>
      <c r="Y1308">
        <f>VLOOKUP(W1308,Sheet2!A:D,3,0)</f>
        <v>50082202</v>
      </c>
      <c r="Z1308" t="str">
        <f>VLOOKUP(W1308,Sheet2!A:D,4,0)</f>
        <v>HDPE: PURELL GC7260</v>
      </c>
    </row>
    <row r="1309" spans="21:26" ht="15">
      <c r="U1309" s="63">
        <v>50102081</v>
      </c>
      <c r="V1309" s="64" t="s">
        <v>2335</v>
      </c>
      <c r="W1309">
        <v>50102080</v>
      </c>
      <c r="X1309" t="s">
        <v>894</v>
      </c>
      <c r="Y1309">
        <f>VLOOKUP(W1309,Sheet2!A:D,3,0)</f>
        <v>50082200</v>
      </c>
      <c r="Z1309" t="str">
        <f>VLOOKUP(W1309,Sheet2!A:D,4,0)</f>
        <v>HDPE: RELENE E52009</v>
      </c>
    </row>
    <row r="1310" spans="21:26" ht="15">
      <c r="U1310" s="63">
        <v>50102082</v>
      </c>
      <c r="V1310" s="64" t="s">
        <v>2336</v>
      </c>
      <c r="W1310">
        <v>50102080</v>
      </c>
      <c r="X1310" t="s">
        <v>894</v>
      </c>
      <c r="Y1310">
        <f>VLOOKUP(W1310,Sheet2!A:D,3,0)</f>
        <v>50082200</v>
      </c>
      <c r="Z1310" t="str">
        <f>VLOOKUP(W1310,Sheet2!A:D,4,0)</f>
        <v>HDPE: RELENE E52009</v>
      </c>
    </row>
    <row r="1311" spans="21:26" ht="15">
      <c r="U1311" s="63">
        <v>50102093</v>
      </c>
      <c r="V1311" s="64" t="s">
        <v>2337</v>
      </c>
      <c r="W1311">
        <v>50102092</v>
      </c>
      <c r="X1311" t="s">
        <v>895</v>
      </c>
      <c r="Y1311">
        <f>VLOOKUP(W1311,Sheet2!A:D,3,0)</f>
        <v>50082200</v>
      </c>
      <c r="Z1311" t="str">
        <f>VLOOKUP(W1311,Sheet2!A:D,4,0)</f>
        <v>HDPE: RELENE E52009</v>
      </c>
    </row>
    <row r="1312" spans="21:26" ht="15">
      <c r="U1312" s="63">
        <v>50102094</v>
      </c>
      <c r="V1312" s="64" t="s">
        <v>2338</v>
      </c>
      <c r="W1312">
        <v>50102092</v>
      </c>
      <c r="X1312" t="s">
        <v>895</v>
      </c>
      <c r="Y1312">
        <f>VLOOKUP(W1312,Sheet2!A:D,3,0)</f>
        <v>50082200</v>
      </c>
      <c r="Z1312" t="str">
        <f>VLOOKUP(W1312,Sheet2!A:D,4,0)</f>
        <v>HDPE: RELENE E52009</v>
      </c>
    </row>
    <row r="1313" spans="21:26" ht="15">
      <c r="U1313" s="63">
        <v>50102394</v>
      </c>
      <c r="V1313" s="64" t="s">
        <v>2339</v>
      </c>
      <c r="W1313">
        <v>50102393</v>
      </c>
      <c r="X1313" t="s">
        <v>2340</v>
      </c>
      <c r="Y1313">
        <f>VLOOKUP(W1313,Sheet2!A:D,3,0)</f>
        <v>50108558</v>
      </c>
      <c r="Z1313" t="str">
        <f>VLOOKUP(W1313,Sheet2!A:D,4,0)</f>
        <v>LDPE: RELENE J1020FF20</v>
      </c>
    </row>
    <row r="1314" spans="21:26" ht="15">
      <c r="U1314" s="63">
        <v>50102395</v>
      </c>
      <c r="V1314" s="64" t="s">
        <v>2341</v>
      </c>
      <c r="W1314">
        <v>50102393</v>
      </c>
      <c r="X1314" t="s">
        <v>2340</v>
      </c>
      <c r="Y1314">
        <f>VLOOKUP(W1314,Sheet2!A:D,3,0)</f>
        <v>50108558</v>
      </c>
      <c r="Z1314" t="str">
        <f>VLOOKUP(W1314,Sheet2!A:D,4,0)</f>
        <v>LDPE: RELENE J1020FF20</v>
      </c>
    </row>
    <row r="1315" spans="21:26" ht="15">
      <c r="U1315" s="63">
        <v>50102397</v>
      </c>
      <c r="V1315" s="64" t="s">
        <v>366</v>
      </c>
      <c r="W1315">
        <v>50102396</v>
      </c>
      <c r="X1315" t="s">
        <v>906</v>
      </c>
      <c r="Y1315">
        <f>VLOOKUP(W1315,Sheet2!A:D,3,0)</f>
        <v>50108558</v>
      </c>
      <c r="Z1315" t="str">
        <f>VLOOKUP(W1315,Sheet2!A:D,4,0)</f>
        <v>LDPE: RELENE J1020FF20</v>
      </c>
    </row>
    <row r="1316" spans="21:26" ht="15">
      <c r="U1316" s="63">
        <v>50102398</v>
      </c>
      <c r="V1316" s="64" t="s">
        <v>2342</v>
      </c>
      <c r="W1316">
        <v>50102396</v>
      </c>
      <c r="X1316" t="s">
        <v>906</v>
      </c>
      <c r="Y1316">
        <f>VLOOKUP(W1316,Sheet2!A:D,3,0)</f>
        <v>50108558</v>
      </c>
      <c r="Z1316" t="str">
        <f>VLOOKUP(W1316,Sheet2!A:D,4,0)</f>
        <v>LDPE: RELENE J1020FF20</v>
      </c>
    </row>
    <row r="1317" spans="21:26" ht="15">
      <c r="U1317" s="63">
        <v>50102432</v>
      </c>
      <c r="V1317" s="64" t="s">
        <v>2343</v>
      </c>
      <c r="W1317">
        <v>50102431</v>
      </c>
      <c r="X1317" t="s">
        <v>310</v>
      </c>
      <c r="Y1317">
        <f>VLOOKUP(W1317,Sheet2!A:D,3,0)</f>
        <v>50108558</v>
      </c>
      <c r="Z1317" t="str">
        <f>VLOOKUP(W1317,Sheet2!A:D,4,0)</f>
        <v>LDPE: RELENE J1020FF20</v>
      </c>
    </row>
    <row r="1318" spans="21:26" ht="15">
      <c r="U1318" s="63">
        <v>50102433</v>
      </c>
      <c r="V1318" s="64" t="s">
        <v>2344</v>
      </c>
      <c r="W1318">
        <v>50102431</v>
      </c>
      <c r="X1318" t="s">
        <v>310</v>
      </c>
      <c r="Y1318">
        <f>VLOOKUP(W1318,Sheet2!A:D,3,0)</f>
        <v>50108558</v>
      </c>
      <c r="Z1318" t="str">
        <f>VLOOKUP(W1318,Sheet2!A:D,4,0)</f>
        <v>LDPE: RELENE J1020FF20</v>
      </c>
    </row>
    <row r="1319" spans="21:26" ht="15">
      <c r="U1319" s="63">
        <v>50102487</v>
      </c>
      <c r="V1319" s="64" t="s">
        <v>1543</v>
      </c>
      <c r="W1319">
        <v>50102486</v>
      </c>
      <c r="X1319" t="s">
        <v>271</v>
      </c>
      <c r="Y1319">
        <f>VLOOKUP(W1319,Sheet2!A:D,3,0)</f>
        <v>50082198</v>
      </c>
      <c r="Z1319" t="str">
        <f>VLOOKUP(W1319,Sheet2!A:D,4,0)</f>
        <v>LDPE: RELENE 22FA002</v>
      </c>
    </row>
    <row r="1320" spans="21:26" ht="15">
      <c r="U1320" s="63">
        <v>50102488</v>
      </c>
      <c r="V1320" s="64" t="s">
        <v>1544</v>
      </c>
      <c r="W1320">
        <v>50102486</v>
      </c>
      <c r="X1320" t="s">
        <v>271</v>
      </c>
      <c r="Y1320">
        <f>VLOOKUP(W1320,Sheet2!A:D,3,0)</f>
        <v>50082198</v>
      </c>
      <c r="Z1320" t="str">
        <f>VLOOKUP(W1320,Sheet2!A:D,4,0)</f>
        <v>LDPE: RELENE 22FA002</v>
      </c>
    </row>
    <row r="1321" spans="21:26" ht="15">
      <c r="U1321" s="63">
        <v>50102490</v>
      </c>
      <c r="V1321" s="64" t="s">
        <v>1545</v>
      </c>
      <c r="W1321">
        <v>50102489</v>
      </c>
      <c r="X1321" t="s">
        <v>1546</v>
      </c>
      <c r="Y1321">
        <f>VLOOKUP(W1321,Sheet2!A:D,3,0)</f>
        <v>50082198</v>
      </c>
      <c r="Z1321" t="str">
        <f>VLOOKUP(W1321,Sheet2!A:D,4,0)</f>
        <v>LDPE: RELENE 22FA002</v>
      </c>
    </row>
    <row r="1322" spans="21:26" ht="15">
      <c r="U1322" s="63">
        <v>50102491</v>
      </c>
      <c r="V1322" s="64" t="s">
        <v>1547</v>
      </c>
      <c r="W1322">
        <v>50102489</v>
      </c>
      <c r="X1322" t="s">
        <v>1546</v>
      </c>
      <c r="Y1322">
        <f>VLOOKUP(W1322,Sheet2!A:D,3,0)</f>
        <v>50082198</v>
      </c>
      <c r="Z1322" t="str">
        <f>VLOOKUP(W1322,Sheet2!A:D,4,0)</f>
        <v>LDPE: RELENE 22FA002</v>
      </c>
    </row>
    <row r="1323" spans="21:26" ht="15">
      <c r="U1323" s="63">
        <v>50102576</v>
      </c>
      <c r="V1323" s="64" t="s">
        <v>1548</v>
      </c>
      <c r="W1323">
        <v>50102575</v>
      </c>
      <c r="X1323" t="s">
        <v>1549</v>
      </c>
      <c r="Y1323">
        <f>VLOOKUP(W1323,Sheet2!A:D,3,0)</f>
        <v>50082198</v>
      </c>
      <c r="Z1323" t="str">
        <f>VLOOKUP(W1323,Sheet2!A:D,4,0)</f>
        <v>LDPE: RELENE 22FA002</v>
      </c>
    </row>
    <row r="1324" spans="21:26" ht="15">
      <c r="U1324" s="63">
        <v>50102577</v>
      </c>
      <c r="V1324" s="64" t="s">
        <v>1550</v>
      </c>
      <c r="W1324">
        <v>50102575</v>
      </c>
      <c r="X1324" t="s">
        <v>1549</v>
      </c>
      <c r="Y1324">
        <f>VLOOKUP(W1324,Sheet2!A:D,3,0)</f>
        <v>50082198</v>
      </c>
      <c r="Z1324" t="str">
        <f>VLOOKUP(W1324,Sheet2!A:D,4,0)</f>
        <v>LDPE: RELENE 22FA002</v>
      </c>
    </row>
    <row r="1325" spans="21:26" ht="15">
      <c r="U1325" s="63">
        <v>50102610</v>
      </c>
      <c r="V1325" s="64" t="s">
        <v>2345</v>
      </c>
      <c r="W1325">
        <v>50102609</v>
      </c>
      <c r="X1325" t="s">
        <v>910</v>
      </c>
      <c r="Y1325">
        <f>VLOOKUP(W1325,Sheet2!A:D,3,0)</f>
        <v>50082183</v>
      </c>
      <c r="Z1325" t="str">
        <f>VLOOKUP(W1325,Sheet2!A:D,4,0)</f>
        <v>LDPE: PURELL PE 1840 H</v>
      </c>
    </row>
    <row r="1326" spans="21:26" ht="15">
      <c r="U1326" s="63">
        <v>50102611</v>
      </c>
      <c r="V1326" s="64" t="s">
        <v>2346</v>
      </c>
      <c r="W1326">
        <v>50102609</v>
      </c>
      <c r="X1326" t="s">
        <v>910</v>
      </c>
      <c r="Y1326">
        <f>VLOOKUP(W1326,Sheet2!A:D,3,0)</f>
        <v>50082183</v>
      </c>
      <c r="Z1326" t="str">
        <f>VLOOKUP(W1326,Sheet2!A:D,4,0)</f>
        <v>LDPE: PURELL PE 1840 H</v>
      </c>
    </row>
    <row r="1327" spans="21:26" ht="15">
      <c r="U1327" s="63">
        <v>50102630</v>
      </c>
      <c r="V1327" s="64" t="s">
        <v>2347</v>
      </c>
      <c r="W1327">
        <v>50102629</v>
      </c>
      <c r="X1327" t="s">
        <v>2348</v>
      </c>
      <c r="Y1327" t="e">
        <f>VLOOKUP(W1327,Sheet2!A:D,3,0)</f>
        <v>#N/A</v>
      </c>
      <c r="Z1327" t="e">
        <f>VLOOKUP(W1327,Sheet2!A:D,4,0)</f>
        <v>#N/A</v>
      </c>
    </row>
    <row r="1328" spans="21:26" ht="15">
      <c r="U1328" s="63">
        <v>50102631</v>
      </c>
      <c r="V1328" s="64" t="s">
        <v>2349</v>
      </c>
      <c r="W1328">
        <v>50102629</v>
      </c>
      <c r="X1328" t="s">
        <v>2348</v>
      </c>
      <c r="Y1328" t="e">
        <f>VLOOKUP(W1328,Sheet2!A:D,3,0)</f>
        <v>#N/A</v>
      </c>
      <c r="Z1328" t="e">
        <f>VLOOKUP(W1328,Sheet2!A:D,4,0)</f>
        <v>#N/A</v>
      </c>
    </row>
    <row r="1329" spans="21:26" ht="15">
      <c r="U1329" s="63">
        <v>50102640</v>
      </c>
      <c r="V1329" s="64" t="s">
        <v>2350</v>
      </c>
      <c r="W1329">
        <v>50096919</v>
      </c>
      <c r="X1329" t="s">
        <v>795</v>
      </c>
      <c r="Y1329">
        <f>VLOOKUP(W1329,Sheet2!A:D,3,0)</f>
        <v>50082202</v>
      </c>
      <c r="Z1329" t="str">
        <f>VLOOKUP(W1329,Sheet2!A:D,4,0)</f>
        <v>HDPE: PURELL GC7260</v>
      </c>
    </row>
    <row r="1330" spans="21:26" ht="15">
      <c r="U1330" s="63">
        <v>50102766</v>
      </c>
      <c r="V1330" s="64" t="s">
        <v>1551</v>
      </c>
      <c r="W1330">
        <v>50102765</v>
      </c>
      <c r="X1330" t="s">
        <v>1552</v>
      </c>
      <c r="Y1330">
        <f>VLOOKUP(W1330,Sheet2!A:D,3,0)</f>
        <v>50082198</v>
      </c>
      <c r="Z1330" t="str">
        <f>VLOOKUP(W1330,Sheet2!A:D,4,0)</f>
        <v>LDPE: RELENE 22FA002</v>
      </c>
    </row>
    <row r="1331" spans="21:26" ht="15">
      <c r="U1331" s="63">
        <v>50102767</v>
      </c>
      <c r="V1331" s="64" t="s">
        <v>1553</v>
      </c>
      <c r="W1331">
        <v>50102765</v>
      </c>
      <c r="X1331" t="s">
        <v>1552</v>
      </c>
      <c r="Y1331">
        <f>VLOOKUP(W1331,Sheet2!A:D,3,0)</f>
        <v>50082198</v>
      </c>
      <c r="Z1331" t="str">
        <f>VLOOKUP(W1331,Sheet2!A:D,4,0)</f>
        <v>LDPE: RELENE 22FA002</v>
      </c>
    </row>
    <row r="1332" spans="21:26" ht="15">
      <c r="U1332" s="63">
        <v>50102865</v>
      </c>
      <c r="V1332" s="64" t="s">
        <v>473</v>
      </c>
      <c r="W1332">
        <v>50102864</v>
      </c>
      <c r="X1332" t="s">
        <v>911</v>
      </c>
      <c r="Y1332">
        <f>VLOOKUP(W1332,Sheet2!A:D,3,0)</f>
        <v>50082183</v>
      </c>
      <c r="Z1332" t="str">
        <f>VLOOKUP(W1332,Sheet2!A:D,4,0)</f>
        <v>LDPE: PURELL PE 1840 H</v>
      </c>
    </row>
    <row r="1333" spans="21:26" ht="15">
      <c r="U1333" s="63">
        <v>50102866</v>
      </c>
      <c r="V1333" s="64" t="s">
        <v>2351</v>
      </c>
      <c r="W1333">
        <v>50102864</v>
      </c>
      <c r="X1333" t="s">
        <v>911</v>
      </c>
      <c r="Y1333">
        <f>VLOOKUP(W1333,Sheet2!A:D,3,0)</f>
        <v>50082183</v>
      </c>
      <c r="Z1333" t="str">
        <f>VLOOKUP(W1333,Sheet2!A:D,4,0)</f>
        <v>LDPE: PURELL PE 1840 H</v>
      </c>
    </row>
    <row r="1334" spans="21:26" ht="15">
      <c r="U1334" s="63">
        <v>50102909</v>
      </c>
      <c r="V1334" s="64" t="s">
        <v>1554</v>
      </c>
      <c r="W1334">
        <v>50102908</v>
      </c>
      <c r="X1334" t="s">
        <v>1555</v>
      </c>
      <c r="Y1334">
        <f>VLOOKUP(W1334,Sheet2!A:D,3,0)</f>
        <v>50082198</v>
      </c>
      <c r="Z1334" t="str">
        <f>VLOOKUP(W1334,Sheet2!A:D,4,0)</f>
        <v>LDPE: RELENE 22FA002</v>
      </c>
    </row>
    <row r="1335" spans="21:26" ht="15">
      <c r="U1335" s="63">
        <v>50102910</v>
      </c>
      <c r="V1335" s="64" t="s">
        <v>1556</v>
      </c>
      <c r="W1335">
        <v>50102908</v>
      </c>
      <c r="X1335" t="s">
        <v>1555</v>
      </c>
      <c r="Y1335">
        <f>VLOOKUP(W1335,Sheet2!A:D,3,0)</f>
        <v>50082198</v>
      </c>
      <c r="Z1335" t="str">
        <f>VLOOKUP(W1335,Sheet2!A:D,4,0)</f>
        <v>LDPE: RELENE 22FA002</v>
      </c>
    </row>
    <row r="1336" spans="21:26" ht="15">
      <c r="U1336" s="63">
        <v>50102919</v>
      </c>
      <c r="V1336" s="64" t="s">
        <v>1557</v>
      </c>
      <c r="W1336">
        <v>50102918</v>
      </c>
      <c r="X1336" t="s">
        <v>913</v>
      </c>
      <c r="Y1336">
        <f>VLOOKUP(W1336,Sheet2!A:D,3,0)</f>
        <v>50082183</v>
      </c>
      <c r="Z1336" t="str">
        <f>VLOOKUP(W1336,Sheet2!A:D,4,0)</f>
        <v>LDPE: PURELL PE 1840 H</v>
      </c>
    </row>
    <row r="1337" spans="21:26" ht="15">
      <c r="U1337" s="63">
        <v>50102920</v>
      </c>
      <c r="V1337" s="64" t="s">
        <v>1558</v>
      </c>
      <c r="W1337">
        <v>50102918</v>
      </c>
      <c r="X1337" t="s">
        <v>913</v>
      </c>
      <c r="Y1337">
        <f>VLOOKUP(W1337,Sheet2!A:D,3,0)</f>
        <v>50082183</v>
      </c>
      <c r="Z1337" t="str">
        <f>VLOOKUP(W1337,Sheet2!A:D,4,0)</f>
        <v>LDPE: PURELL PE 1840 H</v>
      </c>
    </row>
    <row r="1338" spans="21:26" ht="15">
      <c r="U1338" s="63">
        <v>50102922</v>
      </c>
      <c r="V1338" s="64" t="s">
        <v>2352</v>
      </c>
      <c r="W1338">
        <v>50102921</v>
      </c>
      <c r="X1338" t="s">
        <v>914</v>
      </c>
      <c r="Y1338">
        <f>VLOOKUP(W1338,Sheet2!A:D,3,0)</f>
        <v>50082202</v>
      </c>
      <c r="Z1338" t="str">
        <f>VLOOKUP(W1338,Sheet2!A:D,4,0)</f>
        <v>HDPE: PURELL GC7260</v>
      </c>
    </row>
    <row r="1339" spans="21:26" ht="15">
      <c r="U1339" s="63">
        <v>50102923</v>
      </c>
      <c r="V1339" s="64" t="s">
        <v>2353</v>
      </c>
      <c r="W1339">
        <v>50102921</v>
      </c>
      <c r="X1339" t="s">
        <v>914</v>
      </c>
      <c r="Y1339">
        <f>VLOOKUP(W1339,Sheet2!A:D,3,0)</f>
        <v>50082202</v>
      </c>
      <c r="Z1339" t="str">
        <f>VLOOKUP(W1339,Sheet2!A:D,4,0)</f>
        <v>HDPE: PURELL GC7260</v>
      </c>
    </row>
    <row r="1340" spans="21:26" ht="15">
      <c r="U1340" s="63">
        <v>50103021</v>
      </c>
      <c r="V1340" s="64" t="s">
        <v>1559</v>
      </c>
      <c r="W1340">
        <v>50103020</v>
      </c>
      <c r="X1340" t="s">
        <v>1560</v>
      </c>
      <c r="Y1340">
        <f>VLOOKUP(W1340,Sheet2!A:D,3,0)</f>
        <v>50082198</v>
      </c>
      <c r="Z1340" t="str">
        <f>VLOOKUP(W1340,Sheet2!A:D,4,0)</f>
        <v>LDPE: RELENE 22FA002</v>
      </c>
    </row>
    <row r="1341" spans="21:26" ht="15">
      <c r="U1341" s="63">
        <v>50103022</v>
      </c>
      <c r="V1341" s="64" t="s">
        <v>1561</v>
      </c>
      <c r="W1341">
        <v>50103020</v>
      </c>
      <c r="X1341" t="s">
        <v>1560</v>
      </c>
      <c r="Y1341">
        <f>VLOOKUP(W1341,Sheet2!A:D,3,0)</f>
        <v>50082198</v>
      </c>
      <c r="Z1341" t="str">
        <f>VLOOKUP(W1341,Sheet2!A:D,4,0)</f>
        <v>LDPE: RELENE 22FA002</v>
      </c>
    </row>
    <row r="1342" spans="21:26" ht="15">
      <c r="U1342" s="63">
        <v>50103049</v>
      </c>
      <c r="V1342" s="64" t="s">
        <v>2354</v>
      </c>
      <c r="W1342">
        <v>50103048</v>
      </c>
      <c r="X1342" t="s">
        <v>915</v>
      </c>
      <c r="Y1342">
        <f>VLOOKUP(W1342,Sheet2!A:D,3,0)</f>
        <v>50082200</v>
      </c>
      <c r="Z1342" t="str">
        <f>VLOOKUP(W1342,Sheet2!A:D,4,0)</f>
        <v>HDPE: RELENE E52009</v>
      </c>
    </row>
    <row r="1343" spans="21:26" ht="15">
      <c r="U1343" s="63">
        <v>50103050</v>
      </c>
      <c r="V1343" s="64" t="s">
        <v>2355</v>
      </c>
      <c r="W1343">
        <v>50103048</v>
      </c>
      <c r="X1343" t="s">
        <v>915</v>
      </c>
      <c r="Y1343">
        <f>VLOOKUP(W1343,Sheet2!A:D,3,0)</f>
        <v>50082200</v>
      </c>
      <c r="Z1343" t="str">
        <f>VLOOKUP(W1343,Sheet2!A:D,4,0)</f>
        <v>HDPE: RELENE E52009</v>
      </c>
    </row>
    <row r="1344" spans="21:26" ht="15">
      <c r="U1344" s="63">
        <v>50103052</v>
      </c>
      <c r="V1344" s="64" t="s">
        <v>2356</v>
      </c>
      <c r="W1344">
        <v>50103051</v>
      </c>
      <c r="X1344" t="s">
        <v>916</v>
      </c>
      <c r="Y1344">
        <f>VLOOKUP(W1344,Sheet2!A:D,3,0)</f>
        <v>50082202</v>
      </c>
      <c r="Z1344" t="str">
        <f>VLOOKUP(W1344,Sheet2!A:D,4,0)</f>
        <v>HDPE: PURELL GC7260</v>
      </c>
    </row>
    <row r="1345" spans="21:26" ht="15">
      <c r="U1345" s="63">
        <v>50103053</v>
      </c>
      <c r="V1345" s="64" t="s">
        <v>2357</v>
      </c>
      <c r="W1345">
        <v>50103051</v>
      </c>
      <c r="X1345" t="s">
        <v>916</v>
      </c>
      <c r="Y1345">
        <f>VLOOKUP(W1345,Sheet2!A:D,3,0)</f>
        <v>50082202</v>
      </c>
      <c r="Z1345" t="str">
        <f>VLOOKUP(W1345,Sheet2!A:D,4,0)</f>
        <v>HDPE: PURELL GC7260</v>
      </c>
    </row>
    <row r="1346" spans="21:26" ht="15">
      <c r="U1346" s="63">
        <v>50103086</v>
      </c>
      <c r="V1346" s="64" t="s">
        <v>1562</v>
      </c>
      <c r="W1346">
        <v>50103085</v>
      </c>
      <c r="X1346" t="s">
        <v>1563</v>
      </c>
      <c r="Y1346">
        <f>VLOOKUP(W1346,Sheet2!A:D,3,0)</f>
        <v>50082198</v>
      </c>
      <c r="Z1346" t="str">
        <f>VLOOKUP(W1346,Sheet2!A:D,4,0)</f>
        <v>LDPE: RELENE 22FA002</v>
      </c>
    </row>
    <row r="1347" spans="21:26" ht="15">
      <c r="U1347" s="63">
        <v>50103087</v>
      </c>
      <c r="V1347" s="64" t="s">
        <v>1564</v>
      </c>
      <c r="W1347">
        <v>50103085</v>
      </c>
      <c r="X1347" t="s">
        <v>1563</v>
      </c>
      <c r="Y1347">
        <f>VLOOKUP(W1347,Sheet2!A:D,3,0)</f>
        <v>50082198</v>
      </c>
      <c r="Z1347" t="str">
        <f>VLOOKUP(W1347,Sheet2!A:D,4,0)</f>
        <v>LDPE: RELENE 22FA002</v>
      </c>
    </row>
    <row r="1348" spans="21:26" ht="15">
      <c r="U1348" s="63">
        <v>50103122</v>
      </c>
      <c r="V1348" s="64" t="s">
        <v>1565</v>
      </c>
      <c r="W1348">
        <v>50103121</v>
      </c>
      <c r="X1348" t="s">
        <v>917</v>
      </c>
      <c r="Y1348">
        <f>VLOOKUP(W1348,Sheet2!A:D,3,0)</f>
        <v>50082183</v>
      </c>
      <c r="Z1348" t="str">
        <f>VLOOKUP(W1348,Sheet2!A:D,4,0)</f>
        <v>LDPE: PURELL PE 1840 H</v>
      </c>
    </row>
    <row r="1349" spans="21:26" ht="15">
      <c r="U1349" s="63">
        <v>50103123</v>
      </c>
      <c r="V1349" s="64" t="s">
        <v>1566</v>
      </c>
      <c r="W1349">
        <v>50103121</v>
      </c>
      <c r="X1349" t="s">
        <v>917</v>
      </c>
      <c r="Y1349">
        <f>VLOOKUP(W1349,Sheet2!A:D,3,0)</f>
        <v>50082183</v>
      </c>
      <c r="Z1349" t="str">
        <f>VLOOKUP(W1349,Sheet2!A:D,4,0)</f>
        <v>LDPE: PURELL PE 1840 H</v>
      </c>
    </row>
    <row r="1350" spans="21:26" ht="15">
      <c r="U1350" s="63">
        <v>50103231</v>
      </c>
      <c r="V1350" s="64" t="s">
        <v>2358</v>
      </c>
      <c r="W1350">
        <v>50103230</v>
      </c>
      <c r="X1350" t="s">
        <v>918</v>
      </c>
      <c r="Y1350">
        <f>VLOOKUP(W1350,Sheet2!A:D,3,0)</f>
        <v>50082200</v>
      </c>
      <c r="Z1350" t="str">
        <f>VLOOKUP(W1350,Sheet2!A:D,4,0)</f>
        <v>HDPE: RELENE E52009</v>
      </c>
    </row>
    <row r="1351" spans="21:26" ht="15">
      <c r="U1351" s="63">
        <v>50103232</v>
      </c>
      <c r="V1351" s="64" t="s">
        <v>2359</v>
      </c>
      <c r="W1351">
        <v>50103230</v>
      </c>
      <c r="X1351" t="s">
        <v>918</v>
      </c>
      <c r="Y1351">
        <f>VLOOKUP(W1351,Sheet2!A:D,3,0)</f>
        <v>50082200</v>
      </c>
      <c r="Z1351" t="str">
        <f>VLOOKUP(W1351,Sheet2!A:D,4,0)</f>
        <v>HDPE: RELENE E52009</v>
      </c>
    </row>
    <row r="1352" spans="21:26" ht="15">
      <c r="U1352" s="63">
        <v>50103372</v>
      </c>
      <c r="V1352" s="64" t="s">
        <v>2360</v>
      </c>
      <c r="W1352">
        <v>50103371</v>
      </c>
      <c r="X1352" t="s">
        <v>919</v>
      </c>
      <c r="Y1352">
        <f>VLOOKUP(W1352,Sheet2!A:D,3,0)</f>
        <v>50082183</v>
      </c>
      <c r="Z1352" t="str">
        <f>VLOOKUP(W1352,Sheet2!A:D,4,0)</f>
        <v>LDPE: PURELL PE 1840 H</v>
      </c>
    </row>
    <row r="1353" spans="21:26" ht="15">
      <c r="U1353" s="63">
        <v>50103373</v>
      </c>
      <c r="V1353" s="64" t="s">
        <v>2361</v>
      </c>
      <c r="W1353">
        <v>50103371</v>
      </c>
      <c r="X1353" t="s">
        <v>919</v>
      </c>
      <c r="Y1353">
        <f>VLOOKUP(W1353,Sheet2!A:D,3,0)</f>
        <v>50082183</v>
      </c>
      <c r="Z1353" t="str">
        <f>VLOOKUP(W1353,Sheet2!A:D,4,0)</f>
        <v>LDPE: PURELL PE 1840 H</v>
      </c>
    </row>
    <row r="1354" spans="21:26" ht="15">
      <c r="U1354" s="63">
        <v>50103503</v>
      </c>
      <c r="V1354" s="64" t="s">
        <v>212</v>
      </c>
      <c r="W1354">
        <v>50097331</v>
      </c>
      <c r="X1354" t="s">
        <v>820</v>
      </c>
      <c r="Y1354">
        <f>VLOOKUP(W1354,Sheet2!A:D,3,0)</f>
        <v>50082183</v>
      </c>
      <c r="Z1354" t="str">
        <f>VLOOKUP(W1354,Sheet2!A:D,4,0)</f>
        <v>LDPE: PURELL PE 1840 H</v>
      </c>
    </row>
    <row r="1355" spans="21:26" ht="15">
      <c r="U1355" s="63">
        <v>50103504</v>
      </c>
      <c r="V1355" s="64" t="s">
        <v>2362</v>
      </c>
      <c r="W1355">
        <v>50097331</v>
      </c>
      <c r="X1355" t="s">
        <v>820</v>
      </c>
      <c r="Y1355">
        <f>VLOOKUP(W1355,Sheet2!A:D,3,0)</f>
        <v>50082183</v>
      </c>
      <c r="Z1355" t="str">
        <f>VLOOKUP(W1355,Sheet2!A:D,4,0)</f>
        <v>LDPE: PURELL PE 1840 H</v>
      </c>
    </row>
    <row r="1356" spans="21:26" ht="15">
      <c r="U1356" s="63">
        <v>50103558</v>
      </c>
      <c r="V1356" s="64" t="s">
        <v>1567</v>
      </c>
      <c r="W1356">
        <v>50103557</v>
      </c>
      <c r="X1356" t="s">
        <v>1568</v>
      </c>
      <c r="Y1356">
        <f>VLOOKUP(W1356,Sheet2!A:D,3,0)</f>
        <v>50082198</v>
      </c>
      <c r="Z1356" t="str">
        <f>VLOOKUP(W1356,Sheet2!A:D,4,0)</f>
        <v>LDPE: RELENE 22FA002</v>
      </c>
    </row>
    <row r="1357" spans="21:26" ht="15">
      <c r="U1357" s="63">
        <v>50103559</v>
      </c>
      <c r="V1357" s="64" t="s">
        <v>1569</v>
      </c>
      <c r="W1357">
        <v>50103557</v>
      </c>
      <c r="X1357" t="s">
        <v>1568</v>
      </c>
      <c r="Y1357">
        <f>VLOOKUP(W1357,Sheet2!A:D,3,0)</f>
        <v>50082198</v>
      </c>
      <c r="Z1357" t="str">
        <f>VLOOKUP(W1357,Sheet2!A:D,4,0)</f>
        <v>LDPE: RELENE 22FA002</v>
      </c>
    </row>
    <row r="1358" spans="21:26" ht="15">
      <c r="U1358" s="63">
        <v>50104157</v>
      </c>
      <c r="V1358" s="64" t="s">
        <v>2363</v>
      </c>
      <c r="W1358">
        <v>50104154</v>
      </c>
      <c r="X1358" t="s">
        <v>920</v>
      </c>
      <c r="Y1358">
        <f>VLOOKUP(W1358,Sheet2!A:D,3,0)</f>
        <v>50082183</v>
      </c>
      <c r="Z1358" t="str">
        <f>VLOOKUP(W1358,Sheet2!A:D,4,0)</f>
        <v>LDPE: PURELL PE 1840 H</v>
      </c>
    </row>
    <row r="1359" spans="21:26" ht="15">
      <c r="U1359" s="63">
        <v>50104227</v>
      </c>
      <c r="V1359" s="64" t="s">
        <v>2364</v>
      </c>
      <c r="W1359">
        <v>50104226</v>
      </c>
      <c r="X1359" t="s">
        <v>921</v>
      </c>
      <c r="Y1359">
        <f>VLOOKUP(W1359,Sheet2!A:D,3,0)</f>
        <v>50082202</v>
      </c>
      <c r="Z1359" t="str">
        <f>VLOOKUP(W1359,Sheet2!A:D,4,0)</f>
        <v>HDPE: PURELL GC7260</v>
      </c>
    </row>
    <row r="1360" spans="21:26" ht="15">
      <c r="U1360" s="63">
        <v>50104228</v>
      </c>
      <c r="V1360" s="64" t="s">
        <v>2365</v>
      </c>
      <c r="W1360">
        <v>50104226</v>
      </c>
      <c r="X1360" t="s">
        <v>921</v>
      </c>
      <c r="Y1360">
        <f>VLOOKUP(W1360,Sheet2!A:D,3,0)</f>
        <v>50082202</v>
      </c>
      <c r="Z1360" t="str">
        <f>VLOOKUP(W1360,Sheet2!A:D,4,0)</f>
        <v>HDPE: PURELL GC7260</v>
      </c>
    </row>
    <row r="1361" spans="21:26" ht="15">
      <c r="U1361" s="63">
        <v>50104512</v>
      </c>
      <c r="V1361" s="64" t="s">
        <v>2366</v>
      </c>
      <c r="W1361">
        <v>50104511</v>
      </c>
      <c r="X1361" t="s">
        <v>922</v>
      </c>
      <c r="Y1361">
        <f>VLOOKUP(W1361,Sheet2!A:D,3,0)</f>
        <v>50082202</v>
      </c>
      <c r="Z1361" t="str">
        <f>VLOOKUP(W1361,Sheet2!A:D,4,0)</f>
        <v>HDPE: PURELL GC7260</v>
      </c>
    </row>
    <row r="1362" spans="21:26" ht="15">
      <c r="U1362" s="63">
        <v>50104513</v>
      </c>
      <c r="V1362" s="64" t="s">
        <v>2367</v>
      </c>
      <c r="W1362">
        <v>50104511</v>
      </c>
      <c r="X1362" t="s">
        <v>922</v>
      </c>
      <c r="Y1362">
        <f>VLOOKUP(W1362,Sheet2!A:D,3,0)</f>
        <v>50082202</v>
      </c>
      <c r="Z1362" t="str">
        <f>VLOOKUP(W1362,Sheet2!A:D,4,0)</f>
        <v>HDPE: PURELL GC7260</v>
      </c>
    </row>
    <row r="1363" spans="21:26" ht="15">
      <c r="U1363" s="63">
        <v>50104515</v>
      </c>
      <c r="V1363" s="64" t="s">
        <v>2368</v>
      </c>
      <c r="W1363">
        <v>50104514</v>
      </c>
      <c r="X1363" t="s">
        <v>923</v>
      </c>
      <c r="Y1363">
        <f>VLOOKUP(W1363,Sheet2!A:D,3,0)</f>
        <v>50082202</v>
      </c>
      <c r="Z1363" t="str">
        <f>VLOOKUP(W1363,Sheet2!A:D,4,0)</f>
        <v>HDPE: PURELL GC7260</v>
      </c>
    </row>
    <row r="1364" spans="21:26" ht="15">
      <c r="U1364" s="63">
        <v>50104632</v>
      </c>
      <c r="V1364" s="64" t="s">
        <v>113</v>
      </c>
      <c r="W1364">
        <v>50104630</v>
      </c>
      <c r="X1364" t="s">
        <v>929</v>
      </c>
      <c r="Y1364">
        <f>VLOOKUP(W1364,Sheet2!A:D,3,0)</f>
        <v>50103870</v>
      </c>
      <c r="Z1364" t="str">
        <f>VLOOKUP(W1364,Sheet2!A:D,4,0)</f>
        <v>PP: Purell RP270G</v>
      </c>
    </row>
    <row r="1365" spans="21:26" ht="15">
      <c r="U1365" s="63">
        <v>50104747</v>
      </c>
      <c r="V1365" s="64" t="s">
        <v>1570</v>
      </c>
      <c r="W1365">
        <v>50104746</v>
      </c>
      <c r="X1365" t="s">
        <v>272</v>
      </c>
      <c r="Y1365">
        <f>VLOOKUP(W1365,Sheet2!A:D,3,0)</f>
        <v>50082198</v>
      </c>
      <c r="Z1365" t="str">
        <f>VLOOKUP(W1365,Sheet2!A:D,4,0)</f>
        <v>LDPE: RELENE 22FA002</v>
      </c>
    </row>
    <row r="1366" spans="21:26" ht="15">
      <c r="U1366" s="63">
        <v>50104748</v>
      </c>
      <c r="V1366" s="64" t="s">
        <v>1571</v>
      </c>
      <c r="W1366">
        <v>50104746</v>
      </c>
      <c r="X1366" t="s">
        <v>272</v>
      </c>
      <c r="Y1366">
        <f>VLOOKUP(W1366,Sheet2!A:D,3,0)</f>
        <v>50082198</v>
      </c>
      <c r="Z1366" t="str">
        <f>VLOOKUP(W1366,Sheet2!A:D,4,0)</f>
        <v>LDPE: RELENE 22FA002</v>
      </c>
    </row>
    <row r="1367" spans="21:26" ht="15">
      <c r="U1367" s="63">
        <v>50104784</v>
      </c>
      <c r="V1367" s="64" t="s">
        <v>233</v>
      </c>
      <c r="W1367">
        <v>50104783</v>
      </c>
      <c r="X1367" t="s">
        <v>931</v>
      </c>
      <c r="Y1367">
        <f>VLOOKUP(W1367,Sheet2!A:D,3,0)</f>
        <v>50103870</v>
      </c>
      <c r="Z1367" t="str">
        <f>VLOOKUP(W1367,Sheet2!A:D,4,0)</f>
        <v>PP: Purell RP270G</v>
      </c>
    </row>
    <row r="1368" spans="21:26" ht="15">
      <c r="U1368" s="63">
        <v>50104911</v>
      </c>
      <c r="V1368" s="64" t="s">
        <v>2369</v>
      </c>
      <c r="W1368">
        <v>50100259</v>
      </c>
      <c r="X1368" t="s">
        <v>867</v>
      </c>
      <c r="Y1368">
        <f>VLOOKUP(W1368,Sheet2!A:D,3,0)</f>
        <v>50082183</v>
      </c>
      <c r="Z1368" t="str">
        <f>VLOOKUP(W1368,Sheet2!A:D,4,0)</f>
        <v>LDPE: PURELL PE 1840 H</v>
      </c>
    </row>
    <row r="1369" spans="21:26" ht="15">
      <c r="U1369" s="63">
        <v>50104912</v>
      </c>
      <c r="V1369" s="64" t="s">
        <v>2370</v>
      </c>
      <c r="W1369">
        <v>50100259</v>
      </c>
      <c r="X1369" t="s">
        <v>867</v>
      </c>
      <c r="Y1369">
        <f>VLOOKUP(W1369,Sheet2!A:D,3,0)</f>
        <v>50082183</v>
      </c>
      <c r="Z1369" t="str">
        <f>VLOOKUP(W1369,Sheet2!A:D,4,0)</f>
        <v>LDPE: PURELL PE 1840 H</v>
      </c>
    </row>
    <row r="1370" spans="21:26" ht="15">
      <c r="U1370" s="63">
        <v>50104925</v>
      </c>
      <c r="V1370" s="64" t="s">
        <v>381</v>
      </c>
      <c r="W1370">
        <v>50104924</v>
      </c>
      <c r="X1370" t="s">
        <v>936</v>
      </c>
      <c r="Y1370">
        <f>VLOOKUP(W1370,Sheet2!A:D,3,0)</f>
        <v>50082184</v>
      </c>
      <c r="Z1370" t="str">
        <f>VLOOKUP(W1370,Sheet2!A:D,4,0)</f>
        <v>LDPE: PURELL PE 1810 E</v>
      </c>
    </row>
    <row r="1371" spans="21:26" ht="15">
      <c r="U1371" s="63">
        <v>50104926</v>
      </c>
      <c r="V1371" s="64" t="s">
        <v>1572</v>
      </c>
      <c r="W1371">
        <v>50104924</v>
      </c>
      <c r="X1371" t="s">
        <v>936</v>
      </c>
      <c r="Y1371">
        <f>VLOOKUP(W1371,Sheet2!A:D,3,0)</f>
        <v>50082184</v>
      </c>
      <c r="Z1371" t="str">
        <f>VLOOKUP(W1371,Sheet2!A:D,4,0)</f>
        <v>LDPE: PURELL PE 1810 E</v>
      </c>
    </row>
    <row r="1372" spans="21:26" ht="15">
      <c r="U1372" s="63">
        <v>50104990</v>
      </c>
      <c r="V1372" s="64" t="s">
        <v>2371</v>
      </c>
      <c r="W1372">
        <v>50104989</v>
      </c>
      <c r="X1372" t="s">
        <v>937</v>
      </c>
      <c r="Y1372">
        <f>VLOOKUP(W1372,Sheet2!A:D,3,0)</f>
        <v>50082202</v>
      </c>
      <c r="Z1372" t="str">
        <f>VLOOKUP(W1372,Sheet2!A:D,4,0)</f>
        <v>HDPE: PURELL GC7260</v>
      </c>
    </row>
    <row r="1373" spans="21:26" ht="15">
      <c r="U1373" s="63">
        <v>50104991</v>
      </c>
      <c r="V1373" s="64" t="s">
        <v>2372</v>
      </c>
      <c r="W1373">
        <v>50104989</v>
      </c>
      <c r="X1373" t="s">
        <v>937</v>
      </c>
      <c r="Y1373">
        <f>VLOOKUP(W1373,Sheet2!A:D,3,0)</f>
        <v>50082202</v>
      </c>
      <c r="Z1373" t="str">
        <f>VLOOKUP(W1373,Sheet2!A:D,4,0)</f>
        <v>HDPE: PURELL GC7260</v>
      </c>
    </row>
    <row r="1374" spans="21:26" ht="15">
      <c r="U1374" s="63">
        <v>50104993</v>
      </c>
      <c r="V1374" s="64" t="s">
        <v>2373</v>
      </c>
      <c r="W1374">
        <v>50104992</v>
      </c>
      <c r="X1374" t="s">
        <v>938</v>
      </c>
      <c r="Y1374">
        <f>VLOOKUP(W1374,Sheet2!A:D,3,0)</f>
        <v>50082202</v>
      </c>
      <c r="Z1374" t="str">
        <f>VLOOKUP(W1374,Sheet2!A:D,4,0)</f>
        <v>HDPE: PURELL GC7260</v>
      </c>
    </row>
    <row r="1375" spans="21:26" ht="15">
      <c r="U1375" s="63">
        <v>50104994</v>
      </c>
      <c r="V1375" s="64" t="s">
        <v>2374</v>
      </c>
      <c r="W1375">
        <v>50104992</v>
      </c>
      <c r="X1375" t="s">
        <v>938</v>
      </c>
      <c r="Y1375">
        <f>VLOOKUP(W1375,Sheet2!A:D,3,0)</f>
        <v>50082202</v>
      </c>
      <c r="Z1375" t="str">
        <f>VLOOKUP(W1375,Sheet2!A:D,4,0)</f>
        <v>HDPE: PURELL GC7260</v>
      </c>
    </row>
    <row r="1376" spans="21:26" ht="15">
      <c r="U1376" s="63">
        <v>50104996</v>
      </c>
      <c r="V1376" s="64" t="s">
        <v>2375</v>
      </c>
      <c r="W1376">
        <v>50104995</v>
      </c>
      <c r="X1376" t="s">
        <v>939</v>
      </c>
      <c r="Y1376">
        <f>VLOOKUP(W1376,Sheet2!A:D,3,0)</f>
        <v>50082202</v>
      </c>
      <c r="Z1376" t="str">
        <f>VLOOKUP(W1376,Sheet2!A:D,4,0)</f>
        <v>HDPE: PURELL GC7260</v>
      </c>
    </row>
    <row r="1377" spans="21:26" ht="15">
      <c r="U1377" s="63">
        <v>50104997</v>
      </c>
      <c r="V1377" s="64" t="s">
        <v>2376</v>
      </c>
      <c r="W1377">
        <v>50104995</v>
      </c>
      <c r="X1377" t="s">
        <v>939</v>
      </c>
      <c r="Y1377">
        <f>VLOOKUP(W1377,Sheet2!A:D,3,0)</f>
        <v>50082202</v>
      </c>
      <c r="Z1377" t="str">
        <f>VLOOKUP(W1377,Sheet2!A:D,4,0)</f>
        <v>HDPE: PURELL GC7260</v>
      </c>
    </row>
    <row r="1378" spans="21:26" ht="15">
      <c r="U1378" s="63">
        <v>50105004</v>
      </c>
      <c r="V1378" s="64" t="s">
        <v>2377</v>
      </c>
      <c r="W1378">
        <v>50105003</v>
      </c>
      <c r="X1378" t="s">
        <v>940</v>
      </c>
      <c r="Y1378">
        <f>VLOOKUP(W1378,Sheet2!A:D,3,0)</f>
        <v>50082202</v>
      </c>
      <c r="Z1378" t="str">
        <f>VLOOKUP(W1378,Sheet2!A:D,4,0)</f>
        <v>HDPE: PURELL GC7260</v>
      </c>
    </row>
    <row r="1379" spans="21:26" ht="15">
      <c r="U1379" s="63">
        <v>50105005</v>
      </c>
      <c r="V1379" s="64" t="s">
        <v>2378</v>
      </c>
      <c r="W1379">
        <v>50105003</v>
      </c>
      <c r="X1379" t="s">
        <v>940</v>
      </c>
      <c r="Y1379">
        <f>VLOOKUP(W1379,Sheet2!A:D,3,0)</f>
        <v>50082202</v>
      </c>
      <c r="Z1379" t="str">
        <f>VLOOKUP(W1379,Sheet2!A:D,4,0)</f>
        <v>HDPE: PURELL GC7260</v>
      </c>
    </row>
    <row r="1380" spans="21:26" ht="15">
      <c r="U1380" s="63">
        <v>50105007</v>
      </c>
      <c r="V1380" s="64" t="s">
        <v>2379</v>
      </c>
      <c r="W1380">
        <v>50105006</v>
      </c>
      <c r="X1380" t="s">
        <v>941</v>
      </c>
      <c r="Y1380">
        <f>VLOOKUP(W1380,Sheet2!A:D,3,0)</f>
        <v>50082202</v>
      </c>
      <c r="Z1380" t="str">
        <f>VLOOKUP(W1380,Sheet2!A:D,4,0)</f>
        <v>HDPE: PURELL GC7260</v>
      </c>
    </row>
    <row r="1381" spans="21:26" ht="15">
      <c r="U1381" s="63">
        <v>50105008</v>
      </c>
      <c r="V1381" s="64" t="s">
        <v>2380</v>
      </c>
      <c r="W1381">
        <v>50105006</v>
      </c>
      <c r="X1381" t="s">
        <v>941</v>
      </c>
      <c r="Y1381">
        <f>VLOOKUP(W1381,Sheet2!A:D,3,0)</f>
        <v>50082202</v>
      </c>
      <c r="Z1381" t="str">
        <f>VLOOKUP(W1381,Sheet2!A:D,4,0)</f>
        <v>HDPE: PURELL GC7260</v>
      </c>
    </row>
    <row r="1382" spans="21:26" ht="15">
      <c r="U1382" s="63">
        <v>50105010</v>
      </c>
      <c r="V1382" s="64" t="s">
        <v>155</v>
      </c>
      <c r="W1382">
        <v>50105009</v>
      </c>
      <c r="X1382" t="s">
        <v>942</v>
      </c>
      <c r="Y1382">
        <f>VLOOKUP(W1382,Sheet2!A:D,3,0)</f>
        <v>50082184</v>
      </c>
      <c r="Z1382" t="str">
        <f>VLOOKUP(W1382,Sheet2!A:D,4,0)</f>
        <v>LDPE: PURELL PE 1810 E</v>
      </c>
    </row>
    <row r="1383" spans="21:26" ht="15">
      <c r="U1383" s="63">
        <v>50105011</v>
      </c>
      <c r="V1383" s="64" t="s">
        <v>282</v>
      </c>
      <c r="W1383">
        <v>50105009</v>
      </c>
      <c r="X1383" t="s">
        <v>942</v>
      </c>
      <c r="Y1383">
        <f>VLOOKUP(W1383,Sheet2!A:D,3,0)</f>
        <v>50082184</v>
      </c>
      <c r="Z1383" t="str">
        <f>VLOOKUP(W1383,Sheet2!A:D,4,0)</f>
        <v>LDPE: PURELL PE 1810 E</v>
      </c>
    </row>
    <row r="1384" spans="21:26" ht="15">
      <c r="U1384" s="63">
        <v>50105024</v>
      </c>
      <c r="V1384" s="64" t="s">
        <v>2381</v>
      </c>
      <c r="W1384">
        <v>50105023</v>
      </c>
      <c r="X1384" t="s">
        <v>943</v>
      </c>
      <c r="Y1384">
        <f>VLOOKUP(W1384,Sheet2!A:D,3,0)</f>
        <v>50082202</v>
      </c>
      <c r="Z1384" t="str">
        <f>VLOOKUP(W1384,Sheet2!A:D,4,0)</f>
        <v>HDPE: PURELL GC7260</v>
      </c>
    </row>
    <row r="1385" spans="21:26" ht="15">
      <c r="U1385" s="63">
        <v>50105025</v>
      </c>
      <c r="V1385" s="64" t="s">
        <v>2382</v>
      </c>
      <c r="W1385">
        <v>50105023</v>
      </c>
      <c r="X1385" t="s">
        <v>943</v>
      </c>
      <c r="Y1385">
        <f>VLOOKUP(W1385,Sheet2!A:D,3,0)</f>
        <v>50082202</v>
      </c>
      <c r="Z1385" t="str">
        <f>VLOOKUP(W1385,Sheet2!A:D,4,0)</f>
        <v>HDPE: PURELL GC7260</v>
      </c>
    </row>
    <row r="1386" spans="21:26" ht="15">
      <c r="U1386" s="63">
        <v>50105035</v>
      </c>
      <c r="V1386" s="64" t="s">
        <v>2383</v>
      </c>
      <c r="W1386">
        <v>50105034</v>
      </c>
      <c r="X1386" t="s">
        <v>945</v>
      </c>
      <c r="Y1386">
        <f>VLOOKUP(W1386,Sheet2!A:D,3,0)</f>
        <v>50082202</v>
      </c>
      <c r="Z1386" t="str">
        <f>VLOOKUP(W1386,Sheet2!A:D,4,0)</f>
        <v>HDPE: PURELL GC7260</v>
      </c>
    </row>
    <row r="1387" spans="21:26" ht="15">
      <c r="U1387" s="63">
        <v>50105036</v>
      </c>
      <c r="V1387" s="64" t="s">
        <v>2384</v>
      </c>
      <c r="W1387">
        <v>50105034</v>
      </c>
      <c r="X1387" t="s">
        <v>945</v>
      </c>
      <c r="Y1387">
        <f>VLOOKUP(W1387,Sheet2!A:D,3,0)</f>
        <v>50082202</v>
      </c>
      <c r="Z1387" t="str">
        <f>VLOOKUP(W1387,Sheet2!A:D,4,0)</f>
        <v>HDPE: PURELL GC7260</v>
      </c>
    </row>
    <row r="1388" spans="21:26" ht="15">
      <c r="U1388" s="63">
        <v>50105068</v>
      </c>
      <c r="V1388" s="64" t="s">
        <v>2385</v>
      </c>
      <c r="W1388">
        <v>50105067</v>
      </c>
      <c r="X1388" t="s">
        <v>947</v>
      </c>
      <c r="Y1388">
        <f>VLOOKUP(W1388,Sheet2!A:D,3,0)</f>
        <v>50082202</v>
      </c>
      <c r="Z1388" t="str">
        <f>VLOOKUP(W1388,Sheet2!A:D,4,0)</f>
        <v>HDPE: PURELL GC7260</v>
      </c>
    </row>
    <row r="1389" spans="21:26" ht="15">
      <c r="U1389" s="63">
        <v>50105069</v>
      </c>
      <c r="V1389" s="64" t="s">
        <v>2386</v>
      </c>
      <c r="W1389">
        <v>50105067</v>
      </c>
      <c r="X1389" t="s">
        <v>947</v>
      </c>
      <c r="Y1389">
        <f>VLOOKUP(W1389,Sheet2!A:D,3,0)</f>
        <v>50082202</v>
      </c>
      <c r="Z1389" t="str">
        <f>VLOOKUP(W1389,Sheet2!A:D,4,0)</f>
        <v>HDPE: PURELL GC7260</v>
      </c>
    </row>
    <row r="1390" spans="21:26" ht="15">
      <c r="U1390" s="63">
        <v>50105113</v>
      </c>
      <c r="V1390" s="64" t="s">
        <v>1573</v>
      </c>
      <c r="W1390">
        <v>50105111</v>
      </c>
      <c r="X1390" t="s">
        <v>950</v>
      </c>
      <c r="Y1390">
        <f>VLOOKUP(W1390,Sheet2!A:D,3,0)</f>
        <v>50082183</v>
      </c>
      <c r="Z1390" t="str">
        <f>VLOOKUP(W1390,Sheet2!A:D,4,0)</f>
        <v>LDPE: PURELL PE 1840 H</v>
      </c>
    </row>
    <row r="1391" spans="21:26" ht="15">
      <c r="U1391" s="63">
        <v>50105114</v>
      </c>
      <c r="V1391" s="64" t="s">
        <v>1574</v>
      </c>
      <c r="W1391">
        <v>50105111</v>
      </c>
      <c r="X1391" t="s">
        <v>950</v>
      </c>
      <c r="Y1391">
        <f>VLOOKUP(W1391,Sheet2!A:D,3,0)</f>
        <v>50082183</v>
      </c>
      <c r="Z1391" t="str">
        <f>VLOOKUP(W1391,Sheet2!A:D,4,0)</f>
        <v>LDPE: PURELL PE 1840 H</v>
      </c>
    </row>
    <row r="1392" spans="21:26" ht="15">
      <c r="U1392" s="63">
        <v>50105117</v>
      </c>
      <c r="V1392" s="64" t="s">
        <v>1575</v>
      </c>
      <c r="W1392">
        <v>50105115</v>
      </c>
      <c r="X1392" t="s">
        <v>951</v>
      </c>
      <c r="Y1392">
        <f>VLOOKUP(W1392,Sheet2!A:D,3,0)</f>
        <v>50082183</v>
      </c>
      <c r="Z1392" t="str">
        <f>VLOOKUP(W1392,Sheet2!A:D,4,0)</f>
        <v>LDPE: PURELL PE 1840 H</v>
      </c>
    </row>
    <row r="1393" spans="21:26" ht="15">
      <c r="U1393" s="63">
        <v>50105119</v>
      </c>
      <c r="V1393" s="64" t="s">
        <v>1576</v>
      </c>
      <c r="W1393">
        <v>50105118</v>
      </c>
      <c r="X1393" t="s">
        <v>952</v>
      </c>
      <c r="Y1393">
        <f>VLOOKUP(W1393,Sheet2!A:D,3,0)</f>
        <v>50082183</v>
      </c>
      <c r="Z1393" t="str">
        <f>VLOOKUP(W1393,Sheet2!A:D,4,0)</f>
        <v>LDPE: PURELL PE 1840 H</v>
      </c>
    </row>
    <row r="1394" spans="21:26" ht="15">
      <c r="U1394" s="63">
        <v>50105120</v>
      </c>
      <c r="V1394" s="64" t="s">
        <v>1577</v>
      </c>
      <c r="W1394">
        <v>50105118</v>
      </c>
      <c r="X1394" t="s">
        <v>952</v>
      </c>
      <c r="Y1394">
        <f>VLOOKUP(W1394,Sheet2!A:D,3,0)</f>
        <v>50082183</v>
      </c>
      <c r="Z1394" t="str">
        <f>VLOOKUP(W1394,Sheet2!A:D,4,0)</f>
        <v>LDPE: PURELL PE 1840 H</v>
      </c>
    </row>
    <row r="1395" spans="21:26" ht="15">
      <c r="U1395" s="63">
        <v>50105137</v>
      </c>
      <c r="V1395" s="64" t="s">
        <v>2387</v>
      </c>
      <c r="W1395">
        <v>50105134</v>
      </c>
      <c r="X1395" t="s">
        <v>953</v>
      </c>
      <c r="Y1395">
        <f>VLOOKUP(W1395,Sheet2!A:D,3,0)</f>
        <v>50082200</v>
      </c>
      <c r="Z1395" t="str">
        <f>VLOOKUP(W1395,Sheet2!A:D,4,0)</f>
        <v>HDPE: RELENE E52009</v>
      </c>
    </row>
    <row r="1396" spans="21:26" ht="15">
      <c r="U1396" s="63">
        <v>50105138</v>
      </c>
      <c r="V1396" s="64" t="s">
        <v>2388</v>
      </c>
      <c r="W1396">
        <v>50105134</v>
      </c>
      <c r="X1396" t="s">
        <v>953</v>
      </c>
      <c r="Y1396">
        <f>VLOOKUP(W1396,Sheet2!A:D,3,0)</f>
        <v>50082200</v>
      </c>
      <c r="Z1396" t="str">
        <f>VLOOKUP(W1396,Sheet2!A:D,4,0)</f>
        <v>HDPE: RELENE E52009</v>
      </c>
    </row>
    <row r="1397" spans="21:26" ht="15">
      <c r="U1397" s="63">
        <v>50105263</v>
      </c>
      <c r="V1397" s="64" t="s">
        <v>2389</v>
      </c>
      <c r="W1397">
        <v>50105278</v>
      </c>
      <c r="X1397" t="s">
        <v>960</v>
      </c>
      <c r="Y1397">
        <f>VLOOKUP(W1397,Sheet2!A:D,3,0)</f>
        <v>50082183</v>
      </c>
      <c r="Z1397" t="str">
        <f>VLOOKUP(W1397,Sheet2!A:D,4,0)</f>
        <v>LDPE: PURELL PE 1840 H</v>
      </c>
    </row>
    <row r="1398" spans="21:26" ht="15">
      <c r="U1398" s="63">
        <v>50105264</v>
      </c>
      <c r="V1398" s="64" t="s">
        <v>393</v>
      </c>
      <c r="W1398">
        <v>50105279</v>
      </c>
      <c r="X1398" t="s">
        <v>961</v>
      </c>
      <c r="Y1398">
        <f>VLOOKUP(W1398,Sheet2!A:D,3,0)</f>
        <v>50082183</v>
      </c>
      <c r="Z1398" t="str">
        <f>VLOOKUP(W1398,Sheet2!A:D,4,0)</f>
        <v>LDPE: PURELL PE 1840 H</v>
      </c>
    </row>
    <row r="1399" spans="21:26" ht="15">
      <c r="U1399" s="63">
        <v>50105265</v>
      </c>
      <c r="V1399" s="64" t="s">
        <v>2390</v>
      </c>
      <c r="W1399">
        <v>50105280</v>
      </c>
      <c r="X1399" t="s">
        <v>962</v>
      </c>
      <c r="Y1399">
        <f>VLOOKUP(W1399,Sheet2!A:D,3,0)</f>
        <v>50082183</v>
      </c>
      <c r="Z1399" t="str">
        <f>VLOOKUP(W1399,Sheet2!A:D,4,0)</f>
        <v>LDPE: PURELL PE 1840 H</v>
      </c>
    </row>
    <row r="1400" spans="21:26" ht="15">
      <c r="U1400" s="63">
        <v>50105266</v>
      </c>
      <c r="V1400" s="64" t="s">
        <v>2391</v>
      </c>
      <c r="W1400">
        <v>50105281</v>
      </c>
      <c r="X1400" t="s">
        <v>963</v>
      </c>
      <c r="Y1400">
        <f>VLOOKUP(W1400,Sheet2!A:D,3,0)</f>
        <v>50082183</v>
      </c>
      <c r="Z1400" t="str">
        <f>VLOOKUP(W1400,Sheet2!A:D,4,0)</f>
        <v>LDPE: PURELL PE 1840 H</v>
      </c>
    </row>
    <row r="1401" spans="21:26" ht="15">
      <c r="U1401" s="63">
        <v>50105267</v>
      </c>
      <c r="V1401" s="64" t="s">
        <v>2392</v>
      </c>
      <c r="W1401">
        <v>50105282</v>
      </c>
      <c r="X1401" t="s">
        <v>964</v>
      </c>
      <c r="Y1401">
        <f>VLOOKUP(W1401,Sheet2!A:D,3,0)</f>
        <v>50082202</v>
      </c>
      <c r="Z1401" t="str">
        <f>VLOOKUP(W1401,Sheet2!A:D,4,0)</f>
        <v>HDPE: PURELL GC7260</v>
      </c>
    </row>
    <row r="1402" spans="21:26" ht="15">
      <c r="U1402" s="63">
        <v>50105268</v>
      </c>
      <c r="V1402" s="64" t="s">
        <v>2393</v>
      </c>
      <c r="W1402">
        <v>50105283</v>
      </c>
      <c r="X1402" t="s">
        <v>965</v>
      </c>
      <c r="Y1402">
        <f>VLOOKUP(W1402,Sheet2!A:D,3,0)</f>
        <v>50082202</v>
      </c>
      <c r="Z1402" t="str">
        <f>VLOOKUP(W1402,Sheet2!A:D,4,0)</f>
        <v>HDPE: PURELL GC7260</v>
      </c>
    </row>
    <row r="1403" spans="21:26" ht="15">
      <c r="U1403" s="63">
        <v>50105269</v>
      </c>
      <c r="V1403" s="64" t="s">
        <v>2394</v>
      </c>
      <c r="W1403">
        <v>50105284</v>
      </c>
      <c r="X1403" t="s">
        <v>966</v>
      </c>
      <c r="Y1403">
        <f>VLOOKUP(W1403,Sheet2!A:D,3,0)</f>
        <v>50082183</v>
      </c>
      <c r="Z1403" t="str">
        <f>VLOOKUP(W1403,Sheet2!A:D,4,0)</f>
        <v>LDPE: PURELL PE 1840 H</v>
      </c>
    </row>
    <row r="1404" spans="21:26" ht="15">
      <c r="U1404" s="63">
        <v>50105270</v>
      </c>
      <c r="V1404" s="64" t="s">
        <v>2395</v>
      </c>
      <c r="W1404">
        <v>50105285</v>
      </c>
      <c r="X1404" t="s">
        <v>967</v>
      </c>
      <c r="Y1404">
        <f>VLOOKUP(W1404,Sheet2!A:D,3,0)</f>
        <v>50082183</v>
      </c>
      <c r="Z1404" t="str">
        <f>VLOOKUP(W1404,Sheet2!A:D,4,0)</f>
        <v>LDPE: PURELL PE 1840 H</v>
      </c>
    </row>
    <row r="1405" spans="21:26" ht="15">
      <c r="U1405" s="63">
        <v>50105392</v>
      </c>
      <c r="V1405" s="64" t="s">
        <v>2396</v>
      </c>
      <c r="W1405">
        <v>50105391</v>
      </c>
      <c r="X1405" t="s">
        <v>968</v>
      </c>
      <c r="Y1405">
        <f>VLOOKUP(W1405,Sheet2!A:D,3,0)</f>
        <v>50082200</v>
      </c>
      <c r="Z1405" t="str">
        <f>VLOOKUP(W1405,Sheet2!A:D,4,0)</f>
        <v>HDPE: RELENE E52009</v>
      </c>
    </row>
    <row r="1406" spans="21:26" ht="15">
      <c r="U1406" s="63">
        <v>50105393</v>
      </c>
      <c r="V1406" s="64" t="s">
        <v>2397</v>
      </c>
      <c r="W1406">
        <v>50105391</v>
      </c>
      <c r="X1406" t="s">
        <v>968</v>
      </c>
      <c r="Y1406">
        <f>VLOOKUP(W1406,Sheet2!A:D,3,0)</f>
        <v>50082200</v>
      </c>
      <c r="Z1406" t="str">
        <f>VLOOKUP(W1406,Sheet2!A:D,4,0)</f>
        <v>HDPE: RELENE E52009</v>
      </c>
    </row>
    <row r="1407" spans="21:26" ht="15">
      <c r="U1407" s="63">
        <v>50105507</v>
      </c>
      <c r="V1407" s="64" t="s">
        <v>2398</v>
      </c>
      <c r="W1407">
        <v>50105506</v>
      </c>
      <c r="X1407" t="s">
        <v>973</v>
      </c>
      <c r="Y1407">
        <f>VLOOKUP(W1407,Sheet2!A:D,3,0)</f>
        <v>50082199</v>
      </c>
      <c r="Z1407" t="str">
        <f>VLOOKUP(W1407,Sheet2!A:D,4,0)</f>
        <v>HDPE: RELENE M60075</v>
      </c>
    </row>
    <row r="1408" spans="21:26" ht="15">
      <c r="U1408" s="63">
        <v>50105508</v>
      </c>
      <c r="V1408" s="64" t="s">
        <v>2399</v>
      </c>
      <c r="W1408">
        <v>50105506</v>
      </c>
      <c r="X1408" t="s">
        <v>973</v>
      </c>
      <c r="Y1408">
        <f>VLOOKUP(W1408,Sheet2!A:D,3,0)</f>
        <v>50082199</v>
      </c>
      <c r="Z1408" t="str">
        <f>VLOOKUP(W1408,Sheet2!A:D,4,0)</f>
        <v>HDPE: RELENE M60075</v>
      </c>
    </row>
    <row r="1409" spans="21:26" ht="15">
      <c r="U1409" s="63">
        <v>50105510</v>
      </c>
      <c r="V1409" s="64" t="s">
        <v>2400</v>
      </c>
      <c r="W1409">
        <v>50105509</v>
      </c>
      <c r="X1409" t="s">
        <v>974</v>
      </c>
      <c r="Y1409">
        <f>VLOOKUP(W1409,Sheet2!A:D,3,0)</f>
        <v>50082199</v>
      </c>
      <c r="Z1409" t="str">
        <f>VLOOKUP(W1409,Sheet2!A:D,4,0)</f>
        <v>HDPE: RELENE M60075</v>
      </c>
    </row>
    <row r="1410" spans="21:26" ht="15">
      <c r="U1410" s="63">
        <v>50105511</v>
      </c>
      <c r="V1410" s="64" t="s">
        <v>2401</v>
      </c>
      <c r="W1410">
        <v>50105509</v>
      </c>
      <c r="X1410" t="s">
        <v>974</v>
      </c>
      <c r="Y1410">
        <f>VLOOKUP(W1410,Sheet2!A:D,3,0)</f>
        <v>50082199</v>
      </c>
      <c r="Z1410" t="str">
        <f>VLOOKUP(W1410,Sheet2!A:D,4,0)</f>
        <v>HDPE: RELENE M60075</v>
      </c>
    </row>
    <row r="1411" spans="21:26" ht="15">
      <c r="U1411" s="63">
        <v>50105709</v>
      </c>
      <c r="V1411" s="64" t="s">
        <v>2402</v>
      </c>
      <c r="W1411">
        <v>50105708</v>
      </c>
      <c r="X1411" t="s">
        <v>975</v>
      </c>
      <c r="Y1411">
        <f>VLOOKUP(W1411,Sheet2!A:D,3,0)</f>
        <v>50082183</v>
      </c>
      <c r="Z1411" t="str">
        <f>VLOOKUP(W1411,Sheet2!A:D,4,0)</f>
        <v>LDPE: PURELL PE 1840 H</v>
      </c>
    </row>
    <row r="1412" spans="21:26" ht="15">
      <c r="U1412" s="63">
        <v>50105711</v>
      </c>
      <c r="V1412" s="64" t="s">
        <v>2403</v>
      </c>
      <c r="W1412">
        <v>50105710</v>
      </c>
      <c r="X1412" t="s">
        <v>976</v>
      </c>
      <c r="Y1412">
        <f>VLOOKUP(W1412,Sheet2!A:D,3,0)</f>
        <v>50082183</v>
      </c>
      <c r="Z1412" t="str">
        <f>VLOOKUP(W1412,Sheet2!A:D,4,0)</f>
        <v>LDPE: PURELL PE 1840 H</v>
      </c>
    </row>
    <row r="1413" spans="21:26" ht="15">
      <c r="U1413" s="63">
        <v>50105782</v>
      </c>
      <c r="V1413" s="64" t="s">
        <v>2404</v>
      </c>
      <c r="W1413">
        <v>50105781</v>
      </c>
      <c r="X1413" t="s">
        <v>977</v>
      </c>
      <c r="Y1413">
        <f>VLOOKUP(W1413,Sheet2!A:D,3,0)</f>
        <v>50082183</v>
      </c>
      <c r="Z1413" t="str">
        <f>VLOOKUP(W1413,Sheet2!A:D,4,0)</f>
        <v>LDPE: PURELL PE 1840 H</v>
      </c>
    </row>
    <row r="1414" spans="21:26" ht="15">
      <c r="U1414" s="63">
        <v>50105783</v>
      </c>
      <c r="V1414" s="64" t="s">
        <v>2405</v>
      </c>
      <c r="W1414">
        <v>50105781</v>
      </c>
      <c r="X1414" t="s">
        <v>977</v>
      </c>
      <c r="Y1414">
        <f>VLOOKUP(W1414,Sheet2!A:D,3,0)</f>
        <v>50082183</v>
      </c>
      <c r="Z1414" t="str">
        <f>VLOOKUP(W1414,Sheet2!A:D,4,0)</f>
        <v>LDPE: PURELL PE 1840 H</v>
      </c>
    </row>
    <row r="1415" spans="21:26" ht="15">
      <c r="U1415" s="63">
        <v>50105785</v>
      </c>
      <c r="V1415" s="64" t="s">
        <v>2406</v>
      </c>
      <c r="W1415">
        <v>50105784</v>
      </c>
      <c r="X1415" t="s">
        <v>978</v>
      </c>
      <c r="Y1415">
        <f>VLOOKUP(W1415,Sheet2!A:D,3,0)</f>
        <v>50082183</v>
      </c>
      <c r="Z1415" t="str">
        <f>VLOOKUP(W1415,Sheet2!A:D,4,0)</f>
        <v>LDPE: PURELL PE 1840 H</v>
      </c>
    </row>
    <row r="1416" spans="21:26" ht="15">
      <c r="U1416" s="63">
        <v>50105786</v>
      </c>
      <c r="V1416" s="64" t="s">
        <v>2407</v>
      </c>
      <c r="W1416">
        <v>50105784</v>
      </c>
      <c r="X1416" t="s">
        <v>978</v>
      </c>
      <c r="Y1416">
        <f>VLOOKUP(W1416,Sheet2!A:D,3,0)</f>
        <v>50082183</v>
      </c>
      <c r="Z1416" t="str">
        <f>VLOOKUP(W1416,Sheet2!A:D,4,0)</f>
        <v>LDPE: PURELL PE 1840 H</v>
      </c>
    </row>
    <row r="1417" spans="21:26" ht="15">
      <c r="U1417" s="63">
        <v>50106155</v>
      </c>
      <c r="V1417" s="64" t="s">
        <v>2408</v>
      </c>
      <c r="W1417">
        <v>50106154</v>
      </c>
      <c r="X1417" t="s">
        <v>983</v>
      </c>
      <c r="Y1417">
        <f>VLOOKUP(W1417,Sheet2!A:D,3,0)</f>
        <v>50082202</v>
      </c>
      <c r="Z1417" t="str">
        <f>VLOOKUP(W1417,Sheet2!A:D,4,0)</f>
        <v>HDPE: PURELL GC7260</v>
      </c>
    </row>
    <row r="1418" spans="21:26" ht="15">
      <c r="U1418" s="63">
        <v>50106205</v>
      </c>
      <c r="V1418" s="64" t="s">
        <v>2409</v>
      </c>
      <c r="W1418">
        <v>50106204</v>
      </c>
      <c r="X1418" t="s">
        <v>984</v>
      </c>
      <c r="Y1418">
        <f>VLOOKUP(W1418,Sheet2!A:D,3,0)</f>
        <v>50082183</v>
      </c>
      <c r="Z1418" t="str">
        <f>VLOOKUP(W1418,Sheet2!A:D,4,0)</f>
        <v>LDPE: PURELL PE 1840 H</v>
      </c>
    </row>
    <row r="1419" spans="21:26" ht="15">
      <c r="U1419" s="63">
        <v>50106206</v>
      </c>
      <c r="V1419" s="64" t="s">
        <v>163</v>
      </c>
      <c r="W1419">
        <v>50106204</v>
      </c>
      <c r="X1419" t="s">
        <v>984</v>
      </c>
      <c r="Y1419">
        <f>VLOOKUP(W1419,Sheet2!A:D,3,0)</f>
        <v>50082183</v>
      </c>
      <c r="Z1419" t="str">
        <f>VLOOKUP(W1419,Sheet2!A:D,4,0)</f>
        <v>LDPE: PURELL PE 1840 H</v>
      </c>
    </row>
    <row r="1420" spans="21:26" ht="15">
      <c r="U1420" s="63">
        <v>50106296</v>
      </c>
      <c r="V1420" s="64" t="s">
        <v>2410</v>
      </c>
      <c r="W1420">
        <v>50096973</v>
      </c>
      <c r="X1420" t="s">
        <v>803</v>
      </c>
      <c r="Y1420">
        <f>VLOOKUP(W1420,Sheet2!A:D,3,0)</f>
        <v>50082202</v>
      </c>
      <c r="Z1420" t="str">
        <f>VLOOKUP(W1420,Sheet2!A:D,4,0)</f>
        <v>HDPE: PURELL GC7260</v>
      </c>
    </row>
    <row r="1421" spans="21:26" ht="15">
      <c r="U1421" s="63">
        <v>50106297</v>
      </c>
      <c r="V1421" s="64" t="s">
        <v>226</v>
      </c>
      <c r="W1421">
        <v>50106295</v>
      </c>
      <c r="X1421" t="s">
        <v>985</v>
      </c>
      <c r="Y1421">
        <f>VLOOKUP(W1421,Sheet2!A:D,3,0)</f>
        <v>50082202</v>
      </c>
      <c r="Z1421" t="str">
        <f>VLOOKUP(W1421,Sheet2!A:D,4,0)</f>
        <v>HDPE: PURELL GC7260</v>
      </c>
    </row>
    <row r="1422" spans="21:26" ht="15">
      <c r="U1422" s="63">
        <v>50106301</v>
      </c>
      <c r="V1422" s="64" t="s">
        <v>302</v>
      </c>
      <c r="W1422">
        <v>50104783</v>
      </c>
      <c r="X1422" t="s">
        <v>931</v>
      </c>
      <c r="Y1422">
        <f>VLOOKUP(W1422,Sheet2!A:D,3,0)</f>
        <v>50103870</v>
      </c>
      <c r="Z1422" t="str">
        <f>VLOOKUP(W1422,Sheet2!A:D,4,0)</f>
        <v>PP: Purell RP270G</v>
      </c>
    </row>
    <row r="1423" spans="21:26" ht="15">
      <c r="U1423" s="63">
        <v>50106304</v>
      </c>
      <c r="V1423" s="64" t="s">
        <v>2411</v>
      </c>
      <c r="W1423">
        <v>50106303</v>
      </c>
      <c r="X1423" t="s">
        <v>986</v>
      </c>
      <c r="Y1423">
        <f>VLOOKUP(W1423,Sheet2!A:D,3,0)</f>
        <v>50082202</v>
      </c>
      <c r="Z1423" t="str">
        <f>VLOOKUP(W1423,Sheet2!A:D,4,0)</f>
        <v>HDPE: PURELL GC7260</v>
      </c>
    </row>
    <row r="1424" spans="21:26" ht="15">
      <c r="U1424" s="63">
        <v>50106310</v>
      </c>
      <c r="V1424" s="64" t="s">
        <v>2412</v>
      </c>
      <c r="W1424">
        <v>50106309</v>
      </c>
      <c r="X1424" t="s">
        <v>987</v>
      </c>
      <c r="Y1424">
        <f>VLOOKUP(W1424,Sheet2!A:D,3,0)</f>
        <v>50082183</v>
      </c>
      <c r="Z1424" t="str">
        <f>VLOOKUP(W1424,Sheet2!A:D,4,0)</f>
        <v>LDPE: PURELL PE 1840 H</v>
      </c>
    </row>
    <row r="1425" spans="21:26" ht="15">
      <c r="U1425" s="63">
        <v>50106311</v>
      </c>
      <c r="V1425" s="64" t="s">
        <v>2413</v>
      </c>
      <c r="W1425">
        <v>50106309</v>
      </c>
      <c r="X1425" t="s">
        <v>987</v>
      </c>
      <c r="Y1425">
        <f>VLOOKUP(W1425,Sheet2!A:D,3,0)</f>
        <v>50082183</v>
      </c>
      <c r="Z1425" t="str">
        <f>VLOOKUP(W1425,Sheet2!A:D,4,0)</f>
        <v>LDPE: PURELL PE 1840 H</v>
      </c>
    </row>
    <row r="1426" spans="21:26" ht="15">
      <c r="U1426" s="63">
        <v>50107076</v>
      </c>
      <c r="V1426" s="64" t="s">
        <v>2414</v>
      </c>
      <c r="W1426">
        <v>50107075</v>
      </c>
      <c r="X1426" t="s">
        <v>992</v>
      </c>
      <c r="Y1426">
        <f>VLOOKUP(W1426,Sheet2!A:D,3,0)</f>
        <v>50082202</v>
      </c>
      <c r="Z1426" t="str">
        <f>VLOOKUP(W1426,Sheet2!A:D,4,0)</f>
        <v>HDPE: PURELL GC7260</v>
      </c>
    </row>
    <row r="1427" spans="21:26" ht="15">
      <c r="U1427" s="63">
        <v>50107077</v>
      </c>
      <c r="V1427" s="64" t="s">
        <v>2415</v>
      </c>
      <c r="W1427">
        <v>50107075</v>
      </c>
      <c r="X1427" t="s">
        <v>992</v>
      </c>
      <c r="Y1427">
        <f>VLOOKUP(W1427,Sheet2!A:D,3,0)</f>
        <v>50082202</v>
      </c>
      <c r="Z1427" t="str">
        <f>VLOOKUP(W1427,Sheet2!A:D,4,0)</f>
        <v>HDPE: PURELL GC7260</v>
      </c>
    </row>
    <row r="1428" spans="21:26" ht="15">
      <c r="U1428" s="65">
        <v>50107079</v>
      </c>
      <c r="V1428" s="64" t="s">
        <v>2416</v>
      </c>
      <c r="W1428">
        <v>50083286</v>
      </c>
      <c r="X1428" t="s">
        <v>753</v>
      </c>
      <c r="Y1428">
        <f>VLOOKUP(W1428,Sheet2!A:D,3,0)</f>
        <v>50082183</v>
      </c>
      <c r="Z1428" t="str">
        <f>VLOOKUP(W1428,Sheet2!A:D,4,0)</f>
        <v>LDPE: PURELL PE 1840 H</v>
      </c>
    </row>
    <row r="1429" spans="21:26" ht="15">
      <c r="U1429" s="63">
        <v>50107079</v>
      </c>
      <c r="V1429" s="64" t="s">
        <v>2416</v>
      </c>
      <c r="W1429">
        <v>50107078</v>
      </c>
      <c r="X1429" t="s">
        <v>993</v>
      </c>
      <c r="Y1429">
        <f>VLOOKUP(W1429,Sheet2!A:D,3,0)</f>
        <v>50082183</v>
      </c>
      <c r="Z1429" t="str">
        <f>VLOOKUP(W1429,Sheet2!A:D,4,0)</f>
        <v>LDPE: PURELL PE 1840 H</v>
      </c>
    </row>
    <row r="1430" spans="21:26" ht="15">
      <c r="U1430" s="63">
        <v>50107080</v>
      </c>
      <c r="V1430" s="64" t="s">
        <v>2417</v>
      </c>
      <c r="W1430">
        <v>50107078</v>
      </c>
      <c r="X1430" t="s">
        <v>993</v>
      </c>
      <c r="Y1430">
        <f>VLOOKUP(W1430,Sheet2!A:D,3,0)</f>
        <v>50082183</v>
      </c>
      <c r="Z1430" t="str">
        <f>VLOOKUP(W1430,Sheet2!A:D,4,0)</f>
        <v>LDPE: PURELL PE 1840 H</v>
      </c>
    </row>
    <row r="1431" spans="21:26" ht="15">
      <c r="U1431" s="63">
        <v>50107106</v>
      </c>
      <c r="V1431" s="64" t="s">
        <v>95</v>
      </c>
      <c r="W1431">
        <v>50107105</v>
      </c>
      <c r="X1431" t="s">
        <v>994</v>
      </c>
      <c r="Y1431">
        <f>VLOOKUP(W1431,Sheet2!A:D,3,0)</f>
        <v>50082183</v>
      </c>
      <c r="Z1431" t="str">
        <f>VLOOKUP(W1431,Sheet2!A:D,4,0)</f>
        <v>LDPE: PURELL PE 1840 H</v>
      </c>
    </row>
    <row r="1432" spans="21:26" ht="15">
      <c r="U1432" s="63">
        <v>50107107</v>
      </c>
      <c r="V1432" s="64" t="s">
        <v>2418</v>
      </c>
      <c r="W1432">
        <v>50107105</v>
      </c>
      <c r="X1432" t="s">
        <v>994</v>
      </c>
      <c r="Y1432">
        <f>VLOOKUP(W1432,Sheet2!A:D,3,0)</f>
        <v>50082183</v>
      </c>
      <c r="Z1432" t="str">
        <f>VLOOKUP(W1432,Sheet2!A:D,4,0)</f>
        <v>LDPE: PURELL PE 1840 H</v>
      </c>
    </row>
    <row r="1433" spans="21:26" ht="15">
      <c r="U1433" s="63">
        <v>50107109</v>
      </c>
      <c r="V1433" s="64" t="s">
        <v>2419</v>
      </c>
      <c r="W1433">
        <v>50107108</v>
      </c>
      <c r="X1433" t="s">
        <v>995</v>
      </c>
      <c r="Y1433">
        <f>VLOOKUP(W1433,Sheet2!A:D,3,0)</f>
        <v>50082183</v>
      </c>
      <c r="Z1433" t="str">
        <f>VLOOKUP(W1433,Sheet2!A:D,4,0)</f>
        <v>LDPE: PURELL PE 1840 H</v>
      </c>
    </row>
    <row r="1434" spans="21:26" ht="15">
      <c r="U1434" s="63">
        <v>50107110</v>
      </c>
      <c r="V1434" s="64" t="s">
        <v>2420</v>
      </c>
      <c r="W1434">
        <v>50107108</v>
      </c>
      <c r="X1434" t="s">
        <v>995</v>
      </c>
      <c r="Y1434">
        <f>VLOOKUP(W1434,Sheet2!A:D,3,0)</f>
        <v>50082183</v>
      </c>
      <c r="Z1434" t="str">
        <f>VLOOKUP(W1434,Sheet2!A:D,4,0)</f>
        <v>LDPE: PURELL PE 1840 H</v>
      </c>
    </row>
    <row r="1435" spans="21:26" ht="15">
      <c r="U1435" s="63">
        <v>50107286</v>
      </c>
      <c r="V1435" s="64" t="s">
        <v>2421</v>
      </c>
      <c r="W1435">
        <v>50107285</v>
      </c>
      <c r="X1435" t="s">
        <v>998</v>
      </c>
      <c r="Y1435">
        <f>VLOOKUP(W1435,Sheet2!A:D,3,0)</f>
        <v>50082202</v>
      </c>
      <c r="Z1435" t="str">
        <f>VLOOKUP(W1435,Sheet2!A:D,4,0)</f>
        <v>HDPE: PURELL GC7260</v>
      </c>
    </row>
    <row r="1436" spans="21:26" ht="15">
      <c r="U1436" s="63">
        <v>50107463</v>
      </c>
      <c r="V1436" s="64" t="s">
        <v>20</v>
      </c>
      <c r="W1436">
        <v>50107462</v>
      </c>
      <c r="X1436" t="s">
        <v>999</v>
      </c>
      <c r="Y1436">
        <f>VLOOKUP(W1436,Sheet2!A:D,3,0)</f>
        <v>50082183</v>
      </c>
      <c r="Z1436" t="str">
        <f>VLOOKUP(W1436,Sheet2!A:D,4,0)</f>
        <v>LDPE: PURELL PE 1840 H</v>
      </c>
    </row>
    <row r="1437" spans="21:26" ht="15">
      <c r="U1437" s="63">
        <v>50107466</v>
      </c>
      <c r="V1437" s="64" t="s">
        <v>2422</v>
      </c>
      <c r="W1437">
        <v>50107465</v>
      </c>
      <c r="X1437" t="s">
        <v>1000</v>
      </c>
      <c r="Y1437">
        <f>VLOOKUP(W1437,Sheet2!A:D,3,0)</f>
        <v>50082183</v>
      </c>
      <c r="Z1437" t="str">
        <f>VLOOKUP(W1437,Sheet2!A:D,4,0)</f>
        <v>LDPE: PURELL PE 1840 H</v>
      </c>
    </row>
    <row r="1438" spans="21:26" ht="15">
      <c r="U1438" s="63">
        <v>50107552</v>
      </c>
      <c r="V1438" s="64" t="s">
        <v>2423</v>
      </c>
      <c r="W1438">
        <v>50107551</v>
      </c>
      <c r="X1438" t="s">
        <v>1001</v>
      </c>
      <c r="Y1438">
        <f>VLOOKUP(W1438,Sheet2!A:D,3,0)</f>
        <v>50082200</v>
      </c>
      <c r="Z1438" t="str">
        <f>VLOOKUP(W1438,Sheet2!A:D,4,0)</f>
        <v>HDPE: RELENE E52009</v>
      </c>
    </row>
    <row r="1439" spans="21:26" ht="15">
      <c r="U1439" s="63">
        <v>50107553</v>
      </c>
      <c r="V1439" s="64" t="s">
        <v>2424</v>
      </c>
      <c r="W1439">
        <v>50107551</v>
      </c>
      <c r="X1439" t="s">
        <v>1001</v>
      </c>
      <c r="Y1439">
        <f>VLOOKUP(W1439,Sheet2!A:D,3,0)</f>
        <v>50082200</v>
      </c>
      <c r="Z1439" t="str">
        <f>VLOOKUP(W1439,Sheet2!A:D,4,0)</f>
        <v>HDPE: RELENE E52009</v>
      </c>
    </row>
    <row r="1440" spans="21:26" ht="15">
      <c r="U1440" s="63">
        <v>50108006</v>
      </c>
      <c r="V1440" s="64" t="s">
        <v>2425</v>
      </c>
      <c r="W1440">
        <v>50108005</v>
      </c>
      <c r="X1440" t="s">
        <v>1004</v>
      </c>
      <c r="Y1440">
        <f>VLOOKUP(W1440,Sheet2!A:D,3,0)</f>
        <v>50082200</v>
      </c>
      <c r="Z1440" t="str">
        <f>VLOOKUP(W1440,Sheet2!A:D,4,0)</f>
        <v>HDPE: RELENE E52009</v>
      </c>
    </row>
    <row r="1441" spans="21:26" ht="15">
      <c r="U1441" s="63">
        <v>50108007</v>
      </c>
      <c r="V1441" s="64" t="s">
        <v>2426</v>
      </c>
      <c r="W1441">
        <v>50108005</v>
      </c>
      <c r="X1441" t="s">
        <v>1004</v>
      </c>
      <c r="Y1441">
        <f>VLOOKUP(W1441,Sheet2!A:D,3,0)</f>
        <v>50082200</v>
      </c>
      <c r="Z1441" t="str">
        <f>VLOOKUP(W1441,Sheet2!A:D,4,0)</f>
        <v>HDPE: RELENE E52009</v>
      </c>
    </row>
    <row r="1442" spans="21:26" ht="15">
      <c r="U1442" s="63">
        <v>50108009</v>
      </c>
      <c r="V1442" s="64" t="s">
        <v>2427</v>
      </c>
      <c r="W1442">
        <v>50108008</v>
      </c>
      <c r="X1442" t="s">
        <v>1005</v>
      </c>
      <c r="Y1442">
        <f>VLOOKUP(W1442,Sheet2!A:D,3,0)</f>
        <v>50082200</v>
      </c>
      <c r="Z1442" t="str">
        <f>VLOOKUP(W1442,Sheet2!A:D,4,0)</f>
        <v>HDPE: RELENE E52009</v>
      </c>
    </row>
    <row r="1443" spans="21:26" ht="15">
      <c r="U1443" s="63">
        <v>50108010</v>
      </c>
      <c r="V1443" s="64" t="s">
        <v>2428</v>
      </c>
      <c r="W1443">
        <v>50108008</v>
      </c>
      <c r="X1443" t="s">
        <v>1005</v>
      </c>
      <c r="Y1443">
        <f>VLOOKUP(W1443,Sheet2!A:D,3,0)</f>
        <v>50082200</v>
      </c>
      <c r="Z1443" t="str">
        <f>VLOOKUP(W1443,Sheet2!A:D,4,0)</f>
        <v>HDPE: RELENE E52009</v>
      </c>
    </row>
    <row r="1444" spans="21:26" ht="15">
      <c r="U1444" s="63">
        <v>50108012</v>
      </c>
      <c r="V1444" s="64" t="s">
        <v>2429</v>
      </c>
      <c r="W1444">
        <v>50108011</v>
      </c>
      <c r="X1444" t="s">
        <v>1006</v>
      </c>
      <c r="Y1444">
        <f>VLOOKUP(W1444,Sheet2!A:D,3,0)</f>
        <v>50082200</v>
      </c>
      <c r="Z1444" t="str">
        <f>VLOOKUP(W1444,Sheet2!A:D,4,0)</f>
        <v>HDPE: RELENE E52009</v>
      </c>
    </row>
    <row r="1445" spans="21:26" ht="15">
      <c r="U1445" s="63">
        <v>50108013</v>
      </c>
      <c r="V1445" s="64" t="s">
        <v>2430</v>
      </c>
      <c r="W1445">
        <v>50108011</v>
      </c>
      <c r="X1445" t="s">
        <v>1006</v>
      </c>
      <c r="Y1445">
        <f>VLOOKUP(W1445,Sheet2!A:D,3,0)</f>
        <v>50082200</v>
      </c>
      <c r="Z1445" t="str">
        <f>VLOOKUP(W1445,Sheet2!A:D,4,0)</f>
        <v>HDPE: RELENE E52009</v>
      </c>
    </row>
    <row r="1446" spans="21:26" ht="15">
      <c r="U1446" s="63">
        <v>50108251</v>
      </c>
      <c r="V1446" s="64" t="s">
        <v>142</v>
      </c>
      <c r="W1446">
        <v>50108250</v>
      </c>
      <c r="X1446" t="s">
        <v>1008</v>
      </c>
      <c r="Y1446">
        <f>VLOOKUP(W1446,Sheet2!A:D,3,0)</f>
        <v>50082200</v>
      </c>
      <c r="Z1446" t="str">
        <f>VLOOKUP(W1446,Sheet2!A:D,4,0)</f>
        <v>HDPE: RELENE E52009</v>
      </c>
    </row>
    <row r="1447" spans="21:26" ht="15">
      <c r="U1447" s="63">
        <v>50108252</v>
      </c>
      <c r="V1447" s="64" t="s">
        <v>1579</v>
      </c>
      <c r="W1447">
        <v>50108250</v>
      </c>
      <c r="X1447" t="s">
        <v>1008</v>
      </c>
      <c r="Y1447">
        <f>VLOOKUP(W1447,Sheet2!A:D,3,0)</f>
        <v>50082200</v>
      </c>
      <c r="Z1447" t="str">
        <f>VLOOKUP(W1447,Sheet2!A:D,4,0)</f>
        <v>HDPE: RELENE E52009</v>
      </c>
    </row>
    <row r="1448" spans="21:26" ht="15">
      <c r="U1448" s="63">
        <v>50108254</v>
      </c>
      <c r="V1448" s="64" t="s">
        <v>2431</v>
      </c>
      <c r="W1448">
        <v>50108253</v>
      </c>
      <c r="X1448" t="s">
        <v>1009</v>
      </c>
      <c r="Y1448">
        <f>VLOOKUP(W1448,Sheet2!A:D,3,0)</f>
        <v>50082200</v>
      </c>
      <c r="Z1448" t="str">
        <f>VLOOKUP(W1448,Sheet2!A:D,4,0)</f>
        <v>HDPE: RELENE E52009</v>
      </c>
    </row>
    <row r="1449" spans="21:26" ht="15">
      <c r="U1449" s="63">
        <v>50108255</v>
      </c>
      <c r="V1449" s="64" t="s">
        <v>2432</v>
      </c>
      <c r="W1449">
        <v>50108253</v>
      </c>
      <c r="X1449" t="s">
        <v>1009</v>
      </c>
      <c r="Y1449">
        <f>VLOOKUP(W1449,Sheet2!A:D,3,0)</f>
        <v>50082200</v>
      </c>
      <c r="Z1449" t="str">
        <f>VLOOKUP(W1449,Sheet2!A:D,4,0)</f>
        <v>HDPE: RELENE E52009</v>
      </c>
    </row>
    <row r="1450" spans="21:26" ht="15">
      <c r="U1450" s="63">
        <v>50108257</v>
      </c>
      <c r="V1450" s="64" t="s">
        <v>2433</v>
      </c>
      <c r="W1450">
        <v>50108256</v>
      </c>
      <c r="X1450" t="s">
        <v>1010</v>
      </c>
      <c r="Y1450">
        <f>VLOOKUP(W1450,Sheet2!A:D,3,0)</f>
        <v>50082200</v>
      </c>
      <c r="Z1450" t="str">
        <f>VLOOKUP(W1450,Sheet2!A:D,4,0)</f>
        <v>HDPE: RELENE E52009</v>
      </c>
    </row>
    <row r="1451" spans="21:26" ht="15">
      <c r="U1451" s="63">
        <v>50108258</v>
      </c>
      <c r="V1451" s="64" t="s">
        <v>2434</v>
      </c>
      <c r="W1451">
        <v>50108256</v>
      </c>
      <c r="X1451" t="s">
        <v>1010</v>
      </c>
      <c r="Y1451">
        <f>VLOOKUP(W1451,Sheet2!A:D,3,0)</f>
        <v>50082200</v>
      </c>
      <c r="Z1451" t="str">
        <f>VLOOKUP(W1451,Sheet2!A:D,4,0)</f>
        <v>HDPE: RELENE E52009</v>
      </c>
    </row>
    <row r="1452" spans="21:26" ht="15">
      <c r="U1452" s="63">
        <v>50108854</v>
      </c>
      <c r="V1452" s="64" t="s">
        <v>2435</v>
      </c>
      <c r="W1452">
        <v>50108853</v>
      </c>
      <c r="X1452" t="s">
        <v>1026</v>
      </c>
      <c r="Y1452">
        <f>VLOOKUP(W1452,Sheet2!A:D,3,0)</f>
        <v>50082200</v>
      </c>
      <c r="Z1452" t="str">
        <f>VLOOKUP(W1452,Sheet2!A:D,4,0)</f>
        <v>HDPE: RELENE E52009</v>
      </c>
    </row>
    <row r="1453" spans="21:26" ht="15">
      <c r="U1453" s="63">
        <v>50108861</v>
      </c>
      <c r="V1453" s="64" t="s">
        <v>2436</v>
      </c>
      <c r="W1453">
        <v>50108860</v>
      </c>
      <c r="X1453" t="s">
        <v>1029</v>
      </c>
      <c r="Y1453">
        <f>VLOOKUP(W1453,Sheet2!A:D,3,0)</f>
        <v>50082200</v>
      </c>
      <c r="Z1453" t="str">
        <f>VLOOKUP(W1453,Sheet2!A:D,4,0)</f>
        <v>HDPE: RELENE E52009</v>
      </c>
    </row>
    <row r="1454" spans="21:26" ht="15">
      <c r="U1454" s="63">
        <v>50108862</v>
      </c>
      <c r="V1454" s="64" t="s">
        <v>2437</v>
      </c>
      <c r="W1454">
        <v>50108860</v>
      </c>
      <c r="X1454" t="s">
        <v>1029</v>
      </c>
      <c r="Y1454">
        <f>VLOOKUP(W1454,Sheet2!A:D,3,0)</f>
        <v>50082200</v>
      </c>
      <c r="Z1454" t="str">
        <f>VLOOKUP(W1454,Sheet2!A:D,4,0)</f>
        <v>HDPE: RELENE E52009</v>
      </c>
    </row>
    <row r="1455" spans="21:26" ht="15">
      <c r="U1455" s="63">
        <v>50108937</v>
      </c>
      <c r="V1455" s="64" t="s">
        <v>2438</v>
      </c>
      <c r="W1455">
        <v>50108917</v>
      </c>
      <c r="X1455" t="s">
        <v>1033</v>
      </c>
      <c r="Y1455">
        <f>VLOOKUP(W1455,Sheet2!A:D,3,0)</f>
        <v>50082183</v>
      </c>
      <c r="Z1455" t="str">
        <f>VLOOKUP(W1455,Sheet2!A:D,4,0)</f>
        <v>LDPE: PURELL PE 1840 H</v>
      </c>
    </row>
    <row r="1456" spans="21:26" ht="15">
      <c r="U1456" s="63">
        <v>50108939</v>
      </c>
      <c r="V1456" s="64" t="s">
        <v>2439</v>
      </c>
      <c r="W1456">
        <v>50108917</v>
      </c>
      <c r="X1456" t="s">
        <v>1033</v>
      </c>
      <c r="Y1456">
        <f>VLOOKUP(W1456,Sheet2!A:D,3,0)</f>
        <v>50082183</v>
      </c>
      <c r="Z1456" t="str">
        <f>VLOOKUP(W1456,Sheet2!A:D,4,0)</f>
        <v>LDPE: PURELL PE 1840 H</v>
      </c>
    </row>
    <row r="1457" spans="21:26" ht="15">
      <c r="U1457" s="63">
        <v>50109062</v>
      </c>
      <c r="V1457" s="64" t="s">
        <v>2440</v>
      </c>
      <c r="W1457">
        <v>50104630</v>
      </c>
      <c r="X1457" t="s">
        <v>929</v>
      </c>
      <c r="Y1457">
        <f>VLOOKUP(W1457,Sheet2!A:D,3,0)</f>
        <v>50103870</v>
      </c>
      <c r="Z1457" t="str">
        <f>VLOOKUP(W1457,Sheet2!A:D,4,0)</f>
        <v>PP: Purell RP270G</v>
      </c>
    </row>
    <row r="1458" spans="21:26" ht="15">
      <c r="U1458" s="63">
        <v>50109178</v>
      </c>
      <c r="V1458" s="64" t="s">
        <v>2441</v>
      </c>
      <c r="W1458">
        <v>50109143</v>
      </c>
      <c r="X1458" t="s">
        <v>2442</v>
      </c>
      <c r="Y1458" t="e">
        <f>VLOOKUP(W1458,Sheet2!A:D,3,0)</f>
        <v>#N/A</v>
      </c>
      <c r="Z1458" t="e">
        <f>VLOOKUP(W1458,Sheet2!A:D,4,0)</f>
        <v>#N/A</v>
      </c>
    </row>
    <row r="1459" spans="21:26" ht="15">
      <c r="U1459" s="63">
        <v>50109179</v>
      </c>
      <c r="V1459" s="64" t="s">
        <v>2443</v>
      </c>
      <c r="W1459">
        <v>50109143</v>
      </c>
      <c r="X1459" t="s">
        <v>2442</v>
      </c>
      <c r="Y1459" t="e">
        <f>VLOOKUP(W1459,Sheet2!A:D,3,0)</f>
        <v>#N/A</v>
      </c>
      <c r="Z1459" t="e">
        <f>VLOOKUP(W1459,Sheet2!A:D,4,0)</f>
        <v>#N/A</v>
      </c>
    </row>
    <row r="1460" spans="21:26" ht="15">
      <c r="U1460" s="63">
        <v>50109180</v>
      </c>
      <c r="V1460" s="64" t="s">
        <v>2444</v>
      </c>
      <c r="W1460">
        <v>50109168</v>
      </c>
      <c r="X1460" t="s">
        <v>2445</v>
      </c>
      <c r="Y1460" t="e">
        <f>VLOOKUP(W1460,Sheet2!A:D,3,0)</f>
        <v>#N/A</v>
      </c>
      <c r="Z1460" t="e">
        <f>VLOOKUP(W1460,Sheet2!A:D,4,0)</f>
        <v>#N/A</v>
      </c>
    </row>
    <row r="1461" spans="21:26" ht="15">
      <c r="U1461" s="63">
        <v>50109181</v>
      </c>
      <c r="V1461" s="64" t="s">
        <v>2446</v>
      </c>
      <c r="W1461">
        <v>50109168</v>
      </c>
      <c r="X1461" t="s">
        <v>2445</v>
      </c>
      <c r="Y1461" t="e">
        <f>VLOOKUP(W1461,Sheet2!A:D,3,0)</f>
        <v>#N/A</v>
      </c>
      <c r="Z1461" t="e">
        <f>VLOOKUP(W1461,Sheet2!A:D,4,0)</f>
        <v>#N/A</v>
      </c>
    </row>
    <row r="1462" spans="21:26" ht="15">
      <c r="U1462" s="63">
        <v>50109226</v>
      </c>
      <c r="V1462" s="64" t="s">
        <v>2447</v>
      </c>
      <c r="W1462">
        <v>50109225</v>
      </c>
      <c r="X1462" t="s">
        <v>1044</v>
      </c>
      <c r="Y1462">
        <f>VLOOKUP(W1462,Sheet2!A:D,3,0)</f>
        <v>50082202</v>
      </c>
      <c r="Z1462" t="str">
        <f>VLOOKUP(W1462,Sheet2!A:D,4,0)</f>
        <v>HDPE: PURELL GC7260</v>
      </c>
    </row>
    <row r="1463" spans="21:26" ht="15">
      <c r="U1463" s="63">
        <v>50109227</v>
      </c>
      <c r="V1463" s="64" t="s">
        <v>2448</v>
      </c>
      <c r="W1463">
        <v>50109225</v>
      </c>
      <c r="X1463" t="s">
        <v>1044</v>
      </c>
      <c r="Y1463">
        <f>VLOOKUP(W1463,Sheet2!A:D,3,0)</f>
        <v>50082202</v>
      </c>
      <c r="Z1463" t="str">
        <f>VLOOKUP(W1463,Sheet2!A:D,4,0)</f>
        <v>HDPE: PURELL GC7260</v>
      </c>
    </row>
    <row r="1464" spans="21:26" ht="15">
      <c r="U1464" s="63">
        <v>50109736</v>
      </c>
      <c r="V1464" s="64" t="s">
        <v>145</v>
      </c>
      <c r="W1464">
        <v>50109735</v>
      </c>
      <c r="X1464" t="s">
        <v>464</v>
      </c>
      <c r="Y1464">
        <f>VLOOKUP(W1464,Sheet2!A:D,3,0)</f>
        <v>50082183</v>
      </c>
      <c r="Z1464" t="str">
        <f>VLOOKUP(W1464,Sheet2!A:D,4,0)</f>
        <v>LDPE: PURELL PE 1840 H</v>
      </c>
    </row>
    <row r="1465" spans="21:26" ht="15">
      <c r="U1465" s="63">
        <v>50109737</v>
      </c>
      <c r="V1465" s="64" t="s">
        <v>2449</v>
      </c>
      <c r="W1465">
        <v>50109735</v>
      </c>
      <c r="X1465" t="s">
        <v>464</v>
      </c>
      <c r="Y1465">
        <f>VLOOKUP(W1465,Sheet2!A:D,3,0)</f>
        <v>50082183</v>
      </c>
      <c r="Z1465" t="str">
        <f>VLOOKUP(W1465,Sheet2!A:D,4,0)</f>
        <v>LDPE: PURELL PE 1840 H</v>
      </c>
    </row>
    <row r="1466" spans="21:26" ht="15">
      <c r="U1466" s="63">
        <v>50110139</v>
      </c>
      <c r="V1466" s="64" t="s">
        <v>2450</v>
      </c>
      <c r="W1466">
        <v>50110138</v>
      </c>
      <c r="X1466" t="s">
        <v>1053</v>
      </c>
      <c r="Y1466">
        <f>VLOOKUP(W1466,Sheet2!A:D,3,0)</f>
        <v>50082184</v>
      </c>
      <c r="Z1466" t="str">
        <f>VLOOKUP(W1466,Sheet2!A:D,4,0)</f>
        <v>LDPE: PURELL PE 1810 E</v>
      </c>
    </row>
    <row r="1467" spans="21:26" ht="15">
      <c r="U1467" s="63">
        <v>50110140</v>
      </c>
      <c r="V1467" s="64" t="s">
        <v>2451</v>
      </c>
      <c r="W1467">
        <v>50110138</v>
      </c>
      <c r="X1467" t="s">
        <v>1053</v>
      </c>
      <c r="Y1467">
        <f>VLOOKUP(W1467,Sheet2!A:D,3,0)</f>
        <v>50082184</v>
      </c>
      <c r="Z1467" t="str">
        <f>VLOOKUP(W1467,Sheet2!A:D,4,0)</f>
        <v>LDPE: PURELL PE 1810 E</v>
      </c>
    </row>
    <row r="1468" spans="21:26" ht="15">
      <c r="U1468" s="63">
        <v>50110391</v>
      </c>
      <c r="V1468" s="64" t="s">
        <v>384</v>
      </c>
      <c r="W1468">
        <v>50110390</v>
      </c>
      <c r="X1468" t="s">
        <v>1056</v>
      </c>
      <c r="Y1468">
        <f>VLOOKUP(W1468,Sheet2!A:D,3,0)</f>
        <v>50082183</v>
      </c>
      <c r="Z1468" t="str">
        <f>VLOOKUP(W1468,Sheet2!A:D,4,0)</f>
        <v>LDPE: PURELL PE 1840 H</v>
      </c>
    </row>
    <row r="1469" spans="21:26" ht="15">
      <c r="U1469" s="63">
        <v>50110392</v>
      </c>
      <c r="V1469" s="64" t="s">
        <v>2452</v>
      </c>
      <c r="W1469">
        <v>50110390</v>
      </c>
      <c r="X1469" t="s">
        <v>1056</v>
      </c>
      <c r="Y1469">
        <f>VLOOKUP(W1469,Sheet2!A:D,3,0)</f>
        <v>50082183</v>
      </c>
      <c r="Z1469" t="str">
        <f>VLOOKUP(W1469,Sheet2!A:D,4,0)</f>
        <v>LDPE: PURELL PE 1840 H</v>
      </c>
    </row>
    <row r="1470" spans="21:26" ht="15">
      <c r="U1470" s="63">
        <v>50110394</v>
      </c>
      <c r="V1470" s="64" t="s">
        <v>2453</v>
      </c>
      <c r="W1470">
        <v>50110393</v>
      </c>
      <c r="X1470" t="s">
        <v>1057</v>
      </c>
      <c r="Y1470">
        <f>VLOOKUP(W1470,Sheet2!A:D,3,0)</f>
        <v>50082202</v>
      </c>
      <c r="Z1470" t="str">
        <f>VLOOKUP(W1470,Sheet2!A:D,4,0)</f>
        <v>HDPE: PURELL GC7260</v>
      </c>
    </row>
    <row r="1471" spans="21:26" ht="15">
      <c r="U1471" s="63">
        <v>50110395</v>
      </c>
      <c r="V1471" s="64" t="s">
        <v>2454</v>
      </c>
      <c r="W1471">
        <v>50110393</v>
      </c>
      <c r="X1471" t="s">
        <v>1057</v>
      </c>
      <c r="Y1471">
        <f>VLOOKUP(W1471,Sheet2!A:D,3,0)</f>
        <v>50082202</v>
      </c>
      <c r="Z1471" t="str">
        <f>VLOOKUP(W1471,Sheet2!A:D,4,0)</f>
        <v>HDPE: PURELL GC7260</v>
      </c>
    </row>
    <row r="1472" spans="21:26" ht="15">
      <c r="U1472" s="63">
        <v>50110455</v>
      </c>
      <c r="V1472" s="64" t="s">
        <v>2455</v>
      </c>
      <c r="W1472">
        <v>50110454</v>
      </c>
      <c r="X1472" t="s">
        <v>1058</v>
      </c>
      <c r="Y1472">
        <f>VLOOKUP(W1472,Sheet2!A:D,3,0)</f>
        <v>50082183</v>
      </c>
      <c r="Z1472" t="str">
        <f>VLOOKUP(W1472,Sheet2!A:D,4,0)</f>
        <v>LDPE: PURELL PE 1840 H</v>
      </c>
    </row>
    <row r="1473" spans="21:26" ht="15">
      <c r="U1473" s="63">
        <v>50110456</v>
      </c>
      <c r="V1473" s="64" t="s">
        <v>2456</v>
      </c>
      <c r="W1473">
        <v>50110454</v>
      </c>
      <c r="X1473" t="s">
        <v>1058</v>
      </c>
      <c r="Y1473">
        <f>VLOOKUP(W1473,Sheet2!A:D,3,0)</f>
        <v>50082183</v>
      </c>
      <c r="Z1473" t="str">
        <f>VLOOKUP(W1473,Sheet2!A:D,4,0)</f>
        <v>LDPE: PURELL PE 1840 H</v>
      </c>
    </row>
    <row r="1474" spans="21:26" ht="15">
      <c r="U1474" s="63">
        <v>50110663</v>
      </c>
      <c r="V1474" s="64" t="s">
        <v>2457</v>
      </c>
      <c r="W1474">
        <v>50110174</v>
      </c>
      <c r="X1474" t="s">
        <v>1054</v>
      </c>
      <c r="Y1474">
        <f>VLOOKUP(W1474,Sheet2!A:D,3,0)</f>
        <v>50103870</v>
      </c>
      <c r="Z1474" t="str">
        <f>VLOOKUP(W1474,Sheet2!A:D,4,0)</f>
        <v>PP: Purell RP270G</v>
      </c>
    </row>
    <row r="1475" spans="21:26" ht="15">
      <c r="U1475" s="63">
        <v>50110664</v>
      </c>
      <c r="V1475" s="64" t="s">
        <v>2458</v>
      </c>
      <c r="W1475">
        <v>50110174</v>
      </c>
      <c r="X1475" t="s">
        <v>1054</v>
      </c>
      <c r="Y1475">
        <f>VLOOKUP(W1475,Sheet2!A:D,3,0)</f>
        <v>50103870</v>
      </c>
      <c r="Z1475" t="str">
        <f>VLOOKUP(W1475,Sheet2!A:D,4,0)</f>
        <v>PP: Purell RP270G</v>
      </c>
    </row>
    <row r="1476" spans="21:26" ht="15">
      <c r="U1476" s="63">
        <v>50110676</v>
      </c>
      <c r="V1476" s="64" t="s">
        <v>129</v>
      </c>
      <c r="W1476">
        <v>50110675</v>
      </c>
      <c r="X1476" t="s">
        <v>218</v>
      </c>
      <c r="Y1476">
        <f>VLOOKUP(W1476,Sheet2!A:D,3,0)</f>
        <v>50082184</v>
      </c>
      <c r="Z1476" t="str">
        <f>VLOOKUP(W1476,Sheet2!A:D,4,0)</f>
        <v>LDPE: PURELL PE 1810 E</v>
      </c>
    </row>
    <row r="1477" spans="21:26" ht="15">
      <c r="U1477" s="63">
        <v>50110677</v>
      </c>
      <c r="V1477" s="64" t="s">
        <v>1580</v>
      </c>
      <c r="W1477">
        <v>50110675</v>
      </c>
      <c r="X1477" t="s">
        <v>218</v>
      </c>
      <c r="Y1477">
        <f>VLOOKUP(W1477,Sheet2!A:D,3,0)</f>
        <v>50082184</v>
      </c>
      <c r="Z1477" t="str">
        <f>VLOOKUP(W1477,Sheet2!A:D,4,0)</f>
        <v>LDPE: PURELL PE 1810 E</v>
      </c>
    </row>
    <row r="1478" spans="21:26" ht="15">
      <c r="U1478" s="63">
        <v>50110679</v>
      </c>
      <c r="V1478" s="64" t="s">
        <v>47</v>
      </c>
      <c r="W1478">
        <v>50110678</v>
      </c>
      <c r="X1478" t="s">
        <v>194</v>
      </c>
      <c r="Y1478">
        <f>VLOOKUP(W1478,Sheet2!A:D,3,0)</f>
        <v>50082184</v>
      </c>
      <c r="Z1478" t="str">
        <f>VLOOKUP(W1478,Sheet2!A:D,4,0)</f>
        <v>LDPE: PURELL PE 1810 E</v>
      </c>
    </row>
    <row r="1479" spans="21:26" ht="15">
      <c r="U1479" s="63">
        <v>50110680</v>
      </c>
      <c r="V1479" s="64" t="s">
        <v>1581</v>
      </c>
      <c r="W1479">
        <v>50110678</v>
      </c>
      <c r="X1479" t="s">
        <v>194</v>
      </c>
      <c r="Y1479">
        <f>VLOOKUP(W1479,Sheet2!A:D,3,0)</f>
        <v>50082184</v>
      </c>
      <c r="Z1479" t="str">
        <f>VLOOKUP(W1479,Sheet2!A:D,4,0)</f>
        <v>LDPE: PURELL PE 1810 E</v>
      </c>
    </row>
    <row r="1480" spans="21:26" ht="15">
      <c r="U1480" s="63">
        <v>50110683</v>
      </c>
      <c r="V1480" s="64" t="s">
        <v>390</v>
      </c>
      <c r="W1480">
        <v>50110682</v>
      </c>
      <c r="X1480" t="s">
        <v>1060</v>
      </c>
      <c r="Y1480">
        <f>VLOOKUP(W1480,Sheet2!A:D,3,0)</f>
        <v>50082184</v>
      </c>
      <c r="Z1480" t="str">
        <f>VLOOKUP(W1480,Sheet2!A:D,4,0)</f>
        <v>LDPE: PURELL PE 1810 E</v>
      </c>
    </row>
    <row r="1481" spans="21:26" ht="15">
      <c r="U1481" s="63">
        <v>50110684</v>
      </c>
      <c r="V1481" s="64" t="s">
        <v>1582</v>
      </c>
      <c r="W1481">
        <v>50110682</v>
      </c>
      <c r="X1481" t="s">
        <v>1060</v>
      </c>
      <c r="Y1481">
        <f>VLOOKUP(W1481,Sheet2!A:D,3,0)</f>
        <v>50082184</v>
      </c>
      <c r="Z1481" t="str">
        <f>VLOOKUP(W1481,Sheet2!A:D,4,0)</f>
        <v>LDPE: PURELL PE 1810 E</v>
      </c>
    </row>
    <row r="1482" spans="21:26" ht="15">
      <c r="U1482" s="63">
        <v>50110686</v>
      </c>
      <c r="V1482" s="64" t="s">
        <v>1583</v>
      </c>
      <c r="W1482">
        <v>50110685</v>
      </c>
      <c r="X1482" t="s">
        <v>1061</v>
      </c>
      <c r="Y1482">
        <f>VLOOKUP(W1482,Sheet2!A:D,3,0)</f>
        <v>50082183</v>
      </c>
      <c r="Z1482" t="str">
        <f>VLOOKUP(W1482,Sheet2!A:D,4,0)</f>
        <v>LDPE: PURELL PE 1840 H</v>
      </c>
    </row>
    <row r="1483" spans="21:26" ht="15">
      <c r="U1483" s="63">
        <v>50110687</v>
      </c>
      <c r="V1483" s="64" t="s">
        <v>1584</v>
      </c>
      <c r="W1483">
        <v>50110685</v>
      </c>
      <c r="X1483" t="s">
        <v>1061</v>
      </c>
      <c r="Y1483">
        <f>VLOOKUP(W1483,Sheet2!A:D,3,0)</f>
        <v>50082183</v>
      </c>
      <c r="Z1483" t="str">
        <f>VLOOKUP(W1483,Sheet2!A:D,4,0)</f>
        <v>LDPE: PURELL PE 1840 H</v>
      </c>
    </row>
    <row r="1484" spans="21:26" ht="15">
      <c r="U1484" s="63">
        <v>50110689</v>
      </c>
      <c r="V1484" s="64" t="s">
        <v>1557</v>
      </c>
      <c r="W1484">
        <v>50110688</v>
      </c>
      <c r="X1484" t="s">
        <v>913</v>
      </c>
      <c r="Y1484">
        <f>VLOOKUP(W1484,Sheet2!A:D,3,0)</f>
        <v>50082183</v>
      </c>
      <c r="Z1484" t="str">
        <f>VLOOKUP(W1484,Sheet2!A:D,4,0)</f>
        <v>LDPE: PURELL PE 1840 H</v>
      </c>
    </row>
    <row r="1485" spans="21:26" ht="15">
      <c r="U1485" s="63">
        <v>50110690</v>
      </c>
      <c r="V1485" s="64" t="s">
        <v>1558</v>
      </c>
      <c r="W1485">
        <v>50110688</v>
      </c>
      <c r="X1485" t="s">
        <v>913</v>
      </c>
      <c r="Y1485">
        <f>VLOOKUP(W1485,Sheet2!A:D,3,0)</f>
        <v>50082183</v>
      </c>
      <c r="Z1485" t="str">
        <f>VLOOKUP(W1485,Sheet2!A:D,4,0)</f>
        <v>LDPE: PURELL PE 1840 H</v>
      </c>
    </row>
    <row r="1486" spans="21:26" ht="15">
      <c r="U1486" s="63">
        <v>50110841</v>
      </c>
      <c r="V1486" s="64" t="s">
        <v>2459</v>
      </c>
      <c r="W1486">
        <v>50110840</v>
      </c>
      <c r="X1486" t="s">
        <v>1062</v>
      </c>
      <c r="Y1486">
        <f>VLOOKUP(W1486,Sheet2!A:D,3,0)</f>
        <v>50082183</v>
      </c>
      <c r="Z1486" t="str">
        <f>VLOOKUP(W1486,Sheet2!A:D,4,0)</f>
        <v>LDPE: PURELL PE 1840 H</v>
      </c>
    </row>
    <row r="1487" spans="21:26" ht="15">
      <c r="U1487" s="63">
        <v>50110842</v>
      </c>
      <c r="V1487" s="64" t="s">
        <v>2460</v>
      </c>
      <c r="W1487">
        <v>50110840</v>
      </c>
      <c r="X1487" t="s">
        <v>1062</v>
      </c>
      <c r="Y1487">
        <f>VLOOKUP(W1487,Sheet2!A:D,3,0)</f>
        <v>50082183</v>
      </c>
      <c r="Z1487" t="str">
        <f>VLOOKUP(W1487,Sheet2!A:D,4,0)</f>
        <v>LDPE: PURELL PE 1840 H</v>
      </c>
    </row>
    <row r="1488" spans="21:26" ht="15">
      <c r="U1488" s="63">
        <v>50110867</v>
      </c>
      <c r="V1488" s="64" t="s">
        <v>2461</v>
      </c>
      <c r="W1488">
        <v>50110866</v>
      </c>
      <c r="X1488" t="s">
        <v>1063</v>
      </c>
      <c r="Y1488">
        <f>VLOOKUP(W1488,Sheet2!A:D,3,0)</f>
        <v>50082202</v>
      </c>
      <c r="Z1488" t="str">
        <f>VLOOKUP(W1488,Sheet2!A:D,4,0)</f>
        <v>HDPE: PURELL GC7260</v>
      </c>
    </row>
    <row r="1489" spans="21:26" ht="15">
      <c r="U1489" s="63">
        <v>50110868</v>
      </c>
      <c r="V1489" s="64" t="s">
        <v>2462</v>
      </c>
      <c r="W1489">
        <v>50110866</v>
      </c>
      <c r="X1489" t="s">
        <v>1063</v>
      </c>
      <c r="Y1489">
        <f>VLOOKUP(W1489,Sheet2!A:D,3,0)</f>
        <v>50082202</v>
      </c>
      <c r="Z1489" t="str">
        <f>VLOOKUP(W1489,Sheet2!A:D,4,0)</f>
        <v>HDPE: PURELL GC7260</v>
      </c>
    </row>
    <row r="1490" spans="21:26" ht="15">
      <c r="U1490" s="63">
        <v>50110870</v>
      </c>
      <c r="V1490" s="64" t="s">
        <v>2463</v>
      </c>
      <c r="W1490">
        <v>50110869</v>
      </c>
      <c r="X1490" t="s">
        <v>1064</v>
      </c>
      <c r="Y1490">
        <f>VLOOKUP(W1490,Sheet2!A:D,3,0)</f>
        <v>50082202</v>
      </c>
      <c r="Z1490" t="str">
        <f>VLOOKUP(W1490,Sheet2!A:D,4,0)</f>
        <v>HDPE: PURELL GC7260</v>
      </c>
    </row>
    <row r="1491" spans="21:26" ht="15">
      <c r="U1491" s="63">
        <v>50110871</v>
      </c>
      <c r="V1491" s="64" t="s">
        <v>2464</v>
      </c>
      <c r="W1491">
        <v>50110869</v>
      </c>
      <c r="X1491" t="s">
        <v>1064</v>
      </c>
      <c r="Y1491">
        <f>VLOOKUP(W1491,Sheet2!A:D,3,0)</f>
        <v>50082202</v>
      </c>
      <c r="Z1491" t="str">
        <f>VLOOKUP(W1491,Sheet2!A:D,4,0)</f>
        <v>HDPE: PURELL GC7260</v>
      </c>
    </row>
    <row r="1492" spans="21:26" ht="15">
      <c r="U1492" s="63">
        <v>50110873</v>
      </c>
      <c r="V1492" s="64" t="s">
        <v>2465</v>
      </c>
      <c r="W1492">
        <v>50110872</v>
      </c>
      <c r="X1492" t="s">
        <v>1065</v>
      </c>
      <c r="Y1492">
        <f>VLOOKUP(W1492,Sheet2!A:D,3,0)</f>
        <v>50082202</v>
      </c>
      <c r="Z1492" t="str">
        <f>VLOOKUP(W1492,Sheet2!A:D,4,0)</f>
        <v>HDPE: PURELL GC7260</v>
      </c>
    </row>
    <row r="1493" spans="21:26" ht="15">
      <c r="U1493" s="63">
        <v>50110874</v>
      </c>
      <c r="V1493" s="64" t="s">
        <v>2466</v>
      </c>
      <c r="W1493">
        <v>50110872</v>
      </c>
      <c r="X1493" t="s">
        <v>1065</v>
      </c>
      <c r="Y1493">
        <f>VLOOKUP(W1493,Sheet2!A:D,3,0)</f>
        <v>50082202</v>
      </c>
      <c r="Z1493" t="str">
        <f>VLOOKUP(W1493,Sheet2!A:D,4,0)</f>
        <v>HDPE: PURELL GC7260</v>
      </c>
    </row>
    <row r="1494" spans="21:26" ht="15">
      <c r="U1494" s="63">
        <v>50110884</v>
      </c>
      <c r="V1494" s="64" t="s">
        <v>2467</v>
      </c>
      <c r="W1494">
        <v>50110883</v>
      </c>
      <c r="X1494" t="s">
        <v>1066</v>
      </c>
      <c r="Y1494">
        <f>VLOOKUP(W1494,Sheet2!A:D,3,0)</f>
        <v>50082200</v>
      </c>
      <c r="Z1494" t="str">
        <f>VLOOKUP(W1494,Sheet2!A:D,4,0)</f>
        <v>HDPE: RELENE E52009</v>
      </c>
    </row>
    <row r="1495" spans="21:26" ht="15">
      <c r="U1495" s="63">
        <v>50110885</v>
      </c>
      <c r="V1495" s="64" t="s">
        <v>2468</v>
      </c>
      <c r="W1495">
        <v>50110883</v>
      </c>
      <c r="X1495" t="s">
        <v>1066</v>
      </c>
      <c r="Y1495">
        <f>VLOOKUP(W1495,Sheet2!A:D,3,0)</f>
        <v>50082200</v>
      </c>
      <c r="Z1495" t="str">
        <f>VLOOKUP(W1495,Sheet2!A:D,4,0)</f>
        <v>HDPE: RELENE E52009</v>
      </c>
    </row>
    <row r="1496" spans="21:26" ht="15">
      <c r="U1496" s="63">
        <v>50111053</v>
      </c>
      <c r="V1496" s="64" t="s">
        <v>2469</v>
      </c>
      <c r="W1496">
        <v>50111052</v>
      </c>
      <c r="X1496" t="s">
        <v>1067</v>
      </c>
      <c r="Y1496">
        <f>VLOOKUP(W1496,Sheet2!A:D,3,0)</f>
        <v>50082183</v>
      </c>
      <c r="Z1496" t="str">
        <f>VLOOKUP(W1496,Sheet2!A:D,4,0)</f>
        <v>LDPE: PURELL PE 1840 H</v>
      </c>
    </row>
    <row r="1497" spans="21:26" ht="15">
      <c r="U1497" s="63">
        <v>50111054</v>
      </c>
      <c r="V1497" s="64" t="s">
        <v>2470</v>
      </c>
      <c r="W1497">
        <v>50111052</v>
      </c>
      <c r="X1497" t="s">
        <v>1067</v>
      </c>
      <c r="Y1497">
        <f>VLOOKUP(W1497,Sheet2!A:D,3,0)</f>
        <v>50082183</v>
      </c>
      <c r="Z1497" t="str">
        <f>VLOOKUP(W1497,Sheet2!A:D,4,0)</f>
        <v>LDPE: PURELL PE 1840 H</v>
      </c>
    </row>
    <row r="1498" spans="21:26" ht="15">
      <c r="U1498" s="63">
        <v>50111056</v>
      </c>
      <c r="V1498" s="64" t="s">
        <v>2471</v>
      </c>
      <c r="W1498">
        <v>50111055</v>
      </c>
      <c r="X1498" t="s">
        <v>1068</v>
      </c>
      <c r="Y1498">
        <f>VLOOKUP(W1498,Sheet2!A:D,3,0)</f>
        <v>50082183</v>
      </c>
      <c r="Z1498" t="str">
        <f>VLOOKUP(W1498,Sheet2!A:D,4,0)</f>
        <v>LDPE: PURELL PE 1840 H</v>
      </c>
    </row>
    <row r="1499" spans="21:26" ht="15">
      <c r="U1499" s="63">
        <v>50111057</v>
      </c>
      <c r="V1499" s="64" t="s">
        <v>2472</v>
      </c>
      <c r="W1499">
        <v>50111055</v>
      </c>
      <c r="X1499" t="s">
        <v>1068</v>
      </c>
      <c r="Y1499">
        <f>VLOOKUP(W1499,Sheet2!A:D,3,0)</f>
        <v>50082183</v>
      </c>
      <c r="Z1499" t="str">
        <f>VLOOKUP(W1499,Sheet2!A:D,4,0)</f>
        <v>LDPE: PURELL PE 1840 H</v>
      </c>
    </row>
    <row r="1500" spans="21:26" ht="15">
      <c r="U1500" s="63">
        <v>50111279</v>
      </c>
      <c r="V1500" s="64" t="s">
        <v>2473</v>
      </c>
      <c r="W1500">
        <v>50111278</v>
      </c>
      <c r="X1500" t="s">
        <v>1074</v>
      </c>
      <c r="Y1500">
        <f>VLOOKUP(W1500,Sheet2!A:D,3,0)</f>
        <v>50082202</v>
      </c>
      <c r="Z1500" t="str">
        <f>VLOOKUP(W1500,Sheet2!A:D,4,0)</f>
        <v>HDPE: PURELL GC7260</v>
      </c>
    </row>
    <row r="1501" spans="21:26" ht="15">
      <c r="U1501" s="63">
        <v>50111280</v>
      </c>
      <c r="V1501" s="64" t="s">
        <v>2474</v>
      </c>
      <c r="W1501">
        <v>50111278</v>
      </c>
      <c r="X1501" t="s">
        <v>1074</v>
      </c>
      <c r="Y1501">
        <f>VLOOKUP(W1501,Sheet2!A:D,3,0)</f>
        <v>50082202</v>
      </c>
      <c r="Z1501" t="str">
        <f>VLOOKUP(W1501,Sheet2!A:D,4,0)</f>
        <v>HDPE: PURELL GC7260</v>
      </c>
    </row>
    <row r="1502" spans="21:26" ht="15">
      <c r="U1502" s="63">
        <v>50111282</v>
      </c>
      <c r="V1502" s="64" t="s">
        <v>2475</v>
      </c>
      <c r="W1502">
        <v>50111281</v>
      </c>
      <c r="X1502" t="s">
        <v>1075</v>
      </c>
      <c r="Y1502">
        <f>VLOOKUP(W1502,Sheet2!A:D,3,0)</f>
        <v>50082202</v>
      </c>
      <c r="Z1502" t="str">
        <f>VLOOKUP(W1502,Sheet2!A:D,4,0)</f>
        <v>HDPE: PURELL GC7260</v>
      </c>
    </row>
    <row r="1503" spans="21:26" ht="15">
      <c r="U1503" s="63">
        <v>50111283</v>
      </c>
      <c r="V1503" s="64" t="s">
        <v>2476</v>
      </c>
      <c r="W1503">
        <v>50111281</v>
      </c>
      <c r="X1503" t="s">
        <v>1075</v>
      </c>
      <c r="Y1503">
        <f>VLOOKUP(W1503,Sheet2!A:D,3,0)</f>
        <v>50082202</v>
      </c>
      <c r="Z1503" t="str">
        <f>VLOOKUP(W1503,Sheet2!A:D,4,0)</f>
        <v>HDPE: PURELL GC7260</v>
      </c>
    </row>
    <row r="1504" spans="21:26" ht="15">
      <c r="U1504" s="63">
        <v>50111285</v>
      </c>
      <c r="V1504" s="64" t="s">
        <v>2477</v>
      </c>
      <c r="W1504">
        <v>50111284</v>
      </c>
      <c r="X1504" t="s">
        <v>1076</v>
      </c>
      <c r="Y1504">
        <f>VLOOKUP(W1504,Sheet2!A:D,3,0)</f>
        <v>50082202</v>
      </c>
      <c r="Z1504" t="str">
        <f>VLOOKUP(W1504,Sheet2!A:D,4,0)</f>
        <v>HDPE: PURELL GC7260</v>
      </c>
    </row>
    <row r="1505" spans="21:26" ht="15">
      <c r="U1505" s="63">
        <v>50111286</v>
      </c>
      <c r="V1505" s="64" t="s">
        <v>2478</v>
      </c>
      <c r="W1505">
        <v>50111284</v>
      </c>
      <c r="X1505" t="s">
        <v>1076</v>
      </c>
      <c r="Y1505">
        <f>VLOOKUP(W1505,Sheet2!A:D,3,0)</f>
        <v>50082202</v>
      </c>
      <c r="Z1505" t="str">
        <f>VLOOKUP(W1505,Sheet2!A:D,4,0)</f>
        <v>HDPE: PURELL GC7260</v>
      </c>
    </row>
    <row r="1506" spans="21:26" ht="15">
      <c r="U1506" s="63">
        <v>50111292</v>
      </c>
      <c r="V1506" s="64" t="s">
        <v>2479</v>
      </c>
      <c r="W1506">
        <v>50111291</v>
      </c>
      <c r="X1506" t="s">
        <v>1077</v>
      </c>
      <c r="Y1506">
        <f>VLOOKUP(W1506,Sheet2!A:D,3,0)</f>
        <v>50082202</v>
      </c>
      <c r="Z1506" t="str">
        <f>VLOOKUP(W1506,Sheet2!A:D,4,0)</f>
        <v>HDPE: PURELL GC7260</v>
      </c>
    </row>
    <row r="1507" spans="21:26" ht="15">
      <c r="U1507" s="63">
        <v>50111293</v>
      </c>
      <c r="V1507" s="64" t="s">
        <v>2480</v>
      </c>
      <c r="W1507">
        <v>50111291</v>
      </c>
      <c r="X1507" t="s">
        <v>1077</v>
      </c>
      <c r="Y1507">
        <f>VLOOKUP(W1507,Sheet2!A:D,3,0)</f>
        <v>50082202</v>
      </c>
      <c r="Z1507" t="str">
        <f>VLOOKUP(W1507,Sheet2!A:D,4,0)</f>
        <v>HDPE: PURELL GC7260</v>
      </c>
    </row>
    <row r="1508" spans="21:26" ht="15">
      <c r="U1508" s="63">
        <v>50111295</v>
      </c>
      <c r="V1508" s="64" t="s">
        <v>2481</v>
      </c>
      <c r="W1508">
        <v>50111294</v>
      </c>
      <c r="X1508" t="s">
        <v>1078</v>
      </c>
      <c r="Y1508">
        <f>VLOOKUP(W1508,Sheet2!A:D,3,0)</f>
        <v>50082202</v>
      </c>
      <c r="Z1508" t="str">
        <f>VLOOKUP(W1508,Sheet2!A:D,4,0)</f>
        <v>HDPE: PURELL GC7260</v>
      </c>
    </row>
    <row r="1509" spans="21:26" ht="15">
      <c r="U1509" s="63">
        <v>50111296</v>
      </c>
      <c r="V1509" s="64" t="s">
        <v>2482</v>
      </c>
      <c r="W1509">
        <v>50111294</v>
      </c>
      <c r="X1509" t="s">
        <v>1078</v>
      </c>
      <c r="Y1509">
        <f>VLOOKUP(W1509,Sheet2!A:D,3,0)</f>
        <v>50082202</v>
      </c>
      <c r="Z1509" t="str">
        <f>VLOOKUP(W1509,Sheet2!A:D,4,0)</f>
        <v>HDPE: PURELL GC7260</v>
      </c>
    </row>
    <row r="1510" spans="21:26" ht="15">
      <c r="U1510" s="63">
        <v>50111298</v>
      </c>
      <c r="V1510" s="64" t="s">
        <v>2483</v>
      </c>
      <c r="W1510">
        <v>50111297</v>
      </c>
      <c r="X1510" t="s">
        <v>1079</v>
      </c>
      <c r="Y1510">
        <f>VLOOKUP(W1510,Sheet2!A:D,3,0)</f>
        <v>50082202</v>
      </c>
      <c r="Z1510" t="str">
        <f>VLOOKUP(W1510,Sheet2!A:D,4,0)</f>
        <v>HDPE: PURELL GC7260</v>
      </c>
    </row>
    <row r="1511" spans="21:26" ht="15">
      <c r="U1511" s="63">
        <v>50111299</v>
      </c>
      <c r="V1511" s="64" t="s">
        <v>2484</v>
      </c>
      <c r="W1511">
        <v>50111297</v>
      </c>
      <c r="X1511" t="s">
        <v>1079</v>
      </c>
      <c r="Y1511">
        <f>VLOOKUP(W1511,Sheet2!A:D,3,0)</f>
        <v>50082202</v>
      </c>
      <c r="Z1511" t="str">
        <f>VLOOKUP(W1511,Sheet2!A:D,4,0)</f>
        <v>HDPE: PURELL GC7260</v>
      </c>
    </row>
    <row r="1512" spans="21:26" ht="15">
      <c r="U1512" s="63">
        <v>50111301</v>
      </c>
      <c r="V1512" s="64" t="s">
        <v>2485</v>
      </c>
      <c r="W1512">
        <v>50111300</v>
      </c>
      <c r="X1512" t="s">
        <v>1080</v>
      </c>
      <c r="Y1512">
        <f>VLOOKUP(W1512,Sheet2!A:D,3,0)</f>
        <v>50082202</v>
      </c>
      <c r="Z1512" t="str">
        <f>VLOOKUP(W1512,Sheet2!A:D,4,0)</f>
        <v>HDPE: PURELL GC7260</v>
      </c>
    </row>
    <row r="1513" spans="21:26" ht="15">
      <c r="U1513" s="63">
        <v>50111302</v>
      </c>
      <c r="V1513" s="64" t="s">
        <v>2486</v>
      </c>
      <c r="W1513">
        <v>50111300</v>
      </c>
      <c r="X1513" t="s">
        <v>1080</v>
      </c>
      <c r="Y1513">
        <f>VLOOKUP(W1513,Sheet2!A:D,3,0)</f>
        <v>50082202</v>
      </c>
      <c r="Z1513" t="str">
        <f>VLOOKUP(W1513,Sheet2!A:D,4,0)</f>
        <v>HDPE: PURELL GC7260</v>
      </c>
    </row>
    <row r="1514" spans="21:26" ht="15">
      <c r="U1514" s="63">
        <v>50111304</v>
      </c>
      <c r="V1514" s="64" t="s">
        <v>2487</v>
      </c>
      <c r="W1514">
        <v>50111303</v>
      </c>
      <c r="X1514" t="s">
        <v>1081</v>
      </c>
      <c r="Y1514">
        <f>VLOOKUP(W1514,Sheet2!A:D,3,0)</f>
        <v>50082202</v>
      </c>
      <c r="Z1514" t="str">
        <f>VLOOKUP(W1514,Sheet2!A:D,4,0)</f>
        <v>HDPE: PURELL GC7260</v>
      </c>
    </row>
    <row r="1515" spans="21:26" ht="15">
      <c r="U1515" s="63">
        <v>50111305</v>
      </c>
      <c r="V1515" s="64" t="s">
        <v>2488</v>
      </c>
      <c r="W1515">
        <v>50111303</v>
      </c>
      <c r="X1515" t="s">
        <v>1081</v>
      </c>
      <c r="Y1515">
        <f>VLOOKUP(W1515,Sheet2!A:D,3,0)</f>
        <v>50082202</v>
      </c>
      <c r="Z1515" t="str">
        <f>VLOOKUP(W1515,Sheet2!A:D,4,0)</f>
        <v>HDPE: PURELL GC7260</v>
      </c>
    </row>
    <row r="1516" spans="21:26" ht="15">
      <c r="U1516" s="63">
        <v>50111307</v>
      </c>
      <c r="V1516" s="64" t="s">
        <v>2489</v>
      </c>
      <c r="W1516">
        <v>50111306</v>
      </c>
      <c r="X1516" t="s">
        <v>1082</v>
      </c>
      <c r="Y1516">
        <f>VLOOKUP(W1516,Sheet2!A:D,3,0)</f>
        <v>50082202</v>
      </c>
      <c r="Z1516" t="str">
        <f>VLOOKUP(W1516,Sheet2!A:D,4,0)</f>
        <v>HDPE: PURELL GC7260</v>
      </c>
    </row>
    <row r="1517" spans="21:26" ht="15">
      <c r="U1517" s="63">
        <v>50111308</v>
      </c>
      <c r="V1517" s="64" t="s">
        <v>2490</v>
      </c>
      <c r="W1517">
        <v>50111306</v>
      </c>
      <c r="X1517" t="s">
        <v>1082</v>
      </c>
      <c r="Y1517">
        <f>VLOOKUP(W1517,Sheet2!A:D,3,0)</f>
        <v>50082202</v>
      </c>
      <c r="Z1517" t="str">
        <f>VLOOKUP(W1517,Sheet2!A:D,4,0)</f>
        <v>HDPE: PURELL GC7260</v>
      </c>
    </row>
    <row r="1518" spans="21:26" ht="15">
      <c r="U1518" s="63">
        <v>50111310</v>
      </c>
      <c r="V1518" s="64" t="s">
        <v>2491</v>
      </c>
      <c r="W1518">
        <v>50111309</v>
      </c>
      <c r="X1518" t="s">
        <v>1083</v>
      </c>
      <c r="Y1518">
        <f>VLOOKUP(W1518,Sheet2!A:D,3,0)</f>
        <v>50082202</v>
      </c>
      <c r="Z1518" t="str">
        <f>VLOOKUP(W1518,Sheet2!A:D,4,0)</f>
        <v>HDPE: PURELL GC7260</v>
      </c>
    </row>
    <row r="1519" spans="21:26" ht="15">
      <c r="U1519" s="63">
        <v>50111311</v>
      </c>
      <c r="V1519" s="64" t="s">
        <v>2492</v>
      </c>
      <c r="W1519">
        <v>50111309</v>
      </c>
      <c r="X1519" t="s">
        <v>1083</v>
      </c>
      <c r="Y1519">
        <f>VLOOKUP(W1519,Sheet2!A:D,3,0)</f>
        <v>50082202</v>
      </c>
      <c r="Z1519" t="str">
        <f>VLOOKUP(W1519,Sheet2!A:D,4,0)</f>
        <v>HDPE: PURELL GC7260</v>
      </c>
    </row>
    <row r="1520" spans="21:26" ht="15">
      <c r="U1520" s="63">
        <v>50111313</v>
      </c>
      <c r="V1520" s="64" t="s">
        <v>2493</v>
      </c>
      <c r="W1520">
        <v>50111312</v>
      </c>
      <c r="X1520" t="s">
        <v>1084</v>
      </c>
      <c r="Y1520">
        <f>VLOOKUP(W1520,Sheet2!A:D,3,0)</f>
        <v>50082202</v>
      </c>
      <c r="Z1520" t="str">
        <f>VLOOKUP(W1520,Sheet2!A:D,4,0)</f>
        <v>HDPE: PURELL GC7260</v>
      </c>
    </row>
    <row r="1521" spans="21:26" ht="15">
      <c r="U1521" s="63">
        <v>50111314</v>
      </c>
      <c r="V1521" s="64" t="s">
        <v>2494</v>
      </c>
      <c r="W1521">
        <v>50111312</v>
      </c>
      <c r="X1521" t="s">
        <v>1084</v>
      </c>
      <c r="Y1521">
        <f>VLOOKUP(W1521,Sheet2!A:D,3,0)</f>
        <v>50082202</v>
      </c>
      <c r="Z1521" t="str">
        <f>VLOOKUP(W1521,Sheet2!A:D,4,0)</f>
        <v>HDPE: PURELL GC7260</v>
      </c>
    </row>
    <row r="1522" spans="21:26" ht="15">
      <c r="U1522" s="63">
        <v>50111316</v>
      </c>
      <c r="V1522" s="64" t="s">
        <v>2495</v>
      </c>
      <c r="W1522">
        <v>50111315</v>
      </c>
      <c r="X1522" t="s">
        <v>1085</v>
      </c>
      <c r="Y1522">
        <f>VLOOKUP(W1522,Sheet2!A:D,3,0)</f>
        <v>50082202</v>
      </c>
      <c r="Z1522" t="str">
        <f>VLOOKUP(W1522,Sheet2!A:D,4,0)</f>
        <v>HDPE: PURELL GC7260</v>
      </c>
    </row>
    <row r="1523" spans="21:26" ht="15">
      <c r="U1523" s="63">
        <v>50111317</v>
      </c>
      <c r="V1523" s="64" t="s">
        <v>2496</v>
      </c>
      <c r="W1523">
        <v>50111315</v>
      </c>
      <c r="X1523" t="s">
        <v>1085</v>
      </c>
      <c r="Y1523">
        <f>VLOOKUP(W1523,Sheet2!A:D,3,0)</f>
        <v>50082202</v>
      </c>
      <c r="Z1523" t="str">
        <f>VLOOKUP(W1523,Sheet2!A:D,4,0)</f>
        <v>HDPE: PURELL GC7260</v>
      </c>
    </row>
    <row r="1524" spans="21:26" ht="15">
      <c r="U1524" s="63">
        <v>50111319</v>
      </c>
      <c r="V1524" s="64" t="s">
        <v>2497</v>
      </c>
      <c r="W1524">
        <v>50111318</v>
      </c>
      <c r="X1524" t="s">
        <v>1086</v>
      </c>
      <c r="Y1524">
        <f>VLOOKUP(W1524,Sheet2!A:D,3,0)</f>
        <v>50082202</v>
      </c>
      <c r="Z1524" t="str">
        <f>VLOOKUP(W1524,Sheet2!A:D,4,0)</f>
        <v>HDPE: PURELL GC7260</v>
      </c>
    </row>
    <row r="1525" spans="21:26" ht="15">
      <c r="U1525" s="63">
        <v>50111321</v>
      </c>
      <c r="V1525" s="64" t="s">
        <v>2498</v>
      </c>
      <c r="W1525">
        <v>50111320</v>
      </c>
      <c r="X1525" t="s">
        <v>1087</v>
      </c>
      <c r="Y1525">
        <f>VLOOKUP(W1525,Sheet2!A:D,3,0)</f>
        <v>50082202</v>
      </c>
      <c r="Z1525" t="str">
        <f>VLOOKUP(W1525,Sheet2!A:D,4,0)</f>
        <v>HDPE: PURELL GC7260</v>
      </c>
    </row>
    <row r="1526" spans="21:26" ht="15">
      <c r="U1526" s="63">
        <v>50111322</v>
      </c>
      <c r="V1526" s="64" t="s">
        <v>2499</v>
      </c>
      <c r="W1526">
        <v>50111320</v>
      </c>
      <c r="X1526" t="s">
        <v>1087</v>
      </c>
      <c r="Y1526">
        <f>VLOOKUP(W1526,Sheet2!A:D,3,0)</f>
        <v>50082202</v>
      </c>
      <c r="Z1526" t="str">
        <f>VLOOKUP(W1526,Sheet2!A:D,4,0)</f>
        <v>HDPE: PURELL GC7260</v>
      </c>
    </row>
    <row r="1527" spans="21:26" ht="15">
      <c r="U1527" s="63">
        <v>50111324</v>
      </c>
      <c r="V1527" s="64" t="s">
        <v>2500</v>
      </c>
      <c r="W1527">
        <v>50111323</v>
      </c>
      <c r="X1527" t="s">
        <v>1088</v>
      </c>
      <c r="Y1527">
        <f>VLOOKUP(W1527,Sheet2!A:D,3,0)</f>
        <v>50082202</v>
      </c>
      <c r="Z1527" t="str">
        <f>VLOOKUP(W1527,Sheet2!A:D,4,0)</f>
        <v>HDPE: PURELL GC7260</v>
      </c>
    </row>
    <row r="1528" spans="21:26" ht="15">
      <c r="U1528" s="63">
        <v>50111325</v>
      </c>
      <c r="V1528" s="64" t="s">
        <v>2501</v>
      </c>
      <c r="W1528">
        <v>50111323</v>
      </c>
      <c r="X1528" t="s">
        <v>1088</v>
      </c>
      <c r="Y1528">
        <f>VLOOKUP(W1528,Sheet2!A:D,3,0)</f>
        <v>50082202</v>
      </c>
      <c r="Z1528" t="str">
        <f>VLOOKUP(W1528,Sheet2!A:D,4,0)</f>
        <v>HDPE: PURELL GC7260</v>
      </c>
    </row>
    <row r="1529" spans="21:26" ht="15">
      <c r="U1529" s="63">
        <v>50111327</v>
      </c>
      <c r="V1529" s="64" t="s">
        <v>2502</v>
      </c>
      <c r="W1529">
        <v>50111326</v>
      </c>
      <c r="X1529" t="s">
        <v>1089</v>
      </c>
      <c r="Y1529">
        <f>VLOOKUP(W1529,Sheet2!A:D,3,0)</f>
        <v>50082202</v>
      </c>
      <c r="Z1529" t="str">
        <f>VLOOKUP(W1529,Sheet2!A:D,4,0)</f>
        <v>HDPE: PURELL GC7260</v>
      </c>
    </row>
    <row r="1530" spans="21:26" ht="15">
      <c r="U1530" s="63">
        <v>50111329</v>
      </c>
      <c r="V1530" s="64" t="s">
        <v>2503</v>
      </c>
      <c r="W1530">
        <v>50111328</v>
      </c>
      <c r="X1530" t="s">
        <v>1090</v>
      </c>
      <c r="Y1530">
        <f>VLOOKUP(W1530,Sheet2!A:D,3,0)</f>
        <v>50082202</v>
      </c>
      <c r="Z1530" t="str">
        <f>VLOOKUP(W1530,Sheet2!A:D,4,0)</f>
        <v>HDPE: PURELL GC7260</v>
      </c>
    </row>
    <row r="1531" spans="21:26" ht="15">
      <c r="U1531" s="63">
        <v>50111330</v>
      </c>
      <c r="V1531" s="64" t="s">
        <v>2504</v>
      </c>
      <c r="W1531">
        <v>50111328</v>
      </c>
      <c r="X1531" t="s">
        <v>1090</v>
      </c>
      <c r="Y1531">
        <f>VLOOKUP(W1531,Sheet2!A:D,3,0)</f>
        <v>50082202</v>
      </c>
      <c r="Z1531" t="str">
        <f>VLOOKUP(W1531,Sheet2!A:D,4,0)</f>
        <v>HDPE: PURELL GC7260</v>
      </c>
    </row>
    <row r="1532" spans="21:26" ht="15">
      <c r="U1532" s="63">
        <v>50111332</v>
      </c>
      <c r="V1532" s="64" t="s">
        <v>2505</v>
      </c>
      <c r="W1532">
        <v>50111331</v>
      </c>
      <c r="X1532" t="s">
        <v>1091</v>
      </c>
      <c r="Y1532">
        <f>VLOOKUP(W1532,Sheet2!A:D,3,0)</f>
        <v>50082202</v>
      </c>
      <c r="Z1532" t="str">
        <f>VLOOKUP(W1532,Sheet2!A:D,4,0)</f>
        <v>HDPE: PURELL GC7260</v>
      </c>
    </row>
    <row r="1533" spans="21:26" ht="15">
      <c r="U1533" s="63">
        <v>50111334</v>
      </c>
      <c r="V1533" s="64" t="s">
        <v>2506</v>
      </c>
      <c r="W1533">
        <v>50111333</v>
      </c>
      <c r="X1533" t="s">
        <v>1092</v>
      </c>
      <c r="Y1533">
        <f>VLOOKUP(W1533,Sheet2!A:D,3,0)</f>
        <v>50082202</v>
      </c>
      <c r="Z1533" t="str">
        <f>VLOOKUP(W1533,Sheet2!A:D,4,0)</f>
        <v>HDPE: PURELL GC7260</v>
      </c>
    </row>
    <row r="1534" spans="21:26" ht="15">
      <c r="U1534" s="63">
        <v>50111335</v>
      </c>
      <c r="V1534" s="64" t="s">
        <v>2507</v>
      </c>
      <c r="W1534">
        <v>50111333</v>
      </c>
      <c r="X1534" t="s">
        <v>1092</v>
      </c>
      <c r="Y1534">
        <f>VLOOKUP(W1534,Sheet2!A:D,3,0)</f>
        <v>50082202</v>
      </c>
      <c r="Z1534" t="str">
        <f>VLOOKUP(W1534,Sheet2!A:D,4,0)</f>
        <v>HDPE: PURELL GC7260</v>
      </c>
    </row>
    <row r="1535" spans="21:26" ht="15">
      <c r="U1535" s="63">
        <v>50111337</v>
      </c>
      <c r="V1535" s="64" t="s">
        <v>2508</v>
      </c>
      <c r="W1535">
        <v>50111336</v>
      </c>
      <c r="X1535" t="s">
        <v>1093</v>
      </c>
      <c r="Y1535">
        <f>VLOOKUP(W1535,Sheet2!A:D,3,0)</f>
        <v>50082202</v>
      </c>
      <c r="Z1535" t="str">
        <f>VLOOKUP(W1535,Sheet2!A:D,4,0)</f>
        <v>HDPE: PURELL GC7260</v>
      </c>
    </row>
    <row r="1536" spans="21:26" ht="15">
      <c r="U1536" s="63">
        <v>50111338</v>
      </c>
      <c r="V1536" s="64" t="s">
        <v>2509</v>
      </c>
      <c r="W1536">
        <v>50111336</v>
      </c>
      <c r="X1536" t="s">
        <v>1093</v>
      </c>
      <c r="Y1536">
        <f>VLOOKUP(W1536,Sheet2!A:D,3,0)</f>
        <v>50082202</v>
      </c>
      <c r="Z1536" t="str">
        <f>VLOOKUP(W1536,Sheet2!A:D,4,0)</f>
        <v>HDPE: PURELL GC7260</v>
      </c>
    </row>
    <row r="1537" spans="21:26" ht="15">
      <c r="U1537" s="63">
        <v>50111340</v>
      </c>
      <c r="V1537" s="64" t="s">
        <v>2510</v>
      </c>
      <c r="W1537">
        <v>50111339</v>
      </c>
      <c r="X1537" t="s">
        <v>1094</v>
      </c>
      <c r="Y1537">
        <f>VLOOKUP(W1537,Sheet2!A:D,3,0)</f>
        <v>50082202</v>
      </c>
      <c r="Z1537" t="str">
        <f>VLOOKUP(W1537,Sheet2!A:D,4,0)</f>
        <v>HDPE: PURELL GC7260</v>
      </c>
    </row>
    <row r="1538" spans="21:26" ht="15">
      <c r="U1538" s="63">
        <v>50111341</v>
      </c>
      <c r="V1538" s="64" t="s">
        <v>1589</v>
      </c>
      <c r="W1538">
        <v>50110381</v>
      </c>
      <c r="X1538" t="s">
        <v>1055</v>
      </c>
      <c r="Y1538">
        <f>VLOOKUP(W1538,Sheet2!A:D,3,0)</f>
        <v>50107854</v>
      </c>
      <c r="Z1538" t="str">
        <f>VLOOKUP(W1538,Sheet2!A:D,4,0)</f>
        <v>LLDPE: RELENE JF19010</v>
      </c>
    </row>
    <row r="1539" spans="21:26" ht="15">
      <c r="U1539" s="63">
        <v>50111342</v>
      </c>
      <c r="V1539" s="64" t="s">
        <v>1590</v>
      </c>
      <c r="W1539">
        <v>50110381</v>
      </c>
      <c r="X1539" t="s">
        <v>1055</v>
      </c>
      <c r="Y1539">
        <f>VLOOKUP(W1539,Sheet2!A:D,3,0)</f>
        <v>50107854</v>
      </c>
      <c r="Z1539" t="str">
        <f>VLOOKUP(W1539,Sheet2!A:D,4,0)</f>
        <v>LLDPE: RELENE JF19010</v>
      </c>
    </row>
    <row r="1540" spans="21:26" ht="15">
      <c r="U1540" s="63">
        <v>50111497</v>
      </c>
      <c r="V1540" s="64" t="s">
        <v>2511</v>
      </c>
      <c r="W1540">
        <v>50111496</v>
      </c>
      <c r="X1540" t="s">
        <v>1095</v>
      </c>
      <c r="Y1540">
        <f>VLOOKUP(W1540,Sheet2!A:D,3,0)</f>
        <v>50082202</v>
      </c>
      <c r="Z1540" t="str">
        <f>VLOOKUP(W1540,Sheet2!A:D,4,0)</f>
        <v>HDPE: PURELL GC7260</v>
      </c>
    </row>
    <row r="1541" spans="21:26" ht="15">
      <c r="U1541" s="63">
        <v>50111522</v>
      </c>
      <c r="V1541" s="64" t="s">
        <v>267</v>
      </c>
      <c r="W1541">
        <v>50111521</v>
      </c>
      <c r="X1541" t="s">
        <v>1096</v>
      </c>
      <c r="Y1541">
        <f>VLOOKUP(W1541,Sheet2!A:D,3,0)</f>
        <v>50082183</v>
      </c>
      <c r="Z1541" t="str">
        <f>VLOOKUP(W1541,Sheet2!A:D,4,0)</f>
        <v>LDPE: PURELL PE 1840 H</v>
      </c>
    </row>
    <row r="1542" spans="21:26" ht="15">
      <c r="U1542" s="63">
        <v>50111523</v>
      </c>
      <c r="V1542" s="64" t="s">
        <v>2512</v>
      </c>
      <c r="W1542">
        <v>50111521</v>
      </c>
      <c r="X1542" t="s">
        <v>1096</v>
      </c>
      <c r="Y1542">
        <f>VLOOKUP(W1542,Sheet2!A:D,3,0)</f>
        <v>50082183</v>
      </c>
      <c r="Z1542" t="str">
        <f>VLOOKUP(W1542,Sheet2!A:D,4,0)</f>
        <v>LDPE: PURELL PE 1840 H</v>
      </c>
    </row>
    <row r="1543" spans="21:26" ht="15">
      <c r="U1543" s="63">
        <v>50111525</v>
      </c>
      <c r="V1543" s="64" t="s">
        <v>211</v>
      </c>
      <c r="W1543">
        <v>50111524</v>
      </c>
      <c r="X1543" t="s">
        <v>1097</v>
      </c>
      <c r="Y1543">
        <f>VLOOKUP(W1543,Sheet2!A:D,3,0)</f>
        <v>50082183</v>
      </c>
      <c r="Z1543" t="str">
        <f>VLOOKUP(W1543,Sheet2!A:D,4,0)</f>
        <v>LDPE: PURELL PE 1840 H</v>
      </c>
    </row>
    <row r="1544" spans="21:26" ht="15">
      <c r="U1544" s="63">
        <v>50111526</v>
      </c>
      <c r="V1544" s="64" t="s">
        <v>2513</v>
      </c>
      <c r="W1544">
        <v>50111524</v>
      </c>
      <c r="X1544" t="s">
        <v>1097</v>
      </c>
      <c r="Y1544">
        <f>VLOOKUP(W1544,Sheet2!A:D,3,0)</f>
        <v>50082183</v>
      </c>
      <c r="Z1544" t="str">
        <f>VLOOKUP(W1544,Sheet2!A:D,4,0)</f>
        <v>LDPE: PURELL PE 1840 H</v>
      </c>
    </row>
    <row r="1545" spans="21:26" ht="15">
      <c r="U1545" s="63">
        <v>50111528</v>
      </c>
      <c r="V1545" s="64" t="s">
        <v>38</v>
      </c>
      <c r="W1545">
        <v>50111527</v>
      </c>
      <c r="X1545" t="s">
        <v>465</v>
      </c>
      <c r="Y1545">
        <f>VLOOKUP(W1545,Sheet2!A:D,3,0)</f>
        <v>50082183</v>
      </c>
      <c r="Z1545" t="str">
        <f>VLOOKUP(W1545,Sheet2!A:D,4,0)</f>
        <v>LDPE: PURELL PE 1840 H</v>
      </c>
    </row>
    <row r="1546" spans="21:26" ht="15">
      <c r="U1546" s="63">
        <v>50111529</v>
      </c>
      <c r="V1546" s="64" t="s">
        <v>2514</v>
      </c>
      <c r="W1546">
        <v>50111527</v>
      </c>
      <c r="X1546" t="s">
        <v>465</v>
      </c>
      <c r="Y1546">
        <f>VLOOKUP(W1546,Sheet2!A:D,3,0)</f>
        <v>50082183</v>
      </c>
      <c r="Z1546" t="str">
        <f>VLOOKUP(W1546,Sheet2!A:D,4,0)</f>
        <v>LDPE: PURELL PE 1840 H</v>
      </c>
    </row>
    <row r="1547" spans="21:26" ht="15">
      <c r="U1547" s="63">
        <v>50111592</v>
      </c>
      <c r="V1547" s="64" t="s">
        <v>2515</v>
      </c>
      <c r="W1547">
        <v>50111590</v>
      </c>
      <c r="X1547" t="s">
        <v>1100</v>
      </c>
      <c r="Y1547">
        <f>VLOOKUP(W1547,Sheet2!A:D,3,0)</f>
        <v>50082183</v>
      </c>
      <c r="Z1547" t="str">
        <f>VLOOKUP(W1547,Sheet2!A:D,4,0)</f>
        <v>LDPE: PURELL PE 1840 H</v>
      </c>
    </row>
    <row r="1548" spans="21:26" ht="15">
      <c r="U1548" s="63">
        <v>50111593</v>
      </c>
      <c r="V1548" s="64" t="s">
        <v>2516</v>
      </c>
      <c r="W1548">
        <v>50111590</v>
      </c>
      <c r="X1548" t="s">
        <v>1100</v>
      </c>
      <c r="Y1548">
        <f>VLOOKUP(W1548,Sheet2!A:D,3,0)</f>
        <v>50082183</v>
      </c>
      <c r="Z1548" t="str">
        <f>VLOOKUP(W1548,Sheet2!A:D,4,0)</f>
        <v>LDPE: PURELL PE 1840 H</v>
      </c>
    </row>
    <row r="1549" spans="21:26" ht="15">
      <c r="U1549" s="63">
        <v>50111595</v>
      </c>
      <c r="V1549" s="64" t="s">
        <v>479</v>
      </c>
      <c r="W1549">
        <v>50111594</v>
      </c>
      <c r="X1549" t="s">
        <v>1101</v>
      </c>
      <c r="Y1549">
        <f>VLOOKUP(W1549,Sheet2!A:D,3,0)</f>
        <v>50082183</v>
      </c>
      <c r="Z1549" t="str">
        <f>VLOOKUP(W1549,Sheet2!A:D,4,0)</f>
        <v>LDPE: PURELL PE 1840 H</v>
      </c>
    </row>
    <row r="1550" spans="21:26" ht="15">
      <c r="U1550" s="63">
        <v>50111596</v>
      </c>
      <c r="V1550" s="64" t="s">
        <v>43</v>
      </c>
      <c r="W1550">
        <v>50111594</v>
      </c>
      <c r="X1550" t="s">
        <v>1101</v>
      </c>
      <c r="Y1550">
        <f>VLOOKUP(W1550,Sheet2!A:D,3,0)</f>
        <v>50082183</v>
      </c>
      <c r="Z1550" t="str">
        <f>VLOOKUP(W1550,Sheet2!A:D,4,0)</f>
        <v>LDPE: PURELL PE 1840 H</v>
      </c>
    </row>
    <row r="1551" spans="21:26" ht="15">
      <c r="U1551" s="63">
        <v>50111624</v>
      </c>
      <c r="V1551" s="64" t="s">
        <v>2517</v>
      </c>
      <c r="W1551">
        <v>50111623</v>
      </c>
      <c r="X1551" t="s">
        <v>1102</v>
      </c>
      <c r="Y1551">
        <f>VLOOKUP(W1551,Sheet2!A:D,3,0)</f>
        <v>50082183</v>
      </c>
      <c r="Z1551" t="str">
        <f>VLOOKUP(W1551,Sheet2!A:D,4,0)</f>
        <v>LDPE: PURELL PE 1840 H</v>
      </c>
    </row>
    <row r="1552" spans="21:26" ht="15">
      <c r="U1552" s="63">
        <v>50111625</v>
      </c>
      <c r="V1552" s="64" t="s">
        <v>2518</v>
      </c>
      <c r="W1552">
        <v>50111623</v>
      </c>
      <c r="X1552" t="s">
        <v>1102</v>
      </c>
      <c r="Y1552">
        <f>VLOOKUP(W1552,Sheet2!A:D,3,0)</f>
        <v>50082183</v>
      </c>
      <c r="Z1552" t="str">
        <f>VLOOKUP(W1552,Sheet2!A:D,4,0)</f>
        <v>LDPE: PURELL PE 1840 H</v>
      </c>
    </row>
    <row r="1553" spans="21:26" ht="15">
      <c r="U1553" s="63">
        <v>50111679</v>
      </c>
      <c r="V1553" s="64" t="s">
        <v>2519</v>
      </c>
      <c r="W1553">
        <v>50111678</v>
      </c>
      <c r="X1553" t="s">
        <v>1103</v>
      </c>
      <c r="Y1553">
        <f>VLOOKUP(W1553,Sheet2!A:D,3,0)</f>
        <v>50082183</v>
      </c>
      <c r="Z1553" t="str">
        <f>VLOOKUP(W1553,Sheet2!A:D,4,0)</f>
        <v>LDPE: PURELL PE 1840 H</v>
      </c>
    </row>
    <row r="1554" spans="21:26" ht="15">
      <c r="U1554" s="63">
        <v>50111680</v>
      </c>
      <c r="V1554" s="64" t="s">
        <v>2520</v>
      </c>
      <c r="W1554">
        <v>50111678</v>
      </c>
      <c r="X1554" t="s">
        <v>1103</v>
      </c>
      <c r="Y1554">
        <f>VLOOKUP(W1554,Sheet2!A:D,3,0)</f>
        <v>50082183</v>
      </c>
      <c r="Z1554" t="str">
        <f>VLOOKUP(W1554,Sheet2!A:D,4,0)</f>
        <v>LDPE: PURELL PE 1840 H</v>
      </c>
    </row>
    <row r="1555" spans="21:26" ht="15">
      <c r="U1555" s="63">
        <v>50111783</v>
      </c>
      <c r="V1555" s="64" t="s">
        <v>2521</v>
      </c>
      <c r="W1555">
        <v>50111782</v>
      </c>
      <c r="X1555" t="s">
        <v>1104</v>
      </c>
      <c r="Y1555">
        <f>VLOOKUP(W1555,Sheet2!A:D,3,0)</f>
        <v>50082183</v>
      </c>
      <c r="Z1555" t="str">
        <f>VLOOKUP(W1555,Sheet2!A:D,4,0)</f>
        <v>LDPE: PURELL PE 1840 H</v>
      </c>
    </row>
    <row r="1556" spans="21:26" ht="15">
      <c r="U1556" s="63">
        <v>50111784</v>
      </c>
      <c r="V1556" s="64" t="s">
        <v>2522</v>
      </c>
      <c r="W1556">
        <v>50111782</v>
      </c>
      <c r="X1556" t="s">
        <v>1104</v>
      </c>
      <c r="Y1556">
        <f>VLOOKUP(W1556,Sheet2!A:D,3,0)</f>
        <v>50082183</v>
      </c>
      <c r="Z1556" t="str">
        <f>VLOOKUP(W1556,Sheet2!A:D,4,0)</f>
        <v>LDPE: PURELL PE 1840 H</v>
      </c>
    </row>
    <row r="1557" spans="21:26" ht="15">
      <c r="U1557" s="63">
        <v>50111786</v>
      </c>
      <c r="V1557" s="64" t="s">
        <v>2523</v>
      </c>
      <c r="W1557">
        <v>50111785</v>
      </c>
      <c r="X1557" t="s">
        <v>1105</v>
      </c>
      <c r="Y1557">
        <f>VLOOKUP(W1557,Sheet2!A:D,3,0)</f>
        <v>50082183</v>
      </c>
      <c r="Z1557" t="str">
        <f>VLOOKUP(W1557,Sheet2!A:D,4,0)</f>
        <v>LDPE: PURELL PE 1840 H</v>
      </c>
    </row>
    <row r="1558" spans="21:26" ht="15">
      <c r="U1558" s="63">
        <v>50111787</v>
      </c>
      <c r="V1558" s="64" t="s">
        <v>2524</v>
      </c>
      <c r="W1558">
        <v>50111785</v>
      </c>
      <c r="X1558" t="s">
        <v>1105</v>
      </c>
      <c r="Y1558">
        <f>VLOOKUP(W1558,Sheet2!A:D,3,0)</f>
        <v>50082183</v>
      </c>
      <c r="Z1558" t="str">
        <f>VLOOKUP(W1558,Sheet2!A:D,4,0)</f>
        <v>LDPE: PURELL PE 1840 H</v>
      </c>
    </row>
    <row r="1559" spans="21:26" ht="15">
      <c r="U1559" s="63">
        <v>50111832</v>
      </c>
      <c r="V1559" s="64" t="s">
        <v>1596</v>
      </c>
      <c r="W1559">
        <v>50111831</v>
      </c>
      <c r="X1559" t="s">
        <v>1597</v>
      </c>
      <c r="Y1559">
        <f>VLOOKUP(W1559,Sheet2!A:D,3,0)</f>
        <v>50082198</v>
      </c>
      <c r="Z1559" t="str">
        <f>VLOOKUP(W1559,Sheet2!A:D,4,0)</f>
        <v>LDPE: RELENE 22FA002</v>
      </c>
    </row>
    <row r="1560" spans="21:26" ht="15">
      <c r="U1560" s="63">
        <v>50111833</v>
      </c>
      <c r="V1560" s="64" t="s">
        <v>1598</v>
      </c>
      <c r="W1560">
        <v>50111831</v>
      </c>
      <c r="X1560" t="s">
        <v>1597</v>
      </c>
      <c r="Y1560">
        <f>VLOOKUP(W1560,Sheet2!A:D,3,0)</f>
        <v>50082198</v>
      </c>
      <c r="Z1560" t="str">
        <f>VLOOKUP(W1560,Sheet2!A:D,4,0)</f>
        <v>LDPE: RELENE 22FA002</v>
      </c>
    </row>
    <row r="1561" spans="21:26" ht="15">
      <c r="U1561" s="63">
        <v>50111835</v>
      </c>
      <c r="V1561" s="64" t="s">
        <v>1599</v>
      </c>
      <c r="W1561">
        <v>50111834</v>
      </c>
      <c r="X1561" t="s">
        <v>1600</v>
      </c>
      <c r="Y1561">
        <f>VLOOKUP(W1561,Sheet2!A:D,3,0)</f>
        <v>50082198</v>
      </c>
      <c r="Z1561" t="str">
        <f>VLOOKUP(W1561,Sheet2!A:D,4,0)</f>
        <v>LDPE: RELENE 22FA002</v>
      </c>
    </row>
    <row r="1562" spans="21:26" ht="15">
      <c r="U1562" s="63">
        <v>50111836</v>
      </c>
      <c r="V1562" s="64" t="s">
        <v>1601</v>
      </c>
      <c r="W1562">
        <v>50111834</v>
      </c>
      <c r="X1562" t="s">
        <v>1600</v>
      </c>
      <c r="Y1562">
        <f>VLOOKUP(W1562,Sheet2!A:D,3,0)</f>
        <v>50082198</v>
      </c>
      <c r="Z1562" t="str">
        <f>VLOOKUP(W1562,Sheet2!A:D,4,0)</f>
        <v>LDPE: RELENE 22FA002</v>
      </c>
    </row>
    <row r="1563" spans="21:26" ht="15">
      <c r="U1563" s="63">
        <v>50111838</v>
      </c>
      <c r="V1563" s="64" t="s">
        <v>1602</v>
      </c>
      <c r="W1563">
        <v>50111837</v>
      </c>
      <c r="X1563" t="s">
        <v>1603</v>
      </c>
      <c r="Y1563">
        <f>VLOOKUP(W1563,Sheet2!A:D,3,0)</f>
        <v>50082198</v>
      </c>
      <c r="Z1563" t="str">
        <f>VLOOKUP(W1563,Sheet2!A:D,4,0)</f>
        <v>LDPE: RELENE 22FA002</v>
      </c>
    </row>
    <row r="1564" spans="21:26" ht="15">
      <c r="U1564" s="63">
        <v>50111839</v>
      </c>
      <c r="V1564" s="64" t="s">
        <v>1604</v>
      </c>
      <c r="W1564">
        <v>50111837</v>
      </c>
      <c r="X1564" t="s">
        <v>1603</v>
      </c>
      <c r="Y1564">
        <f>VLOOKUP(W1564,Sheet2!A:D,3,0)</f>
        <v>50082198</v>
      </c>
      <c r="Z1564" t="str">
        <f>VLOOKUP(W1564,Sheet2!A:D,4,0)</f>
        <v>LDPE: RELENE 22FA002</v>
      </c>
    </row>
    <row r="1565" spans="21:26" ht="15">
      <c r="U1565" s="63">
        <v>50111845</v>
      </c>
      <c r="V1565" s="64" t="s">
        <v>2525</v>
      </c>
      <c r="W1565">
        <v>50111844</v>
      </c>
      <c r="X1565" t="s">
        <v>1108</v>
      </c>
      <c r="Y1565">
        <f>VLOOKUP(W1565,Sheet2!A:D,3,0)</f>
        <v>50082183</v>
      </c>
      <c r="Z1565" t="str">
        <f>VLOOKUP(W1565,Sheet2!A:D,4,0)</f>
        <v>LDPE: PURELL PE 1840 H</v>
      </c>
    </row>
    <row r="1566" spans="21:26" ht="15">
      <c r="U1566" s="63">
        <v>50111846</v>
      </c>
      <c r="V1566" s="64" t="s">
        <v>2526</v>
      </c>
      <c r="W1566">
        <v>50111844</v>
      </c>
      <c r="X1566" t="s">
        <v>1108</v>
      </c>
      <c r="Y1566">
        <f>VLOOKUP(W1566,Sheet2!A:D,3,0)</f>
        <v>50082183</v>
      </c>
      <c r="Z1566" t="str">
        <f>VLOOKUP(W1566,Sheet2!A:D,4,0)</f>
        <v>LDPE: PURELL PE 1840 H</v>
      </c>
    </row>
    <row r="1567" spans="21:26" ht="15">
      <c r="U1567" s="63">
        <v>50111848</v>
      </c>
      <c r="V1567" s="64" t="s">
        <v>2527</v>
      </c>
      <c r="W1567">
        <v>50111847</v>
      </c>
      <c r="X1567" t="s">
        <v>1109</v>
      </c>
      <c r="Y1567">
        <f>VLOOKUP(W1567,Sheet2!A:D,3,0)</f>
        <v>50082183</v>
      </c>
      <c r="Z1567" t="str">
        <f>VLOOKUP(W1567,Sheet2!A:D,4,0)</f>
        <v>LDPE: PURELL PE 1840 H</v>
      </c>
    </row>
    <row r="1568" spans="21:26" ht="15">
      <c r="U1568" s="63">
        <v>50111849</v>
      </c>
      <c r="V1568" s="64" t="s">
        <v>2528</v>
      </c>
      <c r="W1568">
        <v>50111847</v>
      </c>
      <c r="X1568" t="s">
        <v>1109</v>
      </c>
      <c r="Y1568">
        <f>VLOOKUP(W1568,Sheet2!A:D,3,0)</f>
        <v>50082183</v>
      </c>
      <c r="Z1568" t="str">
        <f>VLOOKUP(W1568,Sheet2!A:D,4,0)</f>
        <v>LDPE: PURELL PE 1840 H</v>
      </c>
    </row>
    <row r="1569" spans="21:26" ht="15">
      <c r="U1569" s="63">
        <v>50111939</v>
      </c>
      <c r="V1569" s="64" t="s">
        <v>39</v>
      </c>
      <c r="W1569">
        <v>50111938</v>
      </c>
      <c r="X1569" t="s">
        <v>1110</v>
      </c>
      <c r="Y1569">
        <f>VLOOKUP(W1569,Sheet2!A:D,3,0)</f>
        <v>50082183</v>
      </c>
      <c r="Z1569" t="str">
        <f>VLOOKUP(W1569,Sheet2!A:D,4,0)</f>
        <v>LDPE: PURELL PE 1840 H</v>
      </c>
    </row>
    <row r="1570" spans="21:26" ht="15">
      <c r="U1570" s="63">
        <v>50111940</v>
      </c>
      <c r="V1570" s="64" t="s">
        <v>2529</v>
      </c>
      <c r="W1570">
        <v>50111938</v>
      </c>
      <c r="X1570" t="s">
        <v>1110</v>
      </c>
      <c r="Y1570">
        <f>VLOOKUP(W1570,Sheet2!A:D,3,0)</f>
        <v>50082183</v>
      </c>
      <c r="Z1570" t="str">
        <f>VLOOKUP(W1570,Sheet2!A:D,4,0)</f>
        <v>LDPE: PURELL PE 1840 H</v>
      </c>
    </row>
    <row r="1571" spans="21:26" ht="15">
      <c r="U1571" s="63">
        <v>50111942</v>
      </c>
      <c r="V1571" s="64" t="s">
        <v>2530</v>
      </c>
      <c r="W1571">
        <v>50111941</v>
      </c>
      <c r="X1571" t="s">
        <v>1111</v>
      </c>
      <c r="Y1571">
        <f>VLOOKUP(W1571,Sheet2!A:D,3,0)</f>
        <v>50082183</v>
      </c>
      <c r="Z1571" t="str">
        <f>VLOOKUP(W1571,Sheet2!A:D,4,0)</f>
        <v>LDPE: PURELL PE 1840 H</v>
      </c>
    </row>
    <row r="1572" spans="21:26" ht="15">
      <c r="U1572" s="63">
        <v>50111943</v>
      </c>
      <c r="V1572" s="64" t="s">
        <v>2531</v>
      </c>
      <c r="W1572">
        <v>50111941</v>
      </c>
      <c r="X1572" t="s">
        <v>1111</v>
      </c>
      <c r="Y1572">
        <f>VLOOKUP(W1572,Sheet2!A:D,3,0)</f>
        <v>50082183</v>
      </c>
      <c r="Z1572" t="str">
        <f>VLOOKUP(W1572,Sheet2!A:D,4,0)</f>
        <v>LDPE: PURELL PE 1840 H</v>
      </c>
    </row>
    <row r="1573" spans="21:26" ht="15">
      <c r="U1573" s="63">
        <v>50111944</v>
      </c>
      <c r="V1573" s="64" t="s">
        <v>2532</v>
      </c>
      <c r="W1573">
        <v>50111318</v>
      </c>
      <c r="X1573" t="s">
        <v>1086</v>
      </c>
      <c r="Y1573">
        <f>VLOOKUP(W1573,Sheet2!A:D,3,0)</f>
        <v>50082202</v>
      </c>
      <c r="Z1573" t="str">
        <f>VLOOKUP(W1573,Sheet2!A:D,4,0)</f>
        <v>HDPE: PURELL GC7260</v>
      </c>
    </row>
    <row r="1574" spans="21:26" ht="15">
      <c r="U1574" s="63">
        <v>50111998</v>
      </c>
      <c r="V1574" s="64" t="s">
        <v>1605</v>
      </c>
      <c r="W1574">
        <v>50111997</v>
      </c>
      <c r="X1574" t="s">
        <v>1606</v>
      </c>
      <c r="Y1574">
        <f>VLOOKUP(W1574,Sheet2!A:D,3,0)</f>
        <v>50082198</v>
      </c>
      <c r="Z1574" t="str">
        <f>VLOOKUP(W1574,Sheet2!A:D,4,0)</f>
        <v>LDPE: RELENE 22FA002</v>
      </c>
    </row>
    <row r="1575" spans="21:26" ht="15">
      <c r="U1575" s="63">
        <v>50111999</v>
      </c>
      <c r="V1575" s="64" t="s">
        <v>1607</v>
      </c>
      <c r="W1575">
        <v>50111997</v>
      </c>
      <c r="X1575" t="s">
        <v>1606</v>
      </c>
      <c r="Y1575">
        <f>VLOOKUP(W1575,Sheet2!A:D,3,0)</f>
        <v>50082198</v>
      </c>
      <c r="Z1575" t="str">
        <f>VLOOKUP(W1575,Sheet2!A:D,4,0)</f>
        <v>LDPE: RELENE 22FA002</v>
      </c>
    </row>
    <row r="1576" spans="21:26" ht="15">
      <c r="U1576" s="63">
        <v>50112087</v>
      </c>
      <c r="V1576" s="64" t="s">
        <v>2533</v>
      </c>
      <c r="W1576">
        <v>50112086</v>
      </c>
      <c r="X1576" t="s">
        <v>1119</v>
      </c>
      <c r="Y1576">
        <f>VLOOKUP(W1576,Sheet2!A:D,3,0)</f>
        <v>50082201</v>
      </c>
      <c r="Z1576" t="str">
        <f>VLOOKUP(W1576,Sheet2!A:D,4,0)</f>
        <v>HDPE: PURELL GF4750</v>
      </c>
    </row>
    <row r="1577" spans="21:26" ht="15">
      <c r="U1577" s="63">
        <v>50112088</v>
      </c>
      <c r="V1577" s="64" t="s">
        <v>2534</v>
      </c>
      <c r="W1577">
        <v>50112086</v>
      </c>
      <c r="X1577" t="s">
        <v>1119</v>
      </c>
      <c r="Y1577">
        <f>VLOOKUP(W1577,Sheet2!A:D,3,0)</f>
        <v>50082201</v>
      </c>
      <c r="Z1577" t="str">
        <f>VLOOKUP(W1577,Sheet2!A:D,4,0)</f>
        <v>HDPE: PURELL GF4750</v>
      </c>
    </row>
    <row r="1578" spans="21:26" ht="15">
      <c r="U1578" s="63">
        <v>50112202</v>
      </c>
      <c r="V1578" s="64" t="s">
        <v>2535</v>
      </c>
      <c r="W1578">
        <v>50112201</v>
      </c>
      <c r="X1578" t="s">
        <v>1125</v>
      </c>
      <c r="Y1578">
        <f>VLOOKUP(W1578,Sheet2!A:D,3,0)</f>
        <v>50082183</v>
      </c>
      <c r="Z1578" t="str">
        <f>VLOOKUP(W1578,Sheet2!A:D,4,0)</f>
        <v>LDPE: PURELL PE 1840 H</v>
      </c>
    </row>
    <row r="1579" spans="21:26" ht="15">
      <c r="U1579" s="63">
        <v>50112203</v>
      </c>
      <c r="V1579" s="64" t="s">
        <v>2536</v>
      </c>
      <c r="W1579">
        <v>50112201</v>
      </c>
      <c r="X1579" t="s">
        <v>1125</v>
      </c>
      <c r="Y1579">
        <f>VLOOKUP(W1579,Sheet2!A:D,3,0)</f>
        <v>50082183</v>
      </c>
      <c r="Z1579" t="str">
        <f>VLOOKUP(W1579,Sheet2!A:D,4,0)</f>
        <v>LDPE: PURELL PE 1840 H</v>
      </c>
    </row>
    <row r="1580" spans="21:26" ht="15">
      <c r="U1580" s="63">
        <v>50112207</v>
      </c>
      <c r="V1580" s="64" t="s">
        <v>2537</v>
      </c>
      <c r="W1580">
        <v>50112163</v>
      </c>
      <c r="X1580" t="s">
        <v>1123</v>
      </c>
      <c r="Y1580">
        <f>VLOOKUP(W1580,Sheet2!A:D,3,0)</f>
        <v>50082200</v>
      </c>
      <c r="Z1580" t="str">
        <f>VLOOKUP(W1580,Sheet2!A:D,4,0)</f>
        <v>HDPE: RELENE E52009</v>
      </c>
    </row>
    <row r="1581" spans="21:26" ht="15">
      <c r="U1581" s="63">
        <v>50112208</v>
      </c>
      <c r="V1581" s="64" t="s">
        <v>81</v>
      </c>
      <c r="W1581">
        <v>50112163</v>
      </c>
      <c r="X1581" t="s">
        <v>1123</v>
      </c>
      <c r="Y1581">
        <f>VLOOKUP(W1581,Sheet2!A:D,3,0)</f>
        <v>50082200</v>
      </c>
      <c r="Z1581" t="str">
        <f>VLOOKUP(W1581,Sheet2!A:D,4,0)</f>
        <v>HDPE: RELENE E52009</v>
      </c>
    </row>
    <row r="1582" spans="21:26" ht="15">
      <c r="U1582" s="63">
        <v>50112210</v>
      </c>
      <c r="V1582" s="64" t="s">
        <v>2538</v>
      </c>
      <c r="W1582">
        <v>50112209</v>
      </c>
      <c r="X1582" t="s">
        <v>1127</v>
      </c>
      <c r="Y1582">
        <f>VLOOKUP(W1582,Sheet2!A:D,3,0)</f>
        <v>50082202</v>
      </c>
      <c r="Z1582" t="str">
        <f>VLOOKUP(W1582,Sheet2!A:D,4,0)</f>
        <v>HDPE: PURELL GC7260</v>
      </c>
    </row>
    <row r="1583" spans="21:26" ht="15">
      <c r="U1583" s="63">
        <v>50112211</v>
      </c>
      <c r="V1583" s="64" t="s">
        <v>2539</v>
      </c>
      <c r="W1583">
        <v>50112209</v>
      </c>
      <c r="X1583" t="s">
        <v>1127</v>
      </c>
      <c r="Y1583">
        <f>VLOOKUP(W1583,Sheet2!A:D,3,0)</f>
        <v>50082202</v>
      </c>
      <c r="Z1583" t="str">
        <f>VLOOKUP(W1583,Sheet2!A:D,4,0)</f>
        <v>HDPE: PURELL GC7260</v>
      </c>
    </row>
    <row r="1584" spans="21:26" ht="15">
      <c r="U1584" s="63">
        <v>50112214</v>
      </c>
      <c r="V1584" s="64" t="s">
        <v>380</v>
      </c>
      <c r="W1584">
        <v>50112004</v>
      </c>
      <c r="X1584" t="s">
        <v>1608</v>
      </c>
      <c r="Y1584">
        <f>VLOOKUP(W1584,Sheet2!A:D,3,0)</f>
        <v>50082198</v>
      </c>
      <c r="Z1584" t="str">
        <f>VLOOKUP(W1584,Sheet2!A:D,4,0)</f>
        <v>LDPE: RELENE 22FA002</v>
      </c>
    </row>
    <row r="1585" spans="21:26" ht="15">
      <c r="U1585" s="63">
        <v>50112215</v>
      </c>
      <c r="V1585" s="64" t="s">
        <v>1609</v>
      </c>
      <c r="W1585">
        <v>50112004</v>
      </c>
      <c r="X1585" t="s">
        <v>1608</v>
      </c>
      <c r="Y1585">
        <f>VLOOKUP(W1585,Sheet2!A:D,3,0)</f>
        <v>50082198</v>
      </c>
      <c r="Z1585" t="str">
        <f>VLOOKUP(W1585,Sheet2!A:D,4,0)</f>
        <v>LDPE: RELENE 22FA002</v>
      </c>
    </row>
    <row r="1586" spans="21:26" ht="15">
      <c r="U1586" s="63">
        <v>50112266</v>
      </c>
      <c r="V1586" s="64" t="s">
        <v>1610</v>
      </c>
      <c r="W1586">
        <v>50112265</v>
      </c>
      <c r="X1586" t="s">
        <v>1611</v>
      </c>
      <c r="Y1586">
        <f>VLOOKUP(W1586,Sheet2!A:D,3,0)</f>
        <v>50082198</v>
      </c>
      <c r="Z1586" t="str">
        <f>VLOOKUP(W1586,Sheet2!A:D,4,0)</f>
        <v>LDPE: RELENE 22FA002</v>
      </c>
    </row>
    <row r="1587" spans="21:26" ht="15">
      <c r="U1587" s="63">
        <v>50112267</v>
      </c>
      <c r="V1587" s="64" t="s">
        <v>1612</v>
      </c>
      <c r="W1587">
        <v>50112265</v>
      </c>
      <c r="X1587" t="s">
        <v>1611</v>
      </c>
      <c r="Y1587">
        <f>VLOOKUP(W1587,Sheet2!A:D,3,0)</f>
        <v>50082198</v>
      </c>
      <c r="Z1587" t="str">
        <f>VLOOKUP(W1587,Sheet2!A:D,4,0)</f>
        <v>LDPE: RELENE 22FA002</v>
      </c>
    </row>
    <row r="1588" spans="21:26" ht="15">
      <c r="U1588" s="63">
        <v>50112423</v>
      </c>
      <c r="V1588" s="64" t="s">
        <v>2540</v>
      </c>
      <c r="W1588">
        <v>50112422</v>
      </c>
      <c r="X1588" t="s">
        <v>2541</v>
      </c>
      <c r="Y1588" t="e">
        <f>VLOOKUP(W1588,Sheet2!A:D,3,0)</f>
        <v>#N/A</v>
      </c>
      <c r="Z1588" t="e">
        <f>VLOOKUP(W1588,Sheet2!A:D,4,0)</f>
        <v>#N/A</v>
      </c>
    </row>
    <row r="1589" spans="21:26" ht="15">
      <c r="U1589" s="63">
        <v>50112424</v>
      </c>
      <c r="V1589" s="64" t="s">
        <v>2542</v>
      </c>
      <c r="W1589">
        <v>50112422</v>
      </c>
      <c r="X1589" t="s">
        <v>2541</v>
      </c>
      <c r="Y1589" t="e">
        <f>VLOOKUP(W1589,Sheet2!A:D,3,0)</f>
        <v>#N/A</v>
      </c>
      <c r="Z1589" t="e">
        <f>VLOOKUP(W1589,Sheet2!A:D,4,0)</f>
        <v>#N/A</v>
      </c>
    </row>
    <row r="1590" spans="21:26" ht="15">
      <c r="U1590" s="63">
        <v>50112476</v>
      </c>
      <c r="V1590" s="64" t="s">
        <v>2543</v>
      </c>
      <c r="W1590">
        <v>50112475</v>
      </c>
      <c r="X1590" t="s">
        <v>2544</v>
      </c>
      <c r="Y1590" t="e">
        <f>VLOOKUP(W1590,Sheet2!A:D,3,0)</f>
        <v>#N/A</v>
      </c>
      <c r="Z1590" t="e">
        <f>VLOOKUP(W1590,Sheet2!A:D,4,0)</f>
        <v>#N/A</v>
      </c>
    </row>
    <row r="1591" spans="21:26" ht="15">
      <c r="U1591" s="63">
        <v>50112477</v>
      </c>
      <c r="V1591" s="64" t="s">
        <v>2545</v>
      </c>
      <c r="W1591">
        <v>50112475</v>
      </c>
      <c r="X1591" t="s">
        <v>2544</v>
      </c>
      <c r="Y1591" t="e">
        <f>VLOOKUP(W1591,Sheet2!A:D,3,0)</f>
        <v>#N/A</v>
      </c>
      <c r="Z1591" t="e">
        <f>VLOOKUP(W1591,Sheet2!A:D,4,0)</f>
        <v>#N/A</v>
      </c>
    </row>
    <row r="1592" spans="21:26" ht="15">
      <c r="U1592" s="63">
        <v>50112573</v>
      </c>
      <c r="V1592" s="64" t="s">
        <v>2546</v>
      </c>
      <c r="W1592">
        <v>50112572</v>
      </c>
      <c r="X1592" t="s">
        <v>1133</v>
      </c>
      <c r="Y1592" t="e">
        <f>VLOOKUP(W1592,Sheet2!A:D,3,0)</f>
        <v>#N/A</v>
      </c>
      <c r="Z1592" t="e">
        <f>VLOOKUP(W1592,Sheet2!A:D,4,0)</f>
        <v>#N/A</v>
      </c>
    </row>
    <row r="1593" spans="21:26" ht="15">
      <c r="U1593" s="63">
        <v>50112574</v>
      </c>
      <c r="V1593" s="64" t="s">
        <v>2547</v>
      </c>
      <c r="W1593">
        <v>50112572</v>
      </c>
      <c r="X1593" t="s">
        <v>1133</v>
      </c>
      <c r="Y1593" t="e">
        <f>VLOOKUP(W1593,Sheet2!A:D,3,0)</f>
        <v>#N/A</v>
      </c>
      <c r="Z1593" t="e">
        <f>VLOOKUP(W1593,Sheet2!A:D,4,0)</f>
        <v>#N/A</v>
      </c>
    </row>
    <row r="1594" spans="21:26" ht="15">
      <c r="U1594" s="63">
        <v>50112639</v>
      </c>
      <c r="V1594" s="64" t="s">
        <v>2548</v>
      </c>
      <c r="W1594">
        <v>50112638</v>
      </c>
      <c r="X1594" t="s">
        <v>2549</v>
      </c>
      <c r="Y1594" t="e">
        <f>VLOOKUP(W1594,Sheet2!A:D,3,0)</f>
        <v>#N/A</v>
      </c>
      <c r="Z1594" t="e">
        <f>VLOOKUP(W1594,Sheet2!A:D,4,0)</f>
        <v>#N/A</v>
      </c>
    </row>
    <row r="1595" spans="21:26" ht="15">
      <c r="U1595" s="63">
        <v>50112640</v>
      </c>
      <c r="V1595" s="64" t="s">
        <v>72</v>
      </c>
      <c r="W1595">
        <v>50112638</v>
      </c>
      <c r="X1595" t="s">
        <v>2549</v>
      </c>
      <c r="Y1595" t="e">
        <f>VLOOKUP(W1595,Sheet2!A:D,3,0)</f>
        <v>#N/A</v>
      </c>
      <c r="Z1595" t="e">
        <f>VLOOKUP(W1595,Sheet2!A:D,4,0)</f>
        <v>#N/A</v>
      </c>
    </row>
    <row r="1596" spans="21:26" ht="15">
      <c r="U1596" s="63">
        <v>50112690</v>
      </c>
      <c r="V1596" s="64" t="s">
        <v>2550</v>
      </c>
      <c r="W1596">
        <v>50112689</v>
      </c>
      <c r="X1596" t="s">
        <v>2551</v>
      </c>
      <c r="Y1596" t="e">
        <f>VLOOKUP(W1596,Sheet2!A:D,3,0)</f>
        <v>#N/A</v>
      </c>
      <c r="Z1596" t="e">
        <f>VLOOKUP(W1596,Sheet2!A:D,4,0)</f>
        <v>#N/A</v>
      </c>
    </row>
    <row r="1597" spans="21:26" ht="15">
      <c r="U1597" s="63">
        <v>50112691</v>
      </c>
      <c r="V1597" s="64" t="s">
        <v>2552</v>
      </c>
      <c r="W1597">
        <v>50112689</v>
      </c>
      <c r="X1597" t="s">
        <v>2551</v>
      </c>
      <c r="Y1597" t="e">
        <f>VLOOKUP(W1597,Sheet2!A:D,3,0)</f>
        <v>#N/A</v>
      </c>
      <c r="Z1597" t="e">
        <f>VLOOKUP(W1597,Sheet2!A:D,4,0)</f>
        <v>#N/A</v>
      </c>
    </row>
    <row r="1598" spans="21:26" ht="15">
      <c r="U1598" s="63">
        <v>50112838</v>
      </c>
      <c r="V1598" s="64" t="s">
        <v>2553</v>
      </c>
      <c r="W1598">
        <v>50112000</v>
      </c>
      <c r="X1598" t="s">
        <v>1115</v>
      </c>
      <c r="Y1598">
        <f>VLOOKUP(W1598,Sheet2!A:D,3,0)</f>
        <v>50108558</v>
      </c>
      <c r="Z1598" t="str">
        <f>VLOOKUP(W1598,Sheet2!A:D,4,0)</f>
        <v>LDPE: RELENE J1020FF20</v>
      </c>
    </row>
    <row r="1599" spans="21:26" ht="15">
      <c r="U1599" s="63">
        <v>50112839</v>
      </c>
      <c r="V1599" s="64" t="s">
        <v>2554</v>
      </c>
      <c r="W1599">
        <v>50112000</v>
      </c>
      <c r="X1599" t="s">
        <v>1115</v>
      </c>
      <c r="Y1599">
        <f>VLOOKUP(W1599,Sheet2!A:D,3,0)</f>
        <v>50108558</v>
      </c>
      <c r="Z1599" t="str">
        <f>VLOOKUP(W1599,Sheet2!A:D,4,0)</f>
        <v>LDPE: RELENE J1020FF20</v>
      </c>
    </row>
    <row r="1600" spans="21:26" ht="15">
      <c r="U1600" s="63">
        <v>50112840</v>
      </c>
      <c r="V1600" s="64" t="s">
        <v>2555</v>
      </c>
      <c r="W1600">
        <v>50112001</v>
      </c>
      <c r="X1600" t="s">
        <v>1116</v>
      </c>
      <c r="Y1600">
        <f>VLOOKUP(W1600,Sheet2!A:D,3,0)</f>
        <v>50108558</v>
      </c>
      <c r="Z1600" t="str">
        <f>VLOOKUP(W1600,Sheet2!A:D,4,0)</f>
        <v>LDPE: RELENE J1020FF20</v>
      </c>
    </row>
    <row r="1601" spans="21:26" ht="15">
      <c r="U1601" s="63">
        <v>50112841</v>
      </c>
      <c r="V1601" s="64" t="s">
        <v>2556</v>
      </c>
      <c r="W1601">
        <v>50112001</v>
      </c>
      <c r="X1601" t="s">
        <v>1116</v>
      </c>
      <c r="Y1601">
        <f>VLOOKUP(W1601,Sheet2!A:D,3,0)</f>
        <v>50108558</v>
      </c>
      <c r="Z1601" t="str">
        <f>VLOOKUP(W1601,Sheet2!A:D,4,0)</f>
        <v>LDPE: RELENE J1020FF20</v>
      </c>
    </row>
    <row r="1602" spans="21:26" ht="15">
      <c r="U1602" s="63">
        <v>50112842</v>
      </c>
      <c r="V1602" s="64" t="s">
        <v>1619</v>
      </c>
      <c r="W1602">
        <v>50101976</v>
      </c>
      <c r="X1602" t="s">
        <v>1449</v>
      </c>
      <c r="Y1602">
        <f>VLOOKUP(W1602,Sheet2!A:D,3,0)</f>
        <v>50082198</v>
      </c>
      <c r="Z1602" t="str">
        <f>VLOOKUP(W1602,Sheet2!A:D,4,0)</f>
        <v>LDPE: RELENE 22FA002</v>
      </c>
    </row>
    <row r="1603" spans="21:26" ht="15">
      <c r="U1603" s="63">
        <v>50112844</v>
      </c>
      <c r="V1603" s="64" t="s">
        <v>1385</v>
      </c>
      <c r="W1603">
        <v>50081641</v>
      </c>
      <c r="X1603" t="s">
        <v>1386</v>
      </c>
      <c r="Y1603">
        <f>VLOOKUP(W1603,Sheet2!A:D,3,0)</f>
        <v>50082198</v>
      </c>
      <c r="Z1603" t="str">
        <f>VLOOKUP(W1603,Sheet2!A:D,4,0)</f>
        <v>LDPE: RELENE 22FA002</v>
      </c>
    </row>
    <row r="1604" spans="21:26" ht="15">
      <c r="U1604" s="63">
        <v>50112949</v>
      </c>
      <c r="V1604" s="64" t="s">
        <v>2557</v>
      </c>
      <c r="W1604">
        <v>50112948</v>
      </c>
      <c r="X1604" t="s">
        <v>1143</v>
      </c>
      <c r="Y1604">
        <f>VLOOKUP(W1604,Sheet2!A:D,3,0)</f>
        <v>50082202</v>
      </c>
      <c r="Z1604" t="str">
        <f>VLOOKUP(W1604,Sheet2!A:D,4,0)</f>
        <v>HDPE: PURELL GC7260</v>
      </c>
    </row>
    <row r="1605" spans="21:26" ht="15">
      <c r="U1605" s="63">
        <v>50112950</v>
      </c>
      <c r="V1605" s="64" t="s">
        <v>2558</v>
      </c>
      <c r="W1605">
        <v>50112948</v>
      </c>
      <c r="X1605" t="s">
        <v>1143</v>
      </c>
      <c r="Y1605">
        <f>VLOOKUP(W1605,Sheet2!A:D,3,0)</f>
        <v>50082202</v>
      </c>
      <c r="Z1605" t="str">
        <f>VLOOKUP(W1605,Sheet2!A:D,4,0)</f>
        <v>HDPE: PURELL GC7260</v>
      </c>
    </row>
    <row r="1606" spans="21:26" ht="15">
      <c r="U1606" s="63">
        <v>50112963</v>
      </c>
      <c r="V1606" s="64" t="s">
        <v>1620</v>
      </c>
      <c r="W1606">
        <v>50112962</v>
      </c>
      <c r="X1606" t="s">
        <v>1621</v>
      </c>
      <c r="Y1606">
        <f>VLOOKUP(W1606,Sheet2!A:D,3,0)</f>
        <v>50082198</v>
      </c>
      <c r="Z1606" t="str">
        <f>VLOOKUP(W1606,Sheet2!A:D,4,0)</f>
        <v>LDPE: RELENE 22FA002</v>
      </c>
    </row>
    <row r="1607" spans="21:26" ht="15">
      <c r="U1607" s="63">
        <v>50112964</v>
      </c>
      <c r="V1607" s="64" t="s">
        <v>1622</v>
      </c>
      <c r="W1607">
        <v>50112962</v>
      </c>
      <c r="X1607" t="s">
        <v>1621</v>
      </c>
      <c r="Y1607">
        <f>VLOOKUP(W1607,Sheet2!A:D,3,0)</f>
        <v>50082198</v>
      </c>
      <c r="Z1607" t="str">
        <f>VLOOKUP(W1607,Sheet2!A:D,4,0)</f>
        <v>LDPE: RELENE 22FA002</v>
      </c>
    </row>
    <row r="1608" spans="21:26" ht="15">
      <c r="U1608" s="63">
        <v>50112998</v>
      </c>
      <c r="V1608" s="64" t="s">
        <v>2559</v>
      </c>
      <c r="W1608">
        <v>50112997</v>
      </c>
      <c r="X1608" t="s">
        <v>1146</v>
      </c>
      <c r="Y1608">
        <f>VLOOKUP(W1608,Sheet2!A:D,3,0)</f>
        <v>50082183</v>
      </c>
      <c r="Z1608" t="str">
        <f>VLOOKUP(W1608,Sheet2!A:D,4,0)</f>
        <v>LDPE: PURELL PE 1840 H</v>
      </c>
    </row>
    <row r="1609" spans="21:26" ht="15">
      <c r="U1609" s="63">
        <v>50112999</v>
      </c>
      <c r="V1609" s="64" t="s">
        <v>2560</v>
      </c>
      <c r="W1609">
        <v>50112997</v>
      </c>
      <c r="X1609" t="s">
        <v>1146</v>
      </c>
      <c r="Y1609">
        <f>VLOOKUP(W1609,Sheet2!A:D,3,0)</f>
        <v>50082183</v>
      </c>
      <c r="Z1609" t="str">
        <f>VLOOKUP(W1609,Sheet2!A:D,4,0)</f>
        <v>LDPE: PURELL PE 1840 H</v>
      </c>
    </row>
    <row r="1610" spans="21:26" ht="15">
      <c r="U1610" s="63">
        <v>50113089</v>
      </c>
      <c r="V1610" s="64" t="s">
        <v>2561</v>
      </c>
      <c r="W1610">
        <v>50113088</v>
      </c>
      <c r="X1610" t="s">
        <v>1149</v>
      </c>
      <c r="Y1610">
        <f>VLOOKUP(W1610,Sheet2!A:D,3,0)</f>
        <v>50082200</v>
      </c>
      <c r="Z1610" t="str">
        <f>VLOOKUP(W1610,Sheet2!A:D,4,0)</f>
        <v>HDPE: RELENE E52009</v>
      </c>
    </row>
    <row r="1611" spans="21:26" ht="15">
      <c r="U1611" s="63">
        <v>50113090</v>
      </c>
      <c r="V1611" s="64" t="s">
        <v>2562</v>
      </c>
      <c r="W1611">
        <v>50113088</v>
      </c>
      <c r="X1611" t="s">
        <v>1149</v>
      </c>
      <c r="Y1611">
        <f>VLOOKUP(W1611,Sheet2!A:D,3,0)</f>
        <v>50082200</v>
      </c>
      <c r="Z1611" t="str">
        <f>VLOOKUP(W1611,Sheet2!A:D,4,0)</f>
        <v>HDPE: RELENE E52009</v>
      </c>
    </row>
    <row r="1612" spans="21:26" ht="15">
      <c r="U1612" s="63">
        <v>50113095</v>
      </c>
      <c r="V1612" s="64" t="s">
        <v>1625</v>
      </c>
      <c r="W1612">
        <v>50113094</v>
      </c>
      <c r="X1612" t="s">
        <v>1151</v>
      </c>
      <c r="Y1612">
        <f>VLOOKUP(W1612,Sheet2!A:D,3,0)</f>
        <v>50082184</v>
      </c>
      <c r="Z1612" t="str">
        <f>VLOOKUP(W1612,Sheet2!A:D,4,0)</f>
        <v>LDPE: PURELL PE 1810 E</v>
      </c>
    </row>
    <row r="1613" spans="21:26" ht="15">
      <c r="U1613" s="63">
        <v>50113096</v>
      </c>
      <c r="V1613" s="64" t="s">
        <v>1626</v>
      </c>
      <c r="W1613">
        <v>50113094</v>
      </c>
      <c r="X1613" t="s">
        <v>1151</v>
      </c>
      <c r="Y1613">
        <f>VLOOKUP(W1613,Sheet2!A:D,3,0)</f>
        <v>50082184</v>
      </c>
      <c r="Z1613" t="str">
        <f>VLOOKUP(W1613,Sheet2!A:D,4,0)</f>
        <v>LDPE: PURELL PE 1810 E</v>
      </c>
    </row>
    <row r="1614" spans="21:26" ht="15">
      <c r="U1614" s="63">
        <v>50113256</v>
      </c>
      <c r="V1614" s="64" t="s">
        <v>75</v>
      </c>
      <c r="W1614">
        <v>50113255</v>
      </c>
      <c r="X1614" t="s">
        <v>1152</v>
      </c>
      <c r="Y1614">
        <f>VLOOKUP(W1614,Sheet2!A:D,3,0)</f>
        <v>50082184</v>
      </c>
      <c r="Z1614" t="str">
        <f>VLOOKUP(W1614,Sheet2!A:D,4,0)</f>
        <v>LDPE: PURELL PE 1810 E</v>
      </c>
    </row>
    <row r="1615" spans="21:26" ht="15">
      <c r="U1615" s="63">
        <v>50113257</v>
      </c>
      <c r="V1615" s="64" t="s">
        <v>316</v>
      </c>
      <c r="W1615">
        <v>50113255</v>
      </c>
      <c r="X1615" t="s">
        <v>1152</v>
      </c>
      <c r="Y1615">
        <f>VLOOKUP(W1615,Sheet2!A:D,3,0)</f>
        <v>50082184</v>
      </c>
      <c r="Z1615" t="str">
        <f>VLOOKUP(W1615,Sheet2!A:D,4,0)</f>
        <v>LDPE: PURELL PE 1810 E</v>
      </c>
    </row>
    <row r="1616" spans="21:26" ht="15">
      <c r="U1616" s="63">
        <v>50113291</v>
      </c>
      <c r="V1616" s="64" t="s">
        <v>2563</v>
      </c>
      <c r="W1616">
        <v>50113290</v>
      </c>
      <c r="X1616" t="s">
        <v>1153</v>
      </c>
      <c r="Y1616">
        <f>VLOOKUP(W1616,Sheet2!A:D,3,0)</f>
        <v>50082183</v>
      </c>
      <c r="Z1616" t="str">
        <f>VLOOKUP(W1616,Sheet2!A:D,4,0)</f>
        <v>LDPE: PURELL PE 1840 H</v>
      </c>
    </row>
    <row r="1617" spans="21:26" ht="15">
      <c r="U1617" s="63">
        <v>50113292</v>
      </c>
      <c r="V1617" s="64" t="s">
        <v>2564</v>
      </c>
      <c r="W1617">
        <v>50113290</v>
      </c>
      <c r="X1617" t="s">
        <v>1153</v>
      </c>
      <c r="Y1617">
        <f>VLOOKUP(W1617,Sheet2!A:D,3,0)</f>
        <v>50082183</v>
      </c>
      <c r="Z1617" t="str">
        <f>VLOOKUP(W1617,Sheet2!A:D,4,0)</f>
        <v>LDPE: PURELL PE 1840 H</v>
      </c>
    </row>
    <row r="1618" spans="21:26" ht="15">
      <c r="U1618" s="63">
        <v>50113303</v>
      </c>
      <c r="V1618" s="64" t="s">
        <v>2565</v>
      </c>
      <c r="W1618">
        <v>50113302</v>
      </c>
      <c r="X1618" t="s">
        <v>1154</v>
      </c>
      <c r="Y1618" t="e">
        <f>VLOOKUP(W1618,Sheet2!A:D,3,0)</f>
        <v>#N/A</v>
      </c>
      <c r="Z1618" t="e">
        <f>VLOOKUP(W1618,Sheet2!A:D,4,0)</f>
        <v>#N/A</v>
      </c>
    </row>
    <row r="1619" spans="21:26" ht="15">
      <c r="U1619" s="63">
        <v>50113304</v>
      </c>
      <c r="V1619" s="64" t="s">
        <v>2566</v>
      </c>
      <c r="W1619">
        <v>50113302</v>
      </c>
      <c r="X1619" t="s">
        <v>1154</v>
      </c>
      <c r="Y1619" t="e">
        <f>VLOOKUP(W1619,Sheet2!A:D,3,0)</f>
        <v>#N/A</v>
      </c>
      <c r="Z1619" t="e">
        <f>VLOOKUP(W1619,Sheet2!A:D,4,0)</f>
        <v>#N/A</v>
      </c>
    </row>
    <row r="1620" spans="21:26" ht="15">
      <c r="U1620" s="63">
        <v>50113306</v>
      </c>
      <c r="V1620" s="64" t="s">
        <v>2567</v>
      </c>
      <c r="W1620">
        <v>50113305</v>
      </c>
      <c r="X1620" t="s">
        <v>1155</v>
      </c>
      <c r="Y1620" t="e">
        <f>VLOOKUP(W1620,Sheet2!A:D,3,0)</f>
        <v>#N/A</v>
      </c>
      <c r="Z1620" t="e">
        <f>VLOOKUP(W1620,Sheet2!A:D,4,0)</f>
        <v>#N/A</v>
      </c>
    </row>
    <row r="1621" spans="21:26" ht="15">
      <c r="U1621" s="63">
        <v>50113307</v>
      </c>
      <c r="V1621" s="64" t="s">
        <v>2568</v>
      </c>
      <c r="W1621">
        <v>50113305</v>
      </c>
      <c r="X1621" t="s">
        <v>1155</v>
      </c>
      <c r="Y1621" t="e">
        <f>VLOOKUP(W1621,Sheet2!A:D,3,0)</f>
        <v>#N/A</v>
      </c>
      <c r="Z1621" t="e">
        <f>VLOOKUP(W1621,Sheet2!A:D,4,0)</f>
        <v>#N/A</v>
      </c>
    </row>
    <row r="1622" spans="21:26" ht="15">
      <c r="U1622" s="63">
        <v>50113309</v>
      </c>
      <c r="V1622" s="64" t="s">
        <v>2569</v>
      </c>
      <c r="W1622">
        <v>50113308</v>
      </c>
      <c r="X1622" t="s">
        <v>1156</v>
      </c>
      <c r="Y1622" t="e">
        <f>VLOOKUP(W1622,Sheet2!A:D,3,0)</f>
        <v>#N/A</v>
      </c>
      <c r="Z1622" t="e">
        <f>VLOOKUP(W1622,Sheet2!A:D,4,0)</f>
        <v>#N/A</v>
      </c>
    </row>
    <row r="1623" spans="21:26" ht="15">
      <c r="U1623" s="63">
        <v>50113310</v>
      </c>
      <c r="V1623" s="64" t="s">
        <v>2570</v>
      </c>
      <c r="W1623">
        <v>50113308</v>
      </c>
      <c r="X1623" t="s">
        <v>1156</v>
      </c>
      <c r="Y1623" t="e">
        <f>VLOOKUP(W1623,Sheet2!A:D,3,0)</f>
        <v>#N/A</v>
      </c>
      <c r="Z1623" t="e">
        <f>VLOOKUP(W1623,Sheet2!A:D,4,0)</f>
        <v>#N/A</v>
      </c>
    </row>
    <row r="1624" spans="21:26" ht="15">
      <c r="U1624" s="63">
        <v>50113312</v>
      </c>
      <c r="V1624" s="64" t="s">
        <v>2571</v>
      </c>
      <c r="W1624">
        <v>50113311</v>
      </c>
      <c r="X1624" t="s">
        <v>1157</v>
      </c>
      <c r="Y1624" t="e">
        <f>VLOOKUP(W1624,Sheet2!A:D,3,0)</f>
        <v>#N/A</v>
      </c>
      <c r="Z1624" t="e">
        <f>VLOOKUP(W1624,Sheet2!A:D,4,0)</f>
        <v>#N/A</v>
      </c>
    </row>
    <row r="1625" spans="21:26" ht="15">
      <c r="U1625" s="63">
        <v>50113313</v>
      </c>
      <c r="V1625" s="64" t="s">
        <v>2572</v>
      </c>
      <c r="W1625">
        <v>50113311</v>
      </c>
      <c r="X1625" t="s">
        <v>1157</v>
      </c>
      <c r="Y1625" t="e">
        <f>VLOOKUP(W1625,Sheet2!A:D,3,0)</f>
        <v>#N/A</v>
      </c>
      <c r="Z1625" t="e">
        <f>VLOOKUP(W1625,Sheet2!A:D,4,0)</f>
        <v>#N/A</v>
      </c>
    </row>
    <row r="1626" spans="21:26" ht="15">
      <c r="U1626" s="63">
        <v>50113369</v>
      </c>
      <c r="V1626" s="64" t="s">
        <v>2573</v>
      </c>
      <c r="W1626">
        <v>50113367</v>
      </c>
      <c r="X1626" t="s">
        <v>1158</v>
      </c>
      <c r="Y1626">
        <f>VLOOKUP(W1626,Sheet2!A:D,3,0)</f>
        <v>50082183</v>
      </c>
      <c r="Z1626" t="str">
        <f>VLOOKUP(W1626,Sheet2!A:D,4,0)</f>
        <v>LDPE: PURELL PE 1840 H</v>
      </c>
    </row>
    <row r="1627" spans="21:26" ht="15">
      <c r="U1627" s="63">
        <v>50113370</v>
      </c>
      <c r="V1627" s="64" t="s">
        <v>2574</v>
      </c>
      <c r="W1627">
        <v>50113367</v>
      </c>
      <c r="X1627" t="s">
        <v>1158</v>
      </c>
      <c r="Y1627">
        <f>VLOOKUP(W1627,Sheet2!A:D,3,0)</f>
        <v>50082183</v>
      </c>
      <c r="Z1627" t="str">
        <f>VLOOKUP(W1627,Sheet2!A:D,4,0)</f>
        <v>LDPE: PURELL PE 1840 H</v>
      </c>
    </row>
    <row r="1628" spans="21:26" ht="15">
      <c r="U1628" s="63">
        <v>50113372</v>
      </c>
      <c r="V1628" s="64" t="s">
        <v>2575</v>
      </c>
      <c r="W1628">
        <v>50113371</v>
      </c>
      <c r="X1628" t="s">
        <v>1159</v>
      </c>
      <c r="Y1628">
        <f>VLOOKUP(W1628,Sheet2!A:D,3,0)</f>
        <v>50082202</v>
      </c>
      <c r="Z1628" t="str">
        <f>VLOOKUP(W1628,Sheet2!A:D,4,0)</f>
        <v>HDPE: PURELL GC7260</v>
      </c>
    </row>
    <row r="1629" spans="21:26" ht="15">
      <c r="U1629" s="63">
        <v>50113373</v>
      </c>
      <c r="V1629" s="64" t="s">
        <v>2576</v>
      </c>
      <c r="W1629">
        <v>50113371</v>
      </c>
      <c r="X1629" t="s">
        <v>1159</v>
      </c>
      <c r="Y1629">
        <f>VLOOKUP(W1629,Sheet2!A:D,3,0)</f>
        <v>50082202</v>
      </c>
      <c r="Z1629" t="str">
        <f>VLOOKUP(W1629,Sheet2!A:D,4,0)</f>
        <v>HDPE: PURELL GC7260</v>
      </c>
    </row>
    <row r="1630" spans="21:26" ht="15">
      <c r="U1630" s="63">
        <v>50113375</v>
      </c>
      <c r="V1630" s="64" t="s">
        <v>2577</v>
      </c>
      <c r="W1630">
        <v>50113374</v>
      </c>
      <c r="X1630" t="s">
        <v>1160</v>
      </c>
      <c r="Y1630">
        <f>VLOOKUP(W1630,Sheet2!A:D,3,0)</f>
        <v>50082202</v>
      </c>
      <c r="Z1630" t="str">
        <f>VLOOKUP(W1630,Sheet2!A:D,4,0)</f>
        <v>HDPE: PURELL GC7260</v>
      </c>
    </row>
    <row r="1631" spans="21:26" ht="15">
      <c r="U1631" s="63">
        <v>50113376</v>
      </c>
      <c r="V1631" s="64" t="s">
        <v>2578</v>
      </c>
      <c r="W1631">
        <v>50113374</v>
      </c>
      <c r="X1631" t="s">
        <v>1160</v>
      </c>
      <c r="Y1631">
        <f>VLOOKUP(W1631,Sheet2!A:D,3,0)</f>
        <v>50082202</v>
      </c>
      <c r="Z1631" t="str">
        <f>VLOOKUP(W1631,Sheet2!A:D,4,0)</f>
        <v>HDPE: PURELL GC7260</v>
      </c>
    </row>
    <row r="1632" spans="21:26" ht="15">
      <c r="U1632" s="63">
        <v>50113378</v>
      </c>
      <c r="V1632" s="64" t="s">
        <v>2579</v>
      </c>
      <c r="W1632">
        <v>50113377</v>
      </c>
      <c r="X1632" t="s">
        <v>1161</v>
      </c>
      <c r="Y1632">
        <f>VLOOKUP(W1632,Sheet2!A:D,3,0)</f>
        <v>50082202</v>
      </c>
      <c r="Z1632" t="str">
        <f>VLOOKUP(W1632,Sheet2!A:D,4,0)</f>
        <v>HDPE: PURELL GC7260</v>
      </c>
    </row>
    <row r="1633" spans="21:26" ht="15">
      <c r="U1633" s="63">
        <v>50113379</v>
      </c>
      <c r="V1633" s="64" t="s">
        <v>2580</v>
      </c>
      <c r="W1633">
        <v>50113377</v>
      </c>
      <c r="X1633" t="s">
        <v>1161</v>
      </c>
      <c r="Y1633">
        <f>VLOOKUP(W1633,Sheet2!A:D,3,0)</f>
        <v>50082202</v>
      </c>
      <c r="Z1633" t="str">
        <f>VLOOKUP(W1633,Sheet2!A:D,4,0)</f>
        <v>HDPE: PURELL GC7260</v>
      </c>
    </row>
    <row r="1634" spans="21:26" ht="15">
      <c r="U1634" s="63">
        <v>50113482</v>
      </c>
      <c r="V1634" s="64" t="s">
        <v>2581</v>
      </c>
      <c r="W1634">
        <v>50113481</v>
      </c>
      <c r="X1634" t="s">
        <v>1167</v>
      </c>
      <c r="Y1634">
        <f>VLOOKUP(W1634,Sheet2!A:D,3,0)</f>
        <v>50082202</v>
      </c>
      <c r="Z1634" t="str">
        <f>VLOOKUP(W1634,Sheet2!A:D,4,0)</f>
        <v>HDPE: PURELL GC7260</v>
      </c>
    </row>
    <row r="1635" spans="21:26" ht="15">
      <c r="U1635" s="63">
        <v>50113555</v>
      </c>
      <c r="V1635" s="64" t="s">
        <v>2582</v>
      </c>
      <c r="W1635">
        <v>50113554</v>
      </c>
      <c r="X1635" t="s">
        <v>1168</v>
      </c>
      <c r="Y1635">
        <f>VLOOKUP(W1635,Sheet2!A:D,3,0)</f>
        <v>50082183</v>
      </c>
      <c r="Z1635" t="str">
        <f>VLOOKUP(W1635,Sheet2!A:D,4,0)</f>
        <v>LDPE: PURELL PE 1840 H</v>
      </c>
    </row>
    <row r="1636" spans="21:26" ht="15">
      <c r="U1636" s="63">
        <v>50113556</v>
      </c>
      <c r="V1636" s="64" t="s">
        <v>220</v>
      </c>
      <c r="W1636">
        <v>50113554</v>
      </c>
      <c r="X1636" t="s">
        <v>1168</v>
      </c>
      <c r="Y1636">
        <f>VLOOKUP(W1636,Sheet2!A:D,3,0)</f>
        <v>50082183</v>
      </c>
      <c r="Z1636" t="str">
        <f>VLOOKUP(W1636,Sheet2!A:D,4,0)</f>
        <v>LDPE: PURELL PE 1840 H</v>
      </c>
    </row>
    <row r="1637" spans="21:26" ht="15">
      <c r="U1637" s="63">
        <v>50113649</v>
      </c>
      <c r="V1637" s="64" t="s">
        <v>56</v>
      </c>
      <c r="W1637">
        <v>50113648</v>
      </c>
      <c r="X1637" t="s">
        <v>1170</v>
      </c>
      <c r="Y1637">
        <f>VLOOKUP(W1637,Sheet2!A:D,3,0)</f>
        <v>50082183</v>
      </c>
      <c r="Z1637" t="str">
        <f>VLOOKUP(W1637,Sheet2!A:D,4,0)</f>
        <v>LDPE: PURELL PE 1840 H</v>
      </c>
    </row>
    <row r="1638" spans="21:26" ht="15">
      <c r="U1638" s="63">
        <v>50113650</v>
      </c>
      <c r="V1638" s="64" t="s">
        <v>18</v>
      </c>
      <c r="W1638">
        <v>50113648</v>
      </c>
      <c r="X1638" t="s">
        <v>1170</v>
      </c>
      <c r="Y1638">
        <f>VLOOKUP(W1638,Sheet2!A:D,3,0)</f>
        <v>50082183</v>
      </c>
      <c r="Z1638" t="str">
        <f>VLOOKUP(W1638,Sheet2!A:D,4,0)</f>
        <v>LDPE: PURELL PE 1840 H</v>
      </c>
    </row>
    <row r="1639" spans="21:26" ht="15">
      <c r="U1639" s="63">
        <v>50113738</v>
      </c>
      <c r="V1639" s="64" t="s">
        <v>12</v>
      </c>
      <c r="W1639">
        <v>50113737</v>
      </c>
      <c r="X1639" t="s">
        <v>67</v>
      </c>
      <c r="Y1639">
        <f>VLOOKUP(W1639,Sheet2!A:D,3,0)</f>
        <v>50082202</v>
      </c>
      <c r="Z1639" t="str">
        <f>VLOOKUP(W1639,Sheet2!A:D,4,0)</f>
        <v>HDPE: PURELL GC7260</v>
      </c>
    </row>
    <row r="1640" spans="21:26" ht="15">
      <c r="U1640" s="63">
        <v>50113739</v>
      </c>
      <c r="V1640" s="64" t="s">
        <v>162</v>
      </c>
      <c r="W1640">
        <v>50113737</v>
      </c>
      <c r="X1640" t="s">
        <v>67</v>
      </c>
      <c r="Y1640">
        <f>VLOOKUP(W1640,Sheet2!A:D,3,0)</f>
        <v>50082202</v>
      </c>
      <c r="Z1640" t="str">
        <f>VLOOKUP(W1640,Sheet2!A:D,4,0)</f>
        <v>HDPE: PURELL GC7260</v>
      </c>
    </row>
    <row r="1641" spans="21:26" ht="15">
      <c r="U1641" s="63">
        <v>50113743</v>
      </c>
      <c r="V1641" s="64" t="s">
        <v>170</v>
      </c>
      <c r="W1641">
        <v>50113742</v>
      </c>
      <c r="X1641" t="s">
        <v>1171</v>
      </c>
      <c r="Y1641">
        <f>VLOOKUP(W1641,Sheet2!A:D,3,0)</f>
        <v>50082202</v>
      </c>
      <c r="Z1641" t="str">
        <f>VLOOKUP(W1641,Sheet2!A:D,4,0)</f>
        <v>HDPE: PURELL GC7260</v>
      </c>
    </row>
    <row r="1642" spans="21:26" ht="15">
      <c r="U1642" s="63">
        <v>50113744</v>
      </c>
      <c r="V1642" s="64" t="s">
        <v>2583</v>
      </c>
      <c r="W1642">
        <v>50113742</v>
      </c>
      <c r="X1642" t="s">
        <v>1171</v>
      </c>
      <c r="Y1642">
        <f>VLOOKUP(W1642,Sheet2!A:D,3,0)</f>
        <v>50082202</v>
      </c>
      <c r="Z1642" t="str">
        <f>VLOOKUP(W1642,Sheet2!A:D,4,0)</f>
        <v>HDPE: PURELL GC7260</v>
      </c>
    </row>
    <row r="1643" spans="21:26" ht="15">
      <c r="U1643" s="63">
        <v>50113746</v>
      </c>
      <c r="V1643" s="64" t="s">
        <v>383</v>
      </c>
      <c r="W1643">
        <v>50113745</v>
      </c>
      <c r="X1643" t="s">
        <v>1172</v>
      </c>
      <c r="Y1643">
        <f>VLOOKUP(W1643,Sheet2!A:D,3,0)</f>
        <v>50082202</v>
      </c>
      <c r="Z1643" t="str">
        <f>VLOOKUP(W1643,Sheet2!A:D,4,0)</f>
        <v>HDPE: PURELL GC7260</v>
      </c>
    </row>
    <row r="1644" spans="21:26" ht="15">
      <c r="U1644" s="63">
        <v>50113747</v>
      </c>
      <c r="V1644" s="64" t="s">
        <v>2584</v>
      </c>
      <c r="W1644">
        <v>50113745</v>
      </c>
      <c r="X1644" t="s">
        <v>1172</v>
      </c>
      <c r="Y1644">
        <f>VLOOKUP(W1644,Sheet2!A:D,3,0)</f>
        <v>50082202</v>
      </c>
      <c r="Z1644" t="str">
        <f>VLOOKUP(W1644,Sheet2!A:D,4,0)</f>
        <v>HDPE: PURELL GC7260</v>
      </c>
    </row>
    <row r="1645" spans="21:26" ht="15">
      <c r="U1645" s="63">
        <v>50113749</v>
      </c>
      <c r="V1645" s="64" t="s">
        <v>2585</v>
      </c>
      <c r="W1645">
        <v>50113748</v>
      </c>
      <c r="X1645" t="s">
        <v>1173</v>
      </c>
      <c r="Y1645">
        <f>VLOOKUP(W1645,Sheet2!A:D,3,0)</f>
        <v>50082202</v>
      </c>
      <c r="Z1645" t="str">
        <f>VLOOKUP(W1645,Sheet2!A:D,4,0)</f>
        <v>HDPE: PURELL GC7260</v>
      </c>
    </row>
    <row r="1646" spans="21:26" ht="15">
      <c r="U1646" s="63">
        <v>50113750</v>
      </c>
      <c r="V1646" s="64" t="s">
        <v>176</v>
      </c>
      <c r="W1646">
        <v>50113748</v>
      </c>
      <c r="X1646" t="s">
        <v>1173</v>
      </c>
      <c r="Y1646">
        <f>VLOOKUP(W1646,Sheet2!A:D,3,0)</f>
        <v>50082202</v>
      </c>
      <c r="Z1646" t="str">
        <f>VLOOKUP(W1646,Sheet2!A:D,4,0)</f>
        <v>HDPE: PURELL GC7260</v>
      </c>
    </row>
    <row r="1647" spans="21:26" ht="15">
      <c r="U1647" s="63">
        <v>50113752</v>
      </c>
      <c r="V1647" s="64" t="s">
        <v>237</v>
      </c>
      <c r="W1647">
        <v>50113751</v>
      </c>
      <c r="X1647" t="s">
        <v>1174</v>
      </c>
      <c r="Y1647">
        <f>VLOOKUP(W1647,Sheet2!A:D,3,0)</f>
        <v>50082202</v>
      </c>
      <c r="Z1647" t="str">
        <f>VLOOKUP(W1647,Sheet2!A:D,4,0)</f>
        <v>HDPE: PURELL GC7260</v>
      </c>
    </row>
    <row r="1648" spans="21:26" ht="15">
      <c r="U1648" s="63">
        <v>50113753</v>
      </c>
      <c r="V1648" s="64" t="s">
        <v>2586</v>
      </c>
      <c r="W1648">
        <v>50113751</v>
      </c>
      <c r="X1648" t="s">
        <v>1174</v>
      </c>
      <c r="Y1648">
        <f>VLOOKUP(W1648,Sheet2!A:D,3,0)</f>
        <v>50082202</v>
      </c>
      <c r="Z1648" t="str">
        <f>VLOOKUP(W1648,Sheet2!A:D,4,0)</f>
        <v>HDPE: PURELL GC7260</v>
      </c>
    </row>
    <row r="1649" spans="21:26" ht="15">
      <c r="U1649" s="63">
        <v>50113755</v>
      </c>
      <c r="V1649" s="64" t="s">
        <v>2587</v>
      </c>
      <c r="W1649">
        <v>50113754</v>
      </c>
      <c r="X1649" t="s">
        <v>1175</v>
      </c>
      <c r="Y1649">
        <f>VLOOKUP(W1649,Sheet2!A:D,3,0)</f>
        <v>50082202</v>
      </c>
      <c r="Z1649" t="str">
        <f>VLOOKUP(W1649,Sheet2!A:D,4,0)</f>
        <v>HDPE: PURELL GC7260</v>
      </c>
    </row>
    <row r="1650" spans="21:26" ht="15">
      <c r="U1650" s="63">
        <v>50113756</v>
      </c>
      <c r="V1650" s="64" t="s">
        <v>3</v>
      </c>
      <c r="W1650">
        <v>50113754</v>
      </c>
      <c r="X1650" t="s">
        <v>1175</v>
      </c>
      <c r="Y1650">
        <f>VLOOKUP(W1650,Sheet2!A:D,3,0)</f>
        <v>50082202</v>
      </c>
      <c r="Z1650" t="str">
        <f>VLOOKUP(W1650,Sheet2!A:D,4,0)</f>
        <v>HDPE: PURELL GC7260</v>
      </c>
    </row>
    <row r="1651" spans="21:26" ht="15">
      <c r="U1651" s="63">
        <v>50113817</v>
      </c>
      <c r="V1651" s="64" t="s">
        <v>2588</v>
      </c>
      <c r="W1651">
        <v>50097316</v>
      </c>
      <c r="X1651" t="s">
        <v>818</v>
      </c>
      <c r="Y1651">
        <f>VLOOKUP(W1651,Sheet2!A:D,3,0)</f>
        <v>50082202</v>
      </c>
      <c r="Z1651" t="str">
        <f>VLOOKUP(W1651,Sheet2!A:D,4,0)</f>
        <v>HDPE: PURELL GC7260</v>
      </c>
    </row>
    <row r="1652" spans="21:26" ht="15">
      <c r="U1652" s="63">
        <v>50113824</v>
      </c>
      <c r="V1652" s="64" t="s">
        <v>2589</v>
      </c>
      <c r="W1652">
        <v>50113823</v>
      </c>
      <c r="X1652" t="s">
        <v>1176</v>
      </c>
      <c r="Y1652">
        <f>VLOOKUP(W1652,Sheet2!A:D,3,0)</f>
        <v>50082183</v>
      </c>
      <c r="Z1652" t="str">
        <f>VLOOKUP(W1652,Sheet2!A:D,4,0)</f>
        <v>LDPE: PURELL PE 1840 H</v>
      </c>
    </row>
    <row r="1653" spans="21:26" ht="15">
      <c r="U1653" s="63">
        <v>50113825</v>
      </c>
      <c r="V1653" s="64" t="s">
        <v>2590</v>
      </c>
      <c r="W1653">
        <v>50113823</v>
      </c>
      <c r="X1653" t="s">
        <v>1176</v>
      </c>
      <c r="Y1653">
        <f>VLOOKUP(W1653,Sheet2!A:D,3,0)</f>
        <v>50082183</v>
      </c>
      <c r="Z1653" t="str">
        <f>VLOOKUP(W1653,Sheet2!A:D,4,0)</f>
        <v>LDPE: PURELL PE 1840 H</v>
      </c>
    </row>
    <row r="1654" spans="21:26" ht="15">
      <c r="U1654" s="63">
        <v>50113849</v>
      </c>
      <c r="V1654" s="64" t="s">
        <v>2591</v>
      </c>
      <c r="W1654">
        <v>50113848</v>
      </c>
      <c r="X1654" t="s">
        <v>1179</v>
      </c>
      <c r="Y1654">
        <f>VLOOKUP(W1654,Sheet2!A:D,3,0)</f>
        <v>50082183</v>
      </c>
      <c r="Z1654" t="str">
        <f>VLOOKUP(W1654,Sheet2!A:D,4,0)</f>
        <v>LDPE: PURELL PE 1840 H</v>
      </c>
    </row>
    <row r="1655" spans="21:26" ht="15">
      <c r="U1655" s="63">
        <v>50113850</v>
      </c>
      <c r="V1655" s="64" t="s">
        <v>2592</v>
      </c>
      <c r="W1655">
        <v>50113848</v>
      </c>
      <c r="X1655" t="s">
        <v>1179</v>
      </c>
      <c r="Y1655">
        <f>VLOOKUP(W1655,Sheet2!A:D,3,0)</f>
        <v>50082183</v>
      </c>
      <c r="Z1655" t="str">
        <f>VLOOKUP(W1655,Sheet2!A:D,4,0)</f>
        <v>LDPE: PURELL PE 1840 H</v>
      </c>
    </row>
    <row r="1656" spans="21:26" ht="15">
      <c r="U1656" s="63">
        <v>50113852</v>
      </c>
      <c r="V1656" s="64" t="s">
        <v>2593</v>
      </c>
      <c r="W1656">
        <v>50113851</v>
      </c>
      <c r="X1656" t="s">
        <v>1180</v>
      </c>
      <c r="Y1656">
        <f>VLOOKUP(W1656,Sheet2!A:D,3,0)</f>
        <v>50082183</v>
      </c>
      <c r="Z1656" t="str">
        <f>VLOOKUP(W1656,Sheet2!A:D,4,0)</f>
        <v>LDPE: PURELL PE 1840 H</v>
      </c>
    </row>
    <row r="1657" spans="21:26" ht="15">
      <c r="U1657" s="63">
        <v>50113853</v>
      </c>
      <c r="V1657" s="64" t="s">
        <v>2594</v>
      </c>
      <c r="W1657">
        <v>50113851</v>
      </c>
      <c r="X1657" t="s">
        <v>1180</v>
      </c>
      <c r="Y1657">
        <f>VLOOKUP(W1657,Sheet2!A:D,3,0)</f>
        <v>50082183</v>
      </c>
      <c r="Z1657" t="str">
        <f>VLOOKUP(W1657,Sheet2!A:D,4,0)</f>
        <v>LDPE: PURELL PE 1840 H</v>
      </c>
    </row>
    <row r="1658" spans="21:26" ht="15">
      <c r="U1658" s="63">
        <v>50113858</v>
      </c>
      <c r="V1658" s="64" t="s">
        <v>34</v>
      </c>
      <c r="W1658">
        <v>50113856</v>
      </c>
      <c r="X1658" t="s">
        <v>1181</v>
      </c>
      <c r="Y1658">
        <f>VLOOKUP(W1658,Sheet2!A:D,3,0)</f>
        <v>50082202</v>
      </c>
      <c r="Z1658" t="str">
        <f>VLOOKUP(W1658,Sheet2!A:D,4,0)</f>
        <v>HDPE: PURELL GC7260</v>
      </c>
    </row>
    <row r="1659" spans="21:26" ht="15">
      <c r="U1659" s="63">
        <v>50113859</v>
      </c>
      <c r="V1659" s="64" t="s">
        <v>2595</v>
      </c>
      <c r="W1659">
        <v>50113856</v>
      </c>
      <c r="X1659" t="s">
        <v>1181</v>
      </c>
      <c r="Y1659">
        <f>VLOOKUP(W1659,Sheet2!A:D,3,0)</f>
        <v>50082202</v>
      </c>
      <c r="Z1659" t="str">
        <f>VLOOKUP(W1659,Sheet2!A:D,4,0)</f>
        <v>HDPE: PURELL GC7260</v>
      </c>
    </row>
    <row r="1660" spans="21:26" ht="15">
      <c r="U1660" s="63">
        <v>50113860</v>
      </c>
      <c r="V1660" s="64" t="s">
        <v>2596</v>
      </c>
      <c r="W1660">
        <v>50113857</v>
      </c>
      <c r="X1660" t="s">
        <v>1182</v>
      </c>
      <c r="Y1660">
        <f>VLOOKUP(W1660,Sheet2!A:D,3,0)</f>
        <v>50082202</v>
      </c>
      <c r="Z1660" t="str">
        <f>VLOOKUP(W1660,Sheet2!A:D,4,0)</f>
        <v>HDPE: PURELL GC7260</v>
      </c>
    </row>
    <row r="1661" spans="21:26" ht="15">
      <c r="U1661" s="63">
        <v>50113861</v>
      </c>
      <c r="V1661" s="64" t="s">
        <v>2597</v>
      </c>
      <c r="W1661">
        <v>50113857</v>
      </c>
      <c r="X1661" t="s">
        <v>1182</v>
      </c>
      <c r="Y1661">
        <f>VLOOKUP(W1661,Sheet2!A:D,3,0)</f>
        <v>50082202</v>
      </c>
      <c r="Z1661" t="str">
        <f>VLOOKUP(W1661,Sheet2!A:D,4,0)</f>
        <v>HDPE: PURELL GC7260</v>
      </c>
    </row>
    <row r="1662" spans="21:26" ht="15">
      <c r="U1662" s="63">
        <v>50114012</v>
      </c>
      <c r="V1662" s="64" t="s">
        <v>2598</v>
      </c>
      <c r="W1662">
        <v>50114011</v>
      </c>
      <c r="X1662" t="s">
        <v>1183</v>
      </c>
      <c r="Y1662">
        <f>VLOOKUP(W1662,Sheet2!A:D,3,0)</f>
        <v>50082183</v>
      </c>
      <c r="Z1662" t="str">
        <f>VLOOKUP(W1662,Sheet2!A:D,4,0)</f>
        <v>LDPE: PURELL PE 1840 H</v>
      </c>
    </row>
    <row r="1663" spans="21:26" ht="15">
      <c r="U1663" s="63">
        <v>50114013</v>
      </c>
      <c r="V1663" s="64" t="s">
        <v>2599</v>
      </c>
      <c r="W1663">
        <v>50114011</v>
      </c>
      <c r="X1663" t="s">
        <v>1183</v>
      </c>
      <c r="Y1663">
        <f>VLOOKUP(W1663,Sheet2!A:D,3,0)</f>
        <v>50082183</v>
      </c>
      <c r="Z1663" t="str">
        <f>VLOOKUP(W1663,Sheet2!A:D,4,0)</f>
        <v>LDPE: PURELL PE 1840 H</v>
      </c>
    </row>
    <row r="1664" spans="21:26" ht="15">
      <c r="U1664" s="63">
        <v>50114035</v>
      </c>
      <c r="V1664" s="64" t="s">
        <v>2600</v>
      </c>
      <c r="W1664">
        <v>50114034</v>
      </c>
      <c r="X1664" t="s">
        <v>1184</v>
      </c>
      <c r="Y1664">
        <f>VLOOKUP(W1664,Sheet2!A:D,3,0)</f>
        <v>50082202</v>
      </c>
      <c r="Z1664" t="str">
        <f>VLOOKUP(W1664,Sheet2!A:D,4,0)</f>
        <v>HDPE: PURELL GC7260</v>
      </c>
    </row>
    <row r="1665" spans="21:26" ht="15">
      <c r="U1665" s="63">
        <v>50114036</v>
      </c>
      <c r="V1665" s="64" t="s">
        <v>2601</v>
      </c>
      <c r="W1665">
        <v>50114034</v>
      </c>
      <c r="X1665" t="s">
        <v>1184</v>
      </c>
      <c r="Y1665">
        <f>VLOOKUP(W1665,Sheet2!A:D,3,0)</f>
        <v>50082202</v>
      </c>
      <c r="Z1665" t="str">
        <f>VLOOKUP(W1665,Sheet2!A:D,4,0)</f>
        <v>HDPE: PURELL GC7260</v>
      </c>
    </row>
    <row r="1666" spans="21:26" ht="15">
      <c r="U1666" s="63">
        <v>50114038</v>
      </c>
      <c r="V1666" s="64" t="s">
        <v>2602</v>
      </c>
      <c r="W1666">
        <v>50114037</v>
      </c>
      <c r="X1666" t="s">
        <v>1185</v>
      </c>
      <c r="Y1666">
        <f>VLOOKUP(W1666,Sheet2!A:D,3,0)</f>
        <v>50082202</v>
      </c>
      <c r="Z1666" t="str">
        <f>VLOOKUP(W1666,Sheet2!A:D,4,0)</f>
        <v>HDPE: PURELL GC7260</v>
      </c>
    </row>
    <row r="1667" spans="21:26" ht="15">
      <c r="U1667" s="63">
        <v>50114039</v>
      </c>
      <c r="V1667" s="64" t="s">
        <v>2603</v>
      </c>
      <c r="W1667">
        <v>50114037</v>
      </c>
      <c r="X1667" t="s">
        <v>1185</v>
      </c>
      <c r="Y1667">
        <f>VLOOKUP(W1667,Sheet2!A:D,3,0)</f>
        <v>50082202</v>
      </c>
      <c r="Z1667" t="str">
        <f>VLOOKUP(W1667,Sheet2!A:D,4,0)</f>
        <v>HDPE: PURELL GC7260</v>
      </c>
    </row>
    <row r="1668" spans="21:26" ht="15">
      <c r="U1668" s="63">
        <v>50114041</v>
      </c>
      <c r="V1668" s="64" t="s">
        <v>188</v>
      </c>
      <c r="W1668">
        <v>50114040</v>
      </c>
      <c r="X1668" t="s">
        <v>1186</v>
      </c>
      <c r="Y1668">
        <f>VLOOKUP(W1668,Sheet2!A:D,3,0)</f>
        <v>50082202</v>
      </c>
      <c r="Z1668" t="str">
        <f>VLOOKUP(W1668,Sheet2!A:D,4,0)</f>
        <v>HDPE: PURELL GC7260</v>
      </c>
    </row>
    <row r="1669" spans="21:26" ht="15">
      <c r="U1669" s="63">
        <v>50114042</v>
      </c>
      <c r="V1669" s="64" t="s">
        <v>2604</v>
      </c>
      <c r="W1669">
        <v>50114040</v>
      </c>
      <c r="X1669" t="s">
        <v>1186</v>
      </c>
      <c r="Y1669">
        <f>VLOOKUP(W1669,Sheet2!A:D,3,0)</f>
        <v>50082202</v>
      </c>
      <c r="Z1669" t="str">
        <f>VLOOKUP(W1669,Sheet2!A:D,4,0)</f>
        <v>HDPE: PURELL GC7260</v>
      </c>
    </row>
    <row r="1670" spans="21:26" ht="15">
      <c r="U1670" s="63">
        <v>50114045</v>
      </c>
      <c r="V1670" s="64" t="s">
        <v>2605</v>
      </c>
      <c r="W1670">
        <v>50114044</v>
      </c>
      <c r="X1670" t="s">
        <v>1187</v>
      </c>
      <c r="Y1670">
        <f>VLOOKUP(W1670,Sheet2!A:D,3,0)</f>
        <v>50082200</v>
      </c>
      <c r="Z1670" t="str">
        <f>VLOOKUP(W1670,Sheet2!A:D,4,0)</f>
        <v>HDPE: RELENE E52009</v>
      </c>
    </row>
    <row r="1671" spans="21:26" ht="15">
      <c r="U1671" s="63">
        <v>50114046</v>
      </c>
      <c r="V1671" s="64" t="s">
        <v>2606</v>
      </c>
      <c r="W1671">
        <v>50114044</v>
      </c>
      <c r="X1671" t="s">
        <v>1187</v>
      </c>
      <c r="Y1671">
        <f>VLOOKUP(W1671,Sheet2!A:D,3,0)</f>
        <v>50082200</v>
      </c>
      <c r="Z1671" t="str">
        <f>VLOOKUP(W1671,Sheet2!A:D,4,0)</f>
        <v>HDPE: RELENE E52009</v>
      </c>
    </row>
    <row r="1672" spans="21:26" ht="15">
      <c r="U1672" s="63">
        <v>50114059</v>
      </c>
      <c r="V1672" s="64" t="s">
        <v>2607</v>
      </c>
      <c r="W1672">
        <v>50114058</v>
      </c>
      <c r="X1672" t="s">
        <v>1188</v>
      </c>
      <c r="Y1672">
        <f>VLOOKUP(W1672,Sheet2!A:D,3,0)</f>
        <v>50082183</v>
      </c>
      <c r="Z1672" t="str">
        <f>VLOOKUP(W1672,Sheet2!A:D,4,0)</f>
        <v>LDPE: PURELL PE 1840 H</v>
      </c>
    </row>
    <row r="1673" spans="21:26" ht="15">
      <c r="U1673" s="63">
        <v>50114060</v>
      </c>
      <c r="V1673" s="64" t="s">
        <v>2608</v>
      </c>
      <c r="W1673">
        <v>50114058</v>
      </c>
      <c r="X1673" t="s">
        <v>1188</v>
      </c>
      <c r="Y1673">
        <f>VLOOKUP(W1673,Sheet2!A:D,3,0)</f>
        <v>50082183</v>
      </c>
      <c r="Z1673" t="str">
        <f>VLOOKUP(W1673,Sheet2!A:D,4,0)</f>
        <v>LDPE: PURELL PE 1840 H</v>
      </c>
    </row>
    <row r="1674" spans="21:26" ht="15">
      <c r="U1674" s="63">
        <v>50114107</v>
      </c>
      <c r="V1674" s="64" t="s">
        <v>2609</v>
      </c>
      <c r="W1674">
        <v>50114106</v>
      </c>
      <c r="X1674" t="s">
        <v>1198</v>
      </c>
      <c r="Y1674">
        <f>VLOOKUP(W1674,Sheet2!A:D,3,0)</f>
        <v>50082202</v>
      </c>
      <c r="Z1674" t="str">
        <f>VLOOKUP(W1674,Sheet2!A:D,4,0)</f>
        <v>HDPE: PURELL GC7260</v>
      </c>
    </row>
    <row r="1675" spans="21:26" ht="15">
      <c r="U1675" s="63">
        <v>50114108</v>
      </c>
      <c r="V1675" s="64" t="s">
        <v>2610</v>
      </c>
      <c r="W1675">
        <v>50114106</v>
      </c>
      <c r="X1675" t="s">
        <v>1198</v>
      </c>
      <c r="Y1675">
        <f>VLOOKUP(W1675,Sheet2!A:D,3,0)</f>
        <v>50082202</v>
      </c>
      <c r="Z1675" t="str">
        <f>VLOOKUP(W1675,Sheet2!A:D,4,0)</f>
        <v>HDPE: PURELL GC7260</v>
      </c>
    </row>
    <row r="1676" spans="21:26" ht="15">
      <c r="U1676" s="63">
        <v>50114140</v>
      </c>
      <c r="V1676" s="64" t="s">
        <v>394</v>
      </c>
      <c r="W1676">
        <v>50114139</v>
      </c>
      <c r="X1676" t="s">
        <v>1200</v>
      </c>
      <c r="Y1676">
        <f>VLOOKUP(W1676,Sheet2!A:D,3,0)</f>
        <v>50082202</v>
      </c>
      <c r="Z1676" t="str">
        <f>VLOOKUP(W1676,Sheet2!A:D,4,0)</f>
        <v>HDPE: PURELL GC7260</v>
      </c>
    </row>
    <row r="1677" spans="21:26" ht="15">
      <c r="U1677" s="63">
        <v>50114142</v>
      </c>
      <c r="V1677" s="64" t="s">
        <v>2611</v>
      </c>
      <c r="W1677">
        <v>50114141</v>
      </c>
      <c r="X1677" t="s">
        <v>1201</v>
      </c>
      <c r="Y1677">
        <f>VLOOKUP(W1677,Sheet2!A:D,3,0)</f>
        <v>50082202</v>
      </c>
      <c r="Z1677" t="str">
        <f>VLOOKUP(W1677,Sheet2!A:D,4,0)</f>
        <v>HDPE: PURELL GC7260</v>
      </c>
    </row>
    <row r="1678" spans="21:26" ht="15">
      <c r="U1678" s="63">
        <v>50114161</v>
      </c>
      <c r="V1678" s="64" t="s">
        <v>1202</v>
      </c>
      <c r="W1678">
        <v>50114082</v>
      </c>
      <c r="X1678" t="s">
        <v>1190</v>
      </c>
      <c r="Y1678">
        <f>VLOOKUP(W1678,Sheet2!A:D,3,0)</f>
        <v>50113465</v>
      </c>
      <c r="Z1678" t="str">
        <f>VLOOKUP(W1678,Sheet2!A:D,4,0)</f>
        <v>PP: REPOL H050MN</v>
      </c>
    </row>
    <row r="1679" spans="21:26" ht="15">
      <c r="U1679" s="63">
        <v>50114162</v>
      </c>
      <c r="V1679" s="64" t="s">
        <v>1203</v>
      </c>
      <c r="W1679">
        <v>50114082</v>
      </c>
      <c r="X1679" t="s">
        <v>1190</v>
      </c>
      <c r="Y1679">
        <f>VLOOKUP(W1679,Sheet2!A:D,3,0)</f>
        <v>50113465</v>
      </c>
      <c r="Z1679" t="str">
        <f>VLOOKUP(W1679,Sheet2!A:D,4,0)</f>
        <v>PP: REPOL H050MN</v>
      </c>
    </row>
    <row r="1680" spans="21:26" ht="15">
      <c r="U1680" s="63">
        <v>50114282</v>
      </c>
      <c r="V1680" s="64" t="s">
        <v>2612</v>
      </c>
      <c r="W1680">
        <v>50114281</v>
      </c>
      <c r="X1680" t="s">
        <v>1208</v>
      </c>
      <c r="Y1680">
        <f>VLOOKUP(W1680,Sheet2!A:D,3,0)</f>
        <v>50082202</v>
      </c>
      <c r="Z1680" t="str">
        <f>VLOOKUP(W1680,Sheet2!A:D,4,0)</f>
        <v>HDPE: PURELL GC7260</v>
      </c>
    </row>
    <row r="1681" spans="21:26" ht="15">
      <c r="U1681" s="63">
        <v>50114283</v>
      </c>
      <c r="V1681" s="64" t="s">
        <v>2613</v>
      </c>
      <c r="W1681">
        <v>50114281</v>
      </c>
      <c r="X1681" t="s">
        <v>1208</v>
      </c>
      <c r="Y1681">
        <f>VLOOKUP(W1681,Sheet2!A:D,3,0)</f>
        <v>50082202</v>
      </c>
      <c r="Z1681" t="str">
        <f>VLOOKUP(W1681,Sheet2!A:D,4,0)</f>
        <v>HDPE: PURELL GC7260</v>
      </c>
    </row>
    <row r="1682" spans="21:26" ht="15">
      <c r="U1682" s="63">
        <v>50114307</v>
      </c>
      <c r="V1682" s="64" t="s">
        <v>2614</v>
      </c>
      <c r="W1682">
        <v>50114306</v>
      </c>
      <c r="X1682" t="s">
        <v>1209</v>
      </c>
      <c r="Y1682">
        <f>VLOOKUP(W1682,Sheet2!A:D,3,0)</f>
        <v>50082183</v>
      </c>
      <c r="Z1682" t="str">
        <f>VLOOKUP(W1682,Sheet2!A:D,4,0)</f>
        <v>LDPE: PURELL PE 1840 H</v>
      </c>
    </row>
    <row r="1683" spans="21:26" ht="15">
      <c r="U1683" s="63">
        <v>50114308</v>
      </c>
      <c r="V1683" s="64" t="s">
        <v>2615</v>
      </c>
      <c r="W1683">
        <v>50114306</v>
      </c>
      <c r="X1683" t="s">
        <v>1209</v>
      </c>
      <c r="Y1683">
        <f>VLOOKUP(W1683,Sheet2!A:D,3,0)</f>
        <v>50082183</v>
      </c>
      <c r="Z1683" t="str">
        <f>VLOOKUP(W1683,Sheet2!A:D,4,0)</f>
        <v>LDPE: PURELL PE 1840 H</v>
      </c>
    </row>
    <row r="1684" spans="21:26" ht="15">
      <c r="U1684" s="63">
        <v>50114310</v>
      </c>
      <c r="V1684" s="64" t="s">
        <v>2616</v>
      </c>
      <c r="W1684">
        <v>50114309</v>
      </c>
      <c r="X1684" t="s">
        <v>66</v>
      </c>
      <c r="Y1684">
        <f>VLOOKUP(W1684,Sheet2!A:D,3,0)</f>
        <v>50082183</v>
      </c>
      <c r="Z1684" t="str">
        <f>VLOOKUP(W1684,Sheet2!A:D,4,0)</f>
        <v>LDPE: PURELL PE 1840 H</v>
      </c>
    </row>
    <row r="1685" spans="21:26" ht="15">
      <c r="U1685" s="63">
        <v>50114311</v>
      </c>
      <c r="V1685" s="64" t="s">
        <v>2617</v>
      </c>
      <c r="W1685">
        <v>50114309</v>
      </c>
      <c r="X1685" t="s">
        <v>66</v>
      </c>
      <c r="Y1685">
        <f>VLOOKUP(W1685,Sheet2!A:D,3,0)</f>
        <v>50082183</v>
      </c>
      <c r="Z1685" t="str">
        <f>VLOOKUP(W1685,Sheet2!A:D,4,0)</f>
        <v>LDPE: PURELL PE 1840 H</v>
      </c>
    </row>
    <row r="1686" spans="21:26" ht="15">
      <c r="U1686" s="63">
        <v>50114313</v>
      </c>
      <c r="V1686" s="64" t="s">
        <v>2618</v>
      </c>
      <c r="W1686">
        <v>50114312</v>
      </c>
      <c r="X1686" t="s">
        <v>1210</v>
      </c>
      <c r="Y1686">
        <f>VLOOKUP(W1686,Sheet2!A:D,3,0)</f>
        <v>50082183</v>
      </c>
      <c r="Z1686" t="str">
        <f>VLOOKUP(W1686,Sheet2!A:D,4,0)</f>
        <v>LDPE: PURELL PE 1840 H</v>
      </c>
    </row>
    <row r="1687" spans="21:26" ht="15">
      <c r="U1687" s="63">
        <v>50114314</v>
      </c>
      <c r="V1687" s="64" t="s">
        <v>2619</v>
      </c>
      <c r="W1687">
        <v>50114312</v>
      </c>
      <c r="X1687" t="s">
        <v>1210</v>
      </c>
      <c r="Y1687">
        <f>VLOOKUP(W1687,Sheet2!A:D,3,0)</f>
        <v>50082183</v>
      </c>
      <c r="Z1687" t="str">
        <f>VLOOKUP(W1687,Sheet2!A:D,4,0)</f>
        <v>LDPE: PURELL PE 1840 H</v>
      </c>
    </row>
    <row r="1688" spans="21:26" ht="15">
      <c r="U1688" s="63">
        <v>50114341</v>
      </c>
      <c r="V1688" s="64" t="s">
        <v>180</v>
      </c>
      <c r="W1688">
        <v>50114340</v>
      </c>
      <c r="X1688" t="s">
        <v>68</v>
      </c>
      <c r="Y1688">
        <f>VLOOKUP(W1688,Sheet2!A:D,3,0)</f>
        <v>50082183</v>
      </c>
      <c r="Z1688" t="str">
        <f>VLOOKUP(W1688,Sheet2!A:D,4,0)</f>
        <v>LDPE: PURELL PE 1840 H</v>
      </c>
    </row>
    <row r="1689" spans="21:26" ht="15">
      <c r="U1689" s="63">
        <v>50114342</v>
      </c>
      <c r="V1689" s="64" t="s">
        <v>32</v>
      </c>
      <c r="W1689">
        <v>50114340</v>
      </c>
      <c r="X1689" t="s">
        <v>68</v>
      </c>
      <c r="Y1689">
        <f>VLOOKUP(W1689,Sheet2!A:D,3,0)</f>
        <v>50082183</v>
      </c>
      <c r="Z1689" t="str">
        <f>VLOOKUP(W1689,Sheet2!A:D,4,0)</f>
        <v>LDPE: PURELL PE 1840 H</v>
      </c>
    </row>
    <row r="1690" spans="21:26" ht="15">
      <c r="U1690" s="63">
        <v>50114358</v>
      </c>
      <c r="V1690" s="64" t="s">
        <v>60</v>
      </c>
      <c r="W1690">
        <v>50114357</v>
      </c>
      <c r="X1690" t="s">
        <v>1211</v>
      </c>
      <c r="Y1690">
        <f>VLOOKUP(W1690,Sheet2!A:D,3,0)</f>
        <v>50082183</v>
      </c>
      <c r="Z1690" t="str">
        <f>VLOOKUP(W1690,Sheet2!A:D,4,0)</f>
        <v>LDPE: PURELL PE 1840 H</v>
      </c>
    </row>
    <row r="1691" spans="21:26" ht="15">
      <c r="U1691" s="63">
        <v>50114359</v>
      </c>
      <c r="V1691" s="64" t="s">
        <v>21</v>
      </c>
      <c r="W1691">
        <v>50114357</v>
      </c>
      <c r="X1691" t="s">
        <v>1211</v>
      </c>
      <c r="Y1691">
        <f>VLOOKUP(W1691,Sheet2!A:D,3,0)</f>
        <v>50082183</v>
      </c>
      <c r="Z1691" t="str">
        <f>VLOOKUP(W1691,Sheet2!A:D,4,0)</f>
        <v>LDPE: PURELL PE 1840 H</v>
      </c>
    </row>
    <row r="1692" spans="21:26" ht="15">
      <c r="U1692" s="63">
        <v>50114361</v>
      </c>
      <c r="V1692" s="64" t="s">
        <v>61</v>
      </c>
      <c r="W1692">
        <v>50114360</v>
      </c>
      <c r="X1692" t="s">
        <v>1212</v>
      </c>
      <c r="Y1692">
        <f>VLOOKUP(W1692,Sheet2!A:D,3,0)</f>
        <v>50082183</v>
      </c>
      <c r="Z1692" t="str">
        <f>VLOOKUP(W1692,Sheet2!A:D,4,0)</f>
        <v>LDPE: PURELL PE 1840 H</v>
      </c>
    </row>
    <row r="1693" spans="21:26" ht="15">
      <c r="U1693" s="63">
        <v>50114362</v>
      </c>
      <c r="V1693" s="64" t="s">
        <v>2620</v>
      </c>
      <c r="W1693">
        <v>50114360</v>
      </c>
      <c r="X1693" t="s">
        <v>1212</v>
      </c>
      <c r="Y1693">
        <f>VLOOKUP(W1693,Sheet2!A:D,3,0)</f>
        <v>50082183</v>
      </c>
      <c r="Z1693" t="str">
        <f>VLOOKUP(W1693,Sheet2!A:D,4,0)</f>
        <v>LDPE: PURELL PE 1840 H</v>
      </c>
    </row>
    <row r="1694" spans="21:26" ht="15">
      <c r="U1694" s="63">
        <v>50114364</v>
      </c>
      <c r="V1694" s="64" t="s">
        <v>143</v>
      </c>
      <c r="W1694">
        <v>50114363</v>
      </c>
      <c r="X1694" t="s">
        <v>1213</v>
      </c>
      <c r="Y1694">
        <f>VLOOKUP(W1694,Sheet2!A:D,3,0)</f>
        <v>50082183</v>
      </c>
      <c r="Z1694" t="str">
        <f>VLOOKUP(W1694,Sheet2!A:D,4,0)</f>
        <v>LDPE: PURELL PE 1840 H</v>
      </c>
    </row>
    <row r="1695" spans="21:26" ht="15">
      <c r="U1695" s="63">
        <v>50114365</v>
      </c>
      <c r="V1695" s="64" t="s">
        <v>480</v>
      </c>
      <c r="W1695">
        <v>50114363</v>
      </c>
      <c r="X1695" t="s">
        <v>1213</v>
      </c>
      <c r="Y1695">
        <f>VLOOKUP(W1695,Sheet2!A:D,3,0)</f>
        <v>50082183</v>
      </c>
      <c r="Z1695" t="str">
        <f>VLOOKUP(W1695,Sheet2!A:D,4,0)</f>
        <v>LDPE: PURELL PE 1840 H</v>
      </c>
    </row>
    <row r="1696" spans="21:26" ht="15">
      <c r="U1696" s="63">
        <v>50114367</v>
      </c>
      <c r="V1696" s="64" t="s">
        <v>82</v>
      </c>
      <c r="W1696">
        <v>50114366</v>
      </c>
      <c r="X1696" t="s">
        <v>1214</v>
      </c>
      <c r="Y1696">
        <f>VLOOKUP(W1696,Sheet2!A:D,3,0)</f>
        <v>50082183</v>
      </c>
      <c r="Z1696" t="str">
        <f>VLOOKUP(W1696,Sheet2!A:D,4,0)</f>
        <v>LDPE: PURELL PE 1840 H</v>
      </c>
    </row>
    <row r="1697" spans="21:26" ht="15">
      <c r="U1697" s="63">
        <v>50114368</v>
      </c>
      <c r="V1697" s="64" t="s">
        <v>15</v>
      </c>
      <c r="W1697">
        <v>50114366</v>
      </c>
      <c r="X1697" t="s">
        <v>1214</v>
      </c>
      <c r="Y1697">
        <f>VLOOKUP(W1697,Sheet2!A:D,3,0)</f>
        <v>50082183</v>
      </c>
      <c r="Z1697" t="str">
        <f>VLOOKUP(W1697,Sheet2!A:D,4,0)</f>
        <v>LDPE: PURELL PE 1840 H</v>
      </c>
    </row>
    <row r="1698" spans="21:26" ht="15">
      <c r="U1698" s="63">
        <v>50114370</v>
      </c>
      <c r="V1698" s="64" t="s">
        <v>146</v>
      </c>
      <c r="W1698">
        <v>50114369</v>
      </c>
      <c r="X1698" t="s">
        <v>1215</v>
      </c>
      <c r="Y1698">
        <f>VLOOKUP(W1698,Sheet2!A:D,3,0)</f>
        <v>50082183</v>
      </c>
      <c r="Z1698" t="str">
        <f>VLOOKUP(W1698,Sheet2!A:D,4,0)</f>
        <v>LDPE: PURELL PE 1840 H</v>
      </c>
    </row>
    <row r="1699" spans="21:26" ht="15">
      <c r="U1699" s="63">
        <v>50114371</v>
      </c>
      <c r="V1699" s="64" t="s">
        <v>83</v>
      </c>
      <c r="W1699">
        <v>50114369</v>
      </c>
      <c r="X1699" t="s">
        <v>1215</v>
      </c>
      <c r="Y1699">
        <f>VLOOKUP(W1699,Sheet2!A:D,3,0)</f>
        <v>50082183</v>
      </c>
      <c r="Z1699" t="str">
        <f>VLOOKUP(W1699,Sheet2!A:D,4,0)</f>
        <v>LDPE: PURELL PE 1840 H</v>
      </c>
    </row>
    <row r="1700" spans="21:26" ht="15">
      <c r="U1700" s="63">
        <v>50114373</v>
      </c>
      <c r="V1700" s="64" t="s">
        <v>2621</v>
      </c>
      <c r="W1700">
        <v>50114372</v>
      </c>
      <c r="X1700" t="s">
        <v>1216</v>
      </c>
      <c r="Y1700">
        <f>VLOOKUP(W1700,Sheet2!A:D,3,0)</f>
        <v>50082183</v>
      </c>
      <c r="Z1700" t="str">
        <f>VLOOKUP(W1700,Sheet2!A:D,4,0)</f>
        <v>LDPE: PURELL PE 1840 H</v>
      </c>
    </row>
    <row r="1701" spans="21:26" ht="15">
      <c r="U1701" s="63">
        <v>50114374</v>
      </c>
      <c r="V1701" s="64" t="s">
        <v>2622</v>
      </c>
      <c r="W1701">
        <v>50114372</v>
      </c>
      <c r="X1701" t="s">
        <v>1216</v>
      </c>
      <c r="Y1701">
        <f>VLOOKUP(W1701,Sheet2!A:D,3,0)</f>
        <v>50082183</v>
      </c>
      <c r="Z1701" t="str">
        <f>VLOOKUP(W1701,Sheet2!A:D,4,0)</f>
        <v>LDPE: PURELL PE 1840 H</v>
      </c>
    </row>
    <row r="1702" spans="21:26" ht="15">
      <c r="U1702" s="63">
        <v>50114398</v>
      </c>
      <c r="V1702" s="64" t="s">
        <v>2623</v>
      </c>
      <c r="W1702">
        <v>50114397</v>
      </c>
      <c r="X1702" t="s">
        <v>1217</v>
      </c>
      <c r="Y1702">
        <f>VLOOKUP(W1702,Sheet2!A:D,3,0)</f>
        <v>50108558</v>
      </c>
      <c r="Z1702" t="str">
        <f>VLOOKUP(W1702,Sheet2!A:D,4,0)</f>
        <v>LDPE: RELENE J1020FF20</v>
      </c>
    </row>
    <row r="1703" spans="21:26" ht="15">
      <c r="U1703" s="63">
        <v>50114399</v>
      </c>
      <c r="V1703" s="64" t="s">
        <v>2624</v>
      </c>
      <c r="W1703">
        <v>50114397</v>
      </c>
      <c r="X1703" t="s">
        <v>1217</v>
      </c>
      <c r="Y1703">
        <f>VLOOKUP(W1703,Sheet2!A:D,3,0)</f>
        <v>50108558</v>
      </c>
      <c r="Z1703" t="str">
        <f>VLOOKUP(W1703,Sheet2!A:D,4,0)</f>
        <v>LDPE: RELENE J1020FF20</v>
      </c>
    </row>
    <row r="1704" spans="21:26" ht="15">
      <c r="U1704" s="63">
        <v>50114401</v>
      </c>
      <c r="V1704" s="64" t="s">
        <v>248</v>
      </c>
      <c r="W1704">
        <v>50114400</v>
      </c>
      <c r="X1704" t="s">
        <v>1218</v>
      </c>
      <c r="Y1704">
        <f>VLOOKUP(W1704,Sheet2!A:D,3,0)</f>
        <v>50082183</v>
      </c>
      <c r="Z1704" t="str">
        <f>VLOOKUP(W1704,Sheet2!A:D,4,0)</f>
        <v>LDPE: PURELL PE 1840 H</v>
      </c>
    </row>
    <row r="1705" spans="21:26" ht="15">
      <c r="U1705" s="63">
        <v>50114402</v>
      </c>
      <c r="V1705" s="64" t="s">
        <v>2625</v>
      </c>
      <c r="W1705">
        <v>50114400</v>
      </c>
      <c r="X1705" t="s">
        <v>1218</v>
      </c>
      <c r="Y1705">
        <f>VLOOKUP(W1705,Sheet2!A:D,3,0)</f>
        <v>50082183</v>
      </c>
      <c r="Z1705" t="str">
        <f>VLOOKUP(W1705,Sheet2!A:D,4,0)</f>
        <v>LDPE: PURELL PE 1840 H</v>
      </c>
    </row>
    <row r="1706" spans="21:26" ht="15">
      <c r="U1706" s="63">
        <v>50114408</v>
      </c>
      <c r="V1706" s="64" t="s">
        <v>2626</v>
      </c>
      <c r="W1706">
        <v>50114407</v>
      </c>
      <c r="X1706" t="s">
        <v>1219</v>
      </c>
      <c r="Y1706">
        <f>VLOOKUP(W1706,Sheet2!A:D,3,0)</f>
        <v>50082202</v>
      </c>
      <c r="Z1706" t="str">
        <f>VLOOKUP(W1706,Sheet2!A:D,4,0)</f>
        <v>HDPE: PURELL GC7260</v>
      </c>
    </row>
    <row r="1707" spans="21:26" ht="15">
      <c r="U1707" s="63">
        <v>50114409</v>
      </c>
      <c r="V1707" s="64" t="s">
        <v>2627</v>
      </c>
      <c r="W1707">
        <v>50114407</v>
      </c>
      <c r="X1707" t="s">
        <v>1219</v>
      </c>
      <c r="Y1707">
        <f>VLOOKUP(W1707,Sheet2!A:D,3,0)</f>
        <v>50082202</v>
      </c>
      <c r="Z1707" t="str">
        <f>VLOOKUP(W1707,Sheet2!A:D,4,0)</f>
        <v>HDPE: PURELL GC7260</v>
      </c>
    </row>
    <row r="1708" spans="21:26" ht="15">
      <c r="U1708" s="63">
        <v>50114461</v>
      </c>
      <c r="V1708" s="64" t="s">
        <v>134</v>
      </c>
      <c r="W1708">
        <v>50114460</v>
      </c>
      <c r="X1708" t="s">
        <v>1220</v>
      </c>
      <c r="Y1708">
        <f>VLOOKUP(W1708,Sheet2!A:D,3,0)</f>
        <v>50082202</v>
      </c>
      <c r="Z1708" t="str">
        <f>VLOOKUP(W1708,Sheet2!A:D,4,0)</f>
        <v>HDPE: PURELL GC7260</v>
      </c>
    </row>
    <row r="1709" spans="21:26" ht="15">
      <c r="U1709" s="63">
        <v>50114462</v>
      </c>
      <c r="V1709" s="64" t="s">
        <v>2628</v>
      </c>
      <c r="W1709">
        <v>50114460</v>
      </c>
      <c r="X1709" t="s">
        <v>1220</v>
      </c>
      <c r="Y1709">
        <f>VLOOKUP(W1709,Sheet2!A:D,3,0)</f>
        <v>50082202</v>
      </c>
      <c r="Z1709" t="str">
        <f>VLOOKUP(W1709,Sheet2!A:D,4,0)</f>
        <v>HDPE: PURELL GC7260</v>
      </c>
    </row>
    <row r="1710" spans="21:26" ht="15">
      <c r="U1710" s="63">
        <v>50114490</v>
      </c>
      <c r="V1710" s="64" t="s">
        <v>2629</v>
      </c>
      <c r="W1710">
        <v>50114489</v>
      </c>
      <c r="X1710" t="s">
        <v>1894</v>
      </c>
      <c r="Y1710" t="e">
        <f>VLOOKUP(W1710,Sheet2!A:D,3,0)</f>
        <v>#N/A</v>
      </c>
      <c r="Z1710" t="e">
        <f>VLOOKUP(W1710,Sheet2!A:D,4,0)</f>
        <v>#N/A</v>
      </c>
    </row>
    <row r="1711" spans="21:26" ht="15">
      <c r="U1711" s="63">
        <v>50114510</v>
      </c>
      <c r="V1711" s="64" t="s">
        <v>2630</v>
      </c>
      <c r="W1711">
        <v>50114509</v>
      </c>
      <c r="X1711" t="s">
        <v>1221</v>
      </c>
      <c r="Y1711">
        <f>VLOOKUP(W1711,Sheet2!A:D,3,0)</f>
        <v>50082201</v>
      </c>
      <c r="Z1711" t="str">
        <f>VLOOKUP(W1711,Sheet2!A:D,4,0)</f>
        <v>HDPE: PURELL GF4750</v>
      </c>
    </row>
    <row r="1712" spans="21:26" ht="15">
      <c r="U1712" s="63">
        <v>50114511</v>
      </c>
      <c r="V1712" s="64" t="s">
        <v>2631</v>
      </c>
      <c r="W1712">
        <v>50114509</v>
      </c>
      <c r="X1712" t="s">
        <v>1221</v>
      </c>
      <c r="Y1712">
        <f>VLOOKUP(W1712,Sheet2!A:D,3,0)</f>
        <v>50082201</v>
      </c>
      <c r="Z1712" t="str">
        <f>VLOOKUP(W1712,Sheet2!A:D,4,0)</f>
        <v>HDPE: PURELL GF4750</v>
      </c>
    </row>
    <row r="1713" spans="21:26" ht="15">
      <c r="U1713" s="63">
        <v>50114592</v>
      </c>
      <c r="V1713" s="64" t="s">
        <v>147</v>
      </c>
      <c r="W1713">
        <v>50114591</v>
      </c>
      <c r="X1713" t="s">
        <v>1223</v>
      </c>
      <c r="Y1713">
        <f>VLOOKUP(W1713,Sheet2!A:D,3,0)</f>
        <v>50082199</v>
      </c>
      <c r="Z1713" t="str">
        <f>VLOOKUP(W1713,Sheet2!A:D,4,0)</f>
        <v>HDPE: RELENE M60075</v>
      </c>
    </row>
    <row r="1714" spans="21:26" ht="15">
      <c r="U1714" s="63">
        <v>50114593</v>
      </c>
      <c r="V1714" s="64" t="s">
        <v>2632</v>
      </c>
      <c r="W1714">
        <v>50114591</v>
      </c>
      <c r="X1714" t="s">
        <v>1223</v>
      </c>
      <c r="Y1714">
        <f>VLOOKUP(W1714,Sheet2!A:D,3,0)</f>
        <v>50082199</v>
      </c>
      <c r="Z1714" t="str">
        <f>VLOOKUP(W1714,Sheet2!A:D,4,0)</f>
        <v>HDPE: RELENE M60075</v>
      </c>
    </row>
    <row r="1715" spans="21:26" ht="15">
      <c r="U1715" s="63">
        <v>50114602</v>
      </c>
      <c r="V1715" s="64" t="s">
        <v>2633</v>
      </c>
      <c r="W1715">
        <v>50114601</v>
      </c>
      <c r="X1715" t="s">
        <v>1226</v>
      </c>
      <c r="Y1715">
        <f>VLOOKUP(W1715,Sheet2!A:D,3,0)</f>
        <v>50082183</v>
      </c>
      <c r="Z1715" t="str">
        <f>VLOOKUP(W1715,Sheet2!A:D,4,0)</f>
        <v>LDPE: PURELL PE 1840 H</v>
      </c>
    </row>
    <row r="1716" spans="21:26" ht="15">
      <c r="U1716" s="63">
        <v>50114603</v>
      </c>
      <c r="V1716" s="64" t="s">
        <v>2634</v>
      </c>
      <c r="W1716">
        <v>50114601</v>
      </c>
      <c r="X1716" t="s">
        <v>1226</v>
      </c>
      <c r="Y1716">
        <f>VLOOKUP(W1716,Sheet2!A:D,3,0)</f>
        <v>50082183</v>
      </c>
      <c r="Z1716" t="str">
        <f>VLOOKUP(W1716,Sheet2!A:D,4,0)</f>
        <v>LDPE: PURELL PE 1840 H</v>
      </c>
    </row>
    <row r="1717" spans="21:26" ht="15">
      <c r="U1717" s="63">
        <v>50114671</v>
      </c>
      <c r="V1717" s="64" t="s">
        <v>29</v>
      </c>
      <c r="W1717">
        <v>50114512</v>
      </c>
      <c r="X1717" t="s">
        <v>1222</v>
      </c>
      <c r="Y1717">
        <f>VLOOKUP(W1717,Sheet2!A:D,3,0)</f>
        <v>50082183</v>
      </c>
      <c r="Z1717" t="str">
        <f>VLOOKUP(W1717,Sheet2!A:D,4,0)</f>
        <v>LDPE: PURELL PE 1840 H</v>
      </c>
    </row>
    <row r="1718" spans="21:26" ht="15">
      <c r="U1718" s="63">
        <v>50114672</v>
      </c>
      <c r="V1718" s="64" t="s">
        <v>2635</v>
      </c>
      <c r="W1718">
        <v>50114512</v>
      </c>
      <c r="X1718" t="s">
        <v>1222</v>
      </c>
      <c r="Y1718">
        <f>VLOOKUP(W1718,Sheet2!A:D,3,0)</f>
        <v>50082183</v>
      </c>
      <c r="Z1718" t="str">
        <f>VLOOKUP(W1718,Sheet2!A:D,4,0)</f>
        <v>LDPE: PURELL PE 1840 H</v>
      </c>
    </row>
    <row r="1719" spans="21:26" ht="15">
      <c r="U1719" s="63">
        <v>50114680</v>
      </c>
      <c r="V1719" s="64" t="s">
        <v>385</v>
      </c>
      <c r="W1719">
        <v>50114679</v>
      </c>
      <c r="X1719" t="s">
        <v>1229</v>
      </c>
      <c r="Y1719">
        <f>VLOOKUP(W1719,Sheet2!A:D,3,0)</f>
        <v>50082184</v>
      </c>
      <c r="Z1719" t="str">
        <f>VLOOKUP(W1719,Sheet2!A:D,4,0)</f>
        <v>LDPE: PURELL PE 1810 E</v>
      </c>
    </row>
    <row r="1720" spans="21:26" ht="15">
      <c r="U1720" s="63">
        <v>50114681</v>
      </c>
      <c r="V1720" s="64" t="s">
        <v>1629</v>
      </c>
      <c r="W1720">
        <v>50114679</v>
      </c>
      <c r="X1720" t="s">
        <v>1229</v>
      </c>
      <c r="Y1720">
        <f>VLOOKUP(W1720,Sheet2!A:D,3,0)</f>
        <v>50082184</v>
      </c>
      <c r="Z1720" t="str">
        <f>VLOOKUP(W1720,Sheet2!A:D,4,0)</f>
        <v>LDPE: PURELL PE 1810 E</v>
      </c>
    </row>
    <row r="1721" spans="21:26" ht="15">
      <c r="U1721" s="63">
        <v>50114715</v>
      </c>
      <c r="V1721" s="64" t="s">
        <v>2636</v>
      </c>
      <c r="W1721">
        <v>50114714</v>
      </c>
      <c r="X1721" t="s">
        <v>1242</v>
      </c>
      <c r="Y1721">
        <f>VLOOKUP(W1721,Sheet2!A:D,3,0)</f>
        <v>50082183</v>
      </c>
      <c r="Z1721" t="str">
        <f>VLOOKUP(W1721,Sheet2!A:D,4,0)</f>
        <v>LDPE: PURELL PE 1840 H</v>
      </c>
    </row>
    <row r="1722" spans="21:26" ht="15">
      <c r="U1722" s="63">
        <v>50114716</v>
      </c>
      <c r="V1722" s="64" t="s">
        <v>2637</v>
      </c>
      <c r="W1722">
        <v>50114714</v>
      </c>
      <c r="X1722" t="s">
        <v>1242</v>
      </c>
      <c r="Y1722">
        <f>VLOOKUP(W1722,Sheet2!A:D,3,0)</f>
        <v>50082183</v>
      </c>
      <c r="Z1722" t="str">
        <f>VLOOKUP(W1722,Sheet2!A:D,4,0)</f>
        <v>LDPE: PURELL PE 1840 H</v>
      </c>
    </row>
    <row r="1723" spans="21:26" ht="15">
      <c r="U1723" s="63">
        <v>50114718</v>
      </c>
      <c r="V1723" s="64" t="s">
        <v>2638</v>
      </c>
      <c r="W1723">
        <v>50114717</v>
      </c>
      <c r="X1723" t="s">
        <v>1243</v>
      </c>
      <c r="Y1723">
        <f>VLOOKUP(W1723,Sheet2!A:D,3,0)</f>
        <v>50082183</v>
      </c>
      <c r="Z1723" t="str">
        <f>VLOOKUP(W1723,Sheet2!A:D,4,0)</f>
        <v>LDPE: PURELL PE 1840 H</v>
      </c>
    </row>
    <row r="1724" spans="21:26" ht="15">
      <c r="U1724" s="63">
        <v>50114719</v>
      </c>
      <c r="V1724" s="64" t="s">
        <v>2639</v>
      </c>
      <c r="W1724">
        <v>50114717</v>
      </c>
      <c r="X1724" t="s">
        <v>1243</v>
      </c>
      <c r="Y1724">
        <f>VLOOKUP(W1724,Sheet2!A:D,3,0)</f>
        <v>50082183</v>
      </c>
      <c r="Z1724" t="str">
        <f>VLOOKUP(W1724,Sheet2!A:D,4,0)</f>
        <v>LDPE: PURELL PE 1840 H</v>
      </c>
    </row>
    <row r="1725" spans="21:26" ht="15">
      <c r="U1725" s="63">
        <v>50114748</v>
      </c>
      <c r="V1725" s="64" t="s">
        <v>2640</v>
      </c>
      <c r="W1725">
        <v>50114747</v>
      </c>
      <c r="X1725" t="s">
        <v>1244</v>
      </c>
      <c r="Y1725">
        <f>VLOOKUP(W1725,Sheet2!A:D,3,0)</f>
        <v>50082200</v>
      </c>
      <c r="Z1725" t="str">
        <f>VLOOKUP(W1725,Sheet2!A:D,4,0)</f>
        <v>HDPE: RELENE E52009</v>
      </c>
    </row>
    <row r="1726" spans="21:26" ht="15">
      <c r="U1726" s="63">
        <v>50114749</v>
      </c>
      <c r="V1726" s="64" t="s">
        <v>2641</v>
      </c>
      <c r="W1726">
        <v>50114747</v>
      </c>
      <c r="X1726" t="s">
        <v>1244</v>
      </c>
      <c r="Y1726">
        <f>VLOOKUP(W1726,Sheet2!A:D,3,0)</f>
        <v>50082200</v>
      </c>
      <c r="Z1726" t="str">
        <f>VLOOKUP(W1726,Sheet2!A:D,4,0)</f>
        <v>HDPE: RELENE E52009</v>
      </c>
    </row>
    <row r="1727" spans="21:26" ht="15">
      <c r="U1727" s="63">
        <v>50114905</v>
      </c>
      <c r="V1727" s="64" t="s">
        <v>2642</v>
      </c>
      <c r="W1727">
        <v>50114904</v>
      </c>
      <c r="X1727" t="s">
        <v>1246</v>
      </c>
      <c r="Y1727">
        <f>VLOOKUP(W1727,Sheet2!A:D,3,0)</f>
        <v>50082200</v>
      </c>
      <c r="Z1727" t="str">
        <f>VLOOKUP(W1727,Sheet2!A:D,4,0)</f>
        <v>HDPE: RELENE E52009</v>
      </c>
    </row>
    <row r="1728" spans="21:26" ht="15">
      <c r="U1728" s="63">
        <v>50114906</v>
      </c>
      <c r="V1728" s="64" t="s">
        <v>2643</v>
      </c>
      <c r="W1728">
        <v>50114904</v>
      </c>
      <c r="X1728" t="s">
        <v>1246</v>
      </c>
      <c r="Y1728">
        <f>VLOOKUP(W1728,Sheet2!A:D,3,0)</f>
        <v>50082200</v>
      </c>
      <c r="Z1728" t="str">
        <f>VLOOKUP(W1728,Sheet2!A:D,4,0)</f>
        <v>HDPE: RELENE E52009</v>
      </c>
    </row>
    <row r="1729" spans="21:26" ht="15">
      <c r="U1729" s="63">
        <v>50114924</v>
      </c>
      <c r="V1729" s="64" t="s">
        <v>2644</v>
      </c>
      <c r="W1729">
        <v>50114923</v>
      </c>
      <c r="X1729" t="s">
        <v>1247</v>
      </c>
      <c r="Y1729">
        <f>VLOOKUP(W1729,Sheet2!A:D,3,0)</f>
        <v>50082200</v>
      </c>
      <c r="Z1729" t="str">
        <f>VLOOKUP(W1729,Sheet2!A:D,4,0)</f>
        <v>HDPE: RELENE E52009</v>
      </c>
    </row>
    <row r="1730" spans="21:26" ht="15">
      <c r="U1730" s="63">
        <v>50114925</v>
      </c>
      <c r="V1730" s="64" t="s">
        <v>2645</v>
      </c>
      <c r="W1730">
        <v>50114923</v>
      </c>
      <c r="X1730" t="s">
        <v>1247</v>
      </c>
      <c r="Y1730">
        <f>VLOOKUP(W1730,Sheet2!A:D,3,0)</f>
        <v>50082200</v>
      </c>
      <c r="Z1730" t="str">
        <f>VLOOKUP(W1730,Sheet2!A:D,4,0)</f>
        <v>HDPE: RELENE E52009</v>
      </c>
    </row>
    <row r="1731" spans="21:26" ht="15">
      <c r="U1731" s="63">
        <v>50115047</v>
      </c>
      <c r="V1731" s="64" t="s">
        <v>2646</v>
      </c>
      <c r="W1731">
        <v>50115046</v>
      </c>
      <c r="X1731" t="s">
        <v>1249</v>
      </c>
      <c r="Y1731">
        <f>VLOOKUP(W1731,Sheet2!A:D,3,0)</f>
        <v>50082200</v>
      </c>
      <c r="Z1731" t="str">
        <f>VLOOKUP(W1731,Sheet2!A:D,4,0)</f>
        <v>HDPE: RELENE E52009</v>
      </c>
    </row>
    <row r="1732" spans="21:26" ht="15">
      <c r="U1732" s="63">
        <v>50115048</v>
      </c>
      <c r="V1732" s="64" t="s">
        <v>2647</v>
      </c>
      <c r="W1732">
        <v>50115046</v>
      </c>
      <c r="X1732" t="s">
        <v>1249</v>
      </c>
      <c r="Y1732">
        <f>VLOOKUP(W1732,Sheet2!A:D,3,0)</f>
        <v>50082200</v>
      </c>
      <c r="Z1732" t="str">
        <f>VLOOKUP(W1732,Sheet2!A:D,4,0)</f>
        <v>HDPE: RELENE E52009</v>
      </c>
    </row>
    <row r="1733" spans="21:26" ht="15">
      <c r="U1733" s="63">
        <v>50115090</v>
      </c>
      <c r="V1733" s="64" t="s">
        <v>263</v>
      </c>
      <c r="W1733">
        <v>50115089</v>
      </c>
      <c r="X1733" t="s">
        <v>1251</v>
      </c>
      <c r="Y1733">
        <f>VLOOKUP(W1733,Sheet2!A:D,3,0)</f>
        <v>50082199</v>
      </c>
      <c r="Z1733" t="str">
        <f>VLOOKUP(W1733,Sheet2!A:D,4,0)</f>
        <v>HDPE: RELENE M60075</v>
      </c>
    </row>
    <row r="1734" spans="21:26" ht="15">
      <c r="U1734" s="63">
        <v>50115091</v>
      </c>
      <c r="V1734" s="64" t="s">
        <v>2648</v>
      </c>
      <c r="W1734">
        <v>50115089</v>
      </c>
      <c r="X1734" t="s">
        <v>1251</v>
      </c>
      <c r="Y1734">
        <f>VLOOKUP(W1734,Sheet2!A:D,3,0)</f>
        <v>50082199</v>
      </c>
      <c r="Z1734" t="str">
        <f>VLOOKUP(W1734,Sheet2!A:D,4,0)</f>
        <v>HDPE: RELENE M60075</v>
      </c>
    </row>
    <row r="1735" spans="21:26" ht="15">
      <c r="U1735" s="63">
        <v>50115093</v>
      </c>
      <c r="V1735" s="64" t="s">
        <v>2649</v>
      </c>
      <c r="W1735">
        <v>50115092</v>
      </c>
      <c r="X1735" t="s">
        <v>1252</v>
      </c>
      <c r="Y1735">
        <f>VLOOKUP(W1735,Sheet2!A:D,3,0)</f>
        <v>50082200</v>
      </c>
      <c r="Z1735" t="str">
        <f>VLOOKUP(W1735,Sheet2!A:D,4,0)</f>
        <v>HDPE: RELENE E52009</v>
      </c>
    </row>
    <row r="1736" spans="21:26" ht="15">
      <c r="U1736" s="63">
        <v>50115094</v>
      </c>
      <c r="V1736" s="64" t="s">
        <v>2650</v>
      </c>
      <c r="W1736">
        <v>50115092</v>
      </c>
      <c r="X1736" t="s">
        <v>1252</v>
      </c>
      <c r="Y1736">
        <f>VLOOKUP(W1736,Sheet2!A:D,3,0)</f>
        <v>50082200</v>
      </c>
      <c r="Z1736" t="str">
        <f>VLOOKUP(W1736,Sheet2!A:D,4,0)</f>
        <v>HDPE: RELENE E52009</v>
      </c>
    </row>
    <row r="1737" spans="21:26" ht="15">
      <c r="U1737" s="63">
        <v>50115212</v>
      </c>
      <c r="V1737" s="64" t="s">
        <v>2651</v>
      </c>
      <c r="W1737">
        <v>50115211</v>
      </c>
      <c r="X1737" t="s">
        <v>1253</v>
      </c>
      <c r="Y1737">
        <f>VLOOKUP(W1737,Sheet2!A:D,3,0)</f>
        <v>50082200</v>
      </c>
      <c r="Z1737" t="str">
        <f>VLOOKUP(W1737,Sheet2!A:D,4,0)</f>
        <v>HDPE: RELENE E52009</v>
      </c>
    </row>
    <row r="1738" spans="21:26" ht="15">
      <c r="U1738" s="63">
        <v>50115213</v>
      </c>
      <c r="V1738" s="64" t="s">
        <v>2652</v>
      </c>
      <c r="W1738">
        <v>50115211</v>
      </c>
      <c r="X1738" t="s">
        <v>1253</v>
      </c>
      <c r="Y1738">
        <f>VLOOKUP(W1738,Sheet2!A:D,3,0)</f>
        <v>50082200</v>
      </c>
      <c r="Z1738" t="str">
        <f>VLOOKUP(W1738,Sheet2!A:D,4,0)</f>
        <v>HDPE: RELENE E52009</v>
      </c>
    </row>
    <row r="1739" spans="21:26" ht="15">
      <c r="U1739" s="63">
        <v>50115234</v>
      </c>
      <c r="V1739" s="64" t="s">
        <v>2653</v>
      </c>
      <c r="W1739">
        <v>50114594</v>
      </c>
      <c r="X1739" t="s">
        <v>1224</v>
      </c>
      <c r="Y1739">
        <f>VLOOKUP(W1739,Sheet2!A:D,3,0)</f>
        <v>50082183</v>
      </c>
      <c r="Z1739" t="str">
        <f>VLOOKUP(W1739,Sheet2!A:D,4,0)</f>
        <v>LDPE: PURELL PE 1840 H</v>
      </c>
    </row>
    <row r="1740" spans="21:26" ht="15">
      <c r="U1740" s="63">
        <v>50115235</v>
      </c>
      <c r="V1740" s="64" t="s">
        <v>2654</v>
      </c>
      <c r="W1740">
        <v>50114594</v>
      </c>
      <c r="X1740" t="s">
        <v>1224</v>
      </c>
      <c r="Y1740">
        <f>VLOOKUP(W1740,Sheet2!A:D,3,0)</f>
        <v>50082183</v>
      </c>
      <c r="Z1740" t="str">
        <f>VLOOKUP(W1740,Sheet2!A:D,4,0)</f>
        <v>LDPE: PURELL PE 1840 H</v>
      </c>
    </row>
    <row r="1741" spans="21:26" ht="15">
      <c r="U1741" s="63">
        <v>50115432</v>
      </c>
      <c r="V1741" s="64" t="s">
        <v>166</v>
      </c>
      <c r="W1741">
        <v>50115431</v>
      </c>
      <c r="X1741" t="s">
        <v>1255</v>
      </c>
      <c r="Y1741">
        <f>VLOOKUP(W1741,Sheet2!A:D,3,0)</f>
        <v>50082183</v>
      </c>
      <c r="Z1741" t="str">
        <f>VLOOKUP(W1741,Sheet2!A:D,4,0)</f>
        <v>LDPE: PURELL PE 1840 H</v>
      </c>
    </row>
    <row r="1742" spans="21:26" ht="15">
      <c r="U1742" s="63">
        <v>50115433</v>
      </c>
      <c r="V1742" s="64" t="s">
        <v>2655</v>
      </c>
      <c r="W1742">
        <v>50115431</v>
      </c>
      <c r="X1742" t="s">
        <v>1255</v>
      </c>
      <c r="Y1742">
        <f>VLOOKUP(W1742,Sheet2!A:D,3,0)</f>
        <v>50082183</v>
      </c>
      <c r="Z1742" t="str">
        <f>VLOOKUP(W1742,Sheet2!A:D,4,0)</f>
        <v>LDPE: PURELL PE 1840 H</v>
      </c>
    </row>
    <row r="1743" spans="21:26" ht="15">
      <c r="U1743" s="63">
        <v>50115444</v>
      </c>
      <c r="V1743" s="64" t="s">
        <v>2656</v>
      </c>
      <c r="W1743">
        <v>50115443</v>
      </c>
      <c r="X1743" t="s">
        <v>1256</v>
      </c>
      <c r="Y1743">
        <f>VLOOKUP(W1743,Sheet2!A:D,3,0)</f>
        <v>50082183</v>
      </c>
      <c r="Z1743" t="str">
        <f>VLOOKUP(W1743,Sheet2!A:D,4,0)</f>
        <v>LDPE: PURELL PE 1840 H</v>
      </c>
    </row>
    <row r="1744" spans="21:26" ht="15">
      <c r="U1744" s="63">
        <v>50115445</v>
      </c>
      <c r="V1744" s="64" t="s">
        <v>2657</v>
      </c>
      <c r="W1744">
        <v>50115443</v>
      </c>
      <c r="X1744" t="s">
        <v>1256</v>
      </c>
      <c r="Y1744">
        <f>VLOOKUP(W1744,Sheet2!A:D,3,0)</f>
        <v>50082183</v>
      </c>
      <c r="Z1744" t="str">
        <f>VLOOKUP(W1744,Sheet2!A:D,4,0)</f>
        <v>LDPE: PURELL PE 1840 H</v>
      </c>
    </row>
    <row r="1745" spans="21:26" ht="15">
      <c r="U1745" s="63">
        <v>50115451</v>
      </c>
      <c r="V1745" s="64" t="s">
        <v>2658</v>
      </c>
      <c r="W1745">
        <v>50115450</v>
      </c>
      <c r="X1745" t="s">
        <v>1257</v>
      </c>
      <c r="Y1745">
        <f>VLOOKUP(W1745,Sheet2!A:D,3,0)</f>
        <v>50082202</v>
      </c>
      <c r="Z1745" t="str">
        <f>VLOOKUP(W1745,Sheet2!A:D,4,0)</f>
        <v>HDPE: PURELL GC7260</v>
      </c>
    </row>
    <row r="1746" spans="21:26" ht="15">
      <c r="U1746" s="63">
        <v>50115452</v>
      </c>
      <c r="V1746" s="64" t="s">
        <v>2659</v>
      </c>
      <c r="W1746">
        <v>50115450</v>
      </c>
      <c r="X1746" t="s">
        <v>1257</v>
      </c>
      <c r="Y1746">
        <f>VLOOKUP(W1746,Sheet2!A:D,3,0)</f>
        <v>50082202</v>
      </c>
      <c r="Z1746" t="str">
        <f>VLOOKUP(W1746,Sheet2!A:D,4,0)</f>
        <v>HDPE: PURELL GC7260</v>
      </c>
    </row>
    <row r="1747" spans="21:26" ht="15">
      <c r="U1747" s="63">
        <v>50115457</v>
      </c>
      <c r="V1747" s="64" t="s">
        <v>2660</v>
      </c>
      <c r="W1747">
        <v>50115456</v>
      </c>
      <c r="X1747" t="s">
        <v>1258</v>
      </c>
      <c r="Y1747">
        <f>VLOOKUP(W1747,Sheet2!A:D,3,0)</f>
        <v>50082201</v>
      </c>
      <c r="Z1747" t="str">
        <f>VLOOKUP(W1747,Sheet2!A:D,4,0)</f>
        <v>HDPE: PURELL GF4750</v>
      </c>
    </row>
    <row r="1748" spans="21:26" ht="15">
      <c r="U1748" s="63">
        <v>50115458</v>
      </c>
      <c r="V1748" s="64" t="s">
        <v>2661</v>
      </c>
      <c r="W1748">
        <v>50115456</v>
      </c>
      <c r="X1748" t="s">
        <v>1258</v>
      </c>
      <c r="Y1748">
        <f>VLOOKUP(W1748,Sheet2!A:D,3,0)</f>
        <v>50082201</v>
      </c>
      <c r="Z1748" t="str">
        <f>VLOOKUP(W1748,Sheet2!A:D,4,0)</f>
        <v>HDPE: PURELL GF4750</v>
      </c>
    </row>
    <row r="1749" spans="21:26" ht="15">
      <c r="U1749" s="63">
        <v>50115465</v>
      </c>
      <c r="V1749" s="64" t="s">
        <v>2662</v>
      </c>
      <c r="W1749">
        <v>50115464</v>
      </c>
      <c r="X1749" t="s">
        <v>1260</v>
      </c>
      <c r="Y1749">
        <f>VLOOKUP(W1749,Sheet2!A:D,3,0)</f>
        <v>50082202</v>
      </c>
      <c r="Z1749" t="str">
        <f>VLOOKUP(W1749,Sheet2!A:D,4,0)</f>
        <v>HDPE: PURELL GC7260</v>
      </c>
    </row>
    <row r="1750" spans="21:26" ht="15">
      <c r="U1750" s="63">
        <v>50115466</v>
      </c>
      <c r="V1750" s="64" t="s">
        <v>2663</v>
      </c>
      <c r="W1750">
        <v>50115464</v>
      </c>
      <c r="X1750" t="s">
        <v>1260</v>
      </c>
      <c r="Y1750">
        <f>VLOOKUP(W1750,Sheet2!A:D,3,0)</f>
        <v>50082202</v>
      </c>
      <c r="Z1750" t="str">
        <f>VLOOKUP(W1750,Sheet2!A:D,4,0)</f>
        <v>HDPE: PURELL GC7260</v>
      </c>
    </row>
    <row r="1751" spans="21:26" ht="15">
      <c r="U1751" s="63">
        <v>50115473</v>
      </c>
      <c r="V1751" s="64" t="s">
        <v>2664</v>
      </c>
      <c r="W1751">
        <v>50115472</v>
      </c>
      <c r="X1751" t="s">
        <v>1264</v>
      </c>
      <c r="Y1751">
        <f>VLOOKUP(W1751,Sheet2!A:D,3,0)</f>
        <v>50082183</v>
      </c>
      <c r="Z1751" t="str">
        <f>VLOOKUP(W1751,Sheet2!A:D,4,0)</f>
        <v>LDPE: PURELL PE 1840 H</v>
      </c>
    </row>
    <row r="1752" spans="21:26" ht="15">
      <c r="U1752" s="63">
        <v>50115474</v>
      </c>
      <c r="V1752" s="64" t="s">
        <v>2665</v>
      </c>
      <c r="W1752">
        <v>50115472</v>
      </c>
      <c r="X1752" t="s">
        <v>1264</v>
      </c>
      <c r="Y1752">
        <f>VLOOKUP(W1752,Sheet2!A:D,3,0)</f>
        <v>50082183</v>
      </c>
      <c r="Z1752" t="str">
        <f>VLOOKUP(W1752,Sheet2!A:D,4,0)</f>
        <v>LDPE: PURELL PE 1840 H</v>
      </c>
    </row>
    <row r="1753" spans="21:26" ht="15">
      <c r="U1753" s="63">
        <v>50115491</v>
      </c>
      <c r="V1753" s="64" t="s">
        <v>175</v>
      </c>
      <c r="W1753">
        <v>50115490</v>
      </c>
      <c r="X1753" t="s">
        <v>1266</v>
      </c>
      <c r="Y1753">
        <f>VLOOKUP(W1753,Sheet2!A:D,3,0)</f>
        <v>50082183</v>
      </c>
      <c r="Z1753" t="str">
        <f>VLOOKUP(W1753,Sheet2!A:D,4,0)</f>
        <v>LDPE: PURELL PE 1840 H</v>
      </c>
    </row>
    <row r="1754" spans="21:26" ht="15">
      <c r="U1754" s="63">
        <v>50115492</v>
      </c>
      <c r="V1754" s="64" t="s">
        <v>2666</v>
      </c>
      <c r="W1754">
        <v>50115490</v>
      </c>
      <c r="X1754" t="s">
        <v>1266</v>
      </c>
      <c r="Y1754">
        <f>VLOOKUP(W1754,Sheet2!A:D,3,0)</f>
        <v>50082183</v>
      </c>
      <c r="Z1754" t="str">
        <f>VLOOKUP(W1754,Sheet2!A:D,4,0)</f>
        <v>LDPE: PURELL PE 1840 H</v>
      </c>
    </row>
    <row r="1755" spans="21:26" ht="15">
      <c r="U1755" s="63">
        <v>50115506</v>
      </c>
      <c r="V1755" s="64" t="s">
        <v>2667</v>
      </c>
      <c r="W1755">
        <v>50115505</v>
      </c>
      <c r="X1755" t="s">
        <v>1267</v>
      </c>
      <c r="Y1755">
        <f>VLOOKUP(W1755,Sheet2!A:D,3,0)</f>
        <v>50082202</v>
      </c>
      <c r="Z1755" t="str">
        <f>VLOOKUP(W1755,Sheet2!A:D,4,0)</f>
        <v>HDPE: PURELL GC7260</v>
      </c>
    </row>
    <row r="1756" spans="21:26" ht="15">
      <c r="U1756" s="63">
        <v>50115507</v>
      </c>
      <c r="V1756" s="64" t="s">
        <v>2668</v>
      </c>
      <c r="W1756">
        <v>50115505</v>
      </c>
      <c r="X1756" t="s">
        <v>1267</v>
      </c>
      <c r="Y1756">
        <f>VLOOKUP(W1756,Sheet2!A:D,3,0)</f>
        <v>50082202</v>
      </c>
      <c r="Z1756" t="str">
        <f>VLOOKUP(W1756,Sheet2!A:D,4,0)</f>
        <v>HDPE: PURELL GC7260</v>
      </c>
    </row>
    <row r="1757" spans="21:26" ht="15">
      <c r="U1757" s="63">
        <v>50115609</v>
      </c>
      <c r="V1757" s="64" t="s">
        <v>2669</v>
      </c>
      <c r="W1757">
        <v>50115608</v>
      </c>
      <c r="X1757" t="s">
        <v>1274</v>
      </c>
      <c r="Y1757">
        <f>VLOOKUP(W1757,Sheet2!A:D,3,0)</f>
        <v>50082200</v>
      </c>
      <c r="Z1757" t="str">
        <f>VLOOKUP(W1757,Sheet2!A:D,4,0)</f>
        <v>HDPE: RELENE E52009</v>
      </c>
    </row>
    <row r="1758" spans="21:26" ht="15">
      <c r="U1758" s="63">
        <v>50115610</v>
      </c>
      <c r="V1758" s="64" t="s">
        <v>2670</v>
      </c>
      <c r="W1758">
        <v>50115608</v>
      </c>
      <c r="X1758" t="s">
        <v>1274</v>
      </c>
      <c r="Y1758">
        <f>VLOOKUP(W1758,Sheet2!A:D,3,0)</f>
        <v>50082200</v>
      </c>
      <c r="Z1758" t="str">
        <f>VLOOKUP(W1758,Sheet2!A:D,4,0)</f>
        <v>HDPE: RELENE E52009</v>
      </c>
    </row>
    <row r="1759" spans="21:26" ht="15">
      <c r="U1759" s="63">
        <v>50115615</v>
      </c>
      <c r="V1759" s="64" t="s">
        <v>2671</v>
      </c>
      <c r="W1759">
        <v>50115614</v>
      </c>
      <c r="X1759" t="s">
        <v>1275</v>
      </c>
      <c r="Y1759">
        <f>VLOOKUP(W1759,Sheet2!A:D,3,0)</f>
        <v>50082200</v>
      </c>
      <c r="Z1759" t="str">
        <f>VLOOKUP(W1759,Sheet2!A:D,4,0)</f>
        <v>HDPE: RELENE E52009</v>
      </c>
    </row>
    <row r="1760" spans="21:26" ht="15">
      <c r="U1760" s="63">
        <v>50115616</v>
      </c>
      <c r="V1760" s="64" t="s">
        <v>2672</v>
      </c>
      <c r="W1760">
        <v>50115614</v>
      </c>
      <c r="X1760" t="s">
        <v>1275</v>
      </c>
      <c r="Y1760">
        <f>VLOOKUP(W1760,Sheet2!A:D,3,0)</f>
        <v>50082200</v>
      </c>
      <c r="Z1760" t="str">
        <f>VLOOKUP(W1760,Sheet2!A:D,4,0)</f>
        <v>HDPE: RELENE E52009</v>
      </c>
    </row>
    <row r="1761" spans="21:26" ht="15">
      <c r="U1761" s="63">
        <v>50115621</v>
      </c>
      <c r="V1761" s="64" t="s">
        <v>2673</v>
      </c>
      <c r="W1761">
        <v>50115622</v>
      </c>
      <c r="X1761" t="s">
        <v>1277</v>
      </c>
      <c r="Y1761">
        <f>VLOOKUP(W1761,Sheet2!A:D,3,0)</f>
        <v>50082202</v>
      </c>
      <c r="Z1761" t="str">
        <f>VLOOKUP(W1761,Sheet2!A:D,4,0)</f>
        <v>HDPE: PURELL GC7260</v>
      </c>
    </row>
    <row r="1762" spans="21:26" ht="15">
      <c r="U1762" s="63">
        <v>50115623</v>
      </c>
      <c r="V1762" s="64" t="s">
        <v>2674</v>
      </c>
      <c r="W1762">
        <v>50115622</v>
      </c>
      <c r="X1762" t="s">
        <v>1277</v>
      </c>
      <c r="Y1762">
        <f>VLOOKUP(W1762,Sheet2!A:D,3,0)</f>
        <v>50082202</v>
      </c>
      <c r="Z1762" t="str">
        <f>VLOOKUP(W1762,Sheet2!A:D,4,0)</f>
        <v>HDPE: PURELL GC7260</v>
      </c>
    </row>
    <row r="1763" spans="21:26" ht="15">
      <c r="U1763" s="63">
        <v>50115661</v>
      </c>
      <c r="V1763" s="64" t="s">
        <v>2675</v>
      </c>
      <c r="W1763">
        <v>50115660</v>
      </c>
      <c r="X1763" t="s">
        <v>1289</v>
      </c>
      <c r="Y1763">
        <f>VLOOKUP(W1763,Sheet2!A:D,3,0)</f>
        <v>50082183</v>
      </c>
      <c r="Z1763" t="str">
        <f>VLOOKUP(W1763,Sheet2!A:D,4,0)</f>
        <v>LDPE: PURELL PE 1840 H</v>
      </c>
    </row>
    <row r="1764" spans="21:26" ht="15">
      <c r="U1764" s="63">
        <v>50115662</v>
      </c>
      <c r="V1764" s="64" t="s">
        <v>2676</v>
      </c>
      <c r="W1764">
        <v>50115660</v>
      </c>
      <c r="X1764" t="s">
        <v>1289</v>
      </c>
      <c r="Y1764">
        <f>VLOOKUP(W1764,Sheet2!A:D,3,0)</f>
        <v>50082183</v>
      </c>
      <c r="Z1764" t="str">
        <f>VLOOKUP(W1764,Sheet2!A:D,4,0)</f>
        <v>LDPE: PURELL PE 1840 H</v>
      </c>
    </row>
    <row r="1765" spans="21:26" ht="15">
      <c r="U1765" s="63">
        <v>50115664</v>
      </c>
      <c r="V1765" s="64" t="s">
        <v>2677</v>
      </c>
      <c r="W1765">
        <v>50115663</v>
      </c>
      <c r="X1765" t="s">
        <v>1290</v>
      </c>
      <c r="Y1765">
        <f>VLOOKUP(W1765,Sheet2!A:D,3,0)</f>
        <v>50082202</v>
      </c>
      <c r="Z1765" t="str">
        <f>VLOOKUP(W1765,Sheet2!A:D,4,0)</f>
        <v>HDPE: PURELL GC7260</v>
      </c>
    </row>
    <row r="1766" spans="21:26" ht="15">
      <c r="U1766" s="63">
        <v>50115665</v>
      </c>
      <c r="V1766" s="64" t="s">
        <v>2678</v>
      </c>
      <c r="W1766">
        <v>50115663</v>
      </c>
      <c r="X1766" t="s">
        <v>1290</v>
      </c>
      <c r="Y1766">
        <f>VLOOKUP(W1766,Sheet2!A:D,3,0)</f>
        <v>50082202</v>
      </c>
      <c r="Z1766" t="str">
        <f>VLOOKUP(W1766,Sheet2!A:D,4,0)</f>
        <v>HDPE: PURELL GC7260</v>
      </c>
    </row>
    <row r="1767" spans="21:26" ht="15">
      <c r="U1767" s="63">
        <v>50115667</v>
      </c>
      <c r="V1767" s="64" t="s">
        <v>2679</v>
      </c>
      <c r="W1767">
        <v>50115666</v>
      </c>
      <c r="X1767" t="s">
        <v>1291</v>
      </c>
      <c r="Y1767">
        <f>VLOOKUP(W1767,Sheet2!A:D,3,0)</f>
        <v>50082183</v>
      </c>
      <c r="Z1767" t="str">
        <f>VLOOKUP(W1767,Sheet2!A:D,4,0)</f>
        <v>LDPE: PURELL PE 1840 H</v>
      </c>
    </row>
    <row r="1768" spans="21:26" ht="15">
      <c r="U1768" s="63">
        <v>50115668</v>
      </c>
      <c r="V1768" s="64" t="s">
        <v>2680</v>
      </c>
      <c r="W1768">
        <v>50115666</v>
      </c>
      <c r="X1768" t="s">
        <v>1291</v>
      </c>
      <c r="Y1768">
        <f>VLOOKUP(W1768,Sheet2!A:D,3,0)</f>
        <v>50082183</v>
      </c>
      <c r="Z1768" t="str">
        <f>VLOOKUP(W1768,Sheet2!A:D,4,0)</f>
        <v>LDPE: PURELL PE 1840 H</v>
      </c>
    </row>
    <row r="1769" spans="21:26" ht="15">
      <c r="U1769" s="63">
        <v>50115676</v>
      </c>
      <c r="V1769" s="64" t="s">
        <v>156</v>
      </c>
      <c r="W1769">
        <v>50115675</v>
      </c>
      <c r="X1769" t="s">
        <v>1292</v>
      </c>
      <c r="Y1769">
        <f>VLOOKUP(W1769,Sheet2!A:D,3,0)</f>
        <v>50082200</v>
      </c>
      <c r="Z1769" t="str">
        <f>VLOOKUP(W1769,Sheet2!A:D,4,0)</f>
        <v>HDPE: RELENE E52009</v>
      </c>
    </row>
    <row r="1770" spans="21:26" ht="15">
      <c r="U1770" s="63">
        <v>50115677</v>
      </c>
      <c r="V1770" s="64" t="s">
        <v>2681</v>
      </c>
      <c r="W1770">
        <v>50115675</v>
      </c>
      <c r="X1770" t="s">
        <v>1292</v>
      </c>
      <c r="Y1770">
        <f>VLOOKUP(W1770,Sheet2!A:D,3,0)</f>
        <v>50082200</v>
      </c>
      <c r="Z1770" t="str">
        <f>VLOOKUP(W1770,Sheet2!A:D,4,0)</f>
        <v>HDPE: RELENE E52009</v>
      </c>
    </row>
    <row r="1771" spans="21:26" ht="15">
      <c r="U1771" s="63">
        <v>50115680</v>
      </c>
      <c r="V1771" s="64" t="s">
        <v>2682</v>
      </c>
      <c r="W1771">
        <v>50115678</v>
      </c>
      <c r="X1771" t="s">
        <v>1293</v>
      </c>
      <c r="Y1771">
        <f>VLOOKUP(W1771,Sheet2!A:D,3,0)</f>
        <v>50082200</v>
      </c>
      <c r="Z1771" t="str">
        <f>VLOOKUP(W1771,Sheet2!A:D,4,0)</f>
        <v>HDPE: RELENE E52009</v>
      </c>
    </row>
    <row r="1772" spans="21:26" ht="15">
      <c r="U1772" s="63">
        <v>50115681</v>
      </c>
      <c r="V1772" s="64" t="s">
        <v>280</v>
      </c>
      <c r="W1772">
        <v>50115678</v>
      </c>
      <c r="X1772" t="s">
        <v>1293</v>
      </c>
      <c r="Y1772">
        <f>VLOOKUP(W1772,Sheet2!A:D,3,0)</f>
        <v>50082200</v>
      </c>
      <c r="Z1772" t="str">
        <f>VLOOKUP(W1772,Sheet2!A:D,4,0)</f>
        <v>HDPE: RELENE E52009</v>
      </c>
    </row>
    <row r="1773" spans="21:26" ht="15">
      <c r="U1773" s="63">
        <v>50115706</v>
      </c>
      <c r="V1773" s="64" t="s">
        <v>2683</v>
      </c>
      <c r="W1773">
        <v>50115705</v>
      </c>
      <c r="X1773" t="s">
        <v>1296</v>
      </c>
      <c r="Y1773">
        <f>VLOOKUP(W1773,Sheet2!A:D,3,0)</f>
        <v>50082183</v>
      </c>
      <c r="Z1773" t="str">
        <f>VLOOKUP(W1773,Sheet2!A:D,4,0)</f>
        <v>LDPE: PURELL PE 1840 H</v>
      </c>
    </row>
    <row r="1774" spans="21:26" ht="15">
      <c r="U1774" s="63">
        <v>50115708</v>
      </c>
      <c r="V1774" s="64" t="s">
        <v>2684</v>
      </c>
      <c r="W1774">
        <v>50115707</v>
      </c>
      <c r="X1774" t="s">
        <v>1297</v>
      </c>
      <c r="Y1774">
        <f>VLOOKUP(W1774,Sheet2!A:D,3,0)</f>
        <v>50082202</v>
      </c>
      <c r="Z1774" t="str">
        <f>VLOOKUP(W1774,Sheet2!A:D,4,0)</f>
        <v>HDPE: PURELL GC7260</v>
      </c>
    </row>
    <row r="1775" spans="21:26" ht="15">
      <c r="U1775" s="63">
        <v>50115710</v>
      </c>
      <c r="V1775" s="64" t="s">
        <v>2685</v>
      </c>
      <c r="W1775">
        <v>50115709</v>
      </c>
      <c r="X1775" t="s">
        <v>1298</v>
      </c>
      <c r="Y1775">
        <f>VLOOKUP(W1775,Sheet2!A:D,3,0)</f>
        <v>50082183</v>
      </c>
      <c r="Z1775" t="str">
        <f>VLOOKUP(W1775,Sheet2!A:D,4,0)</f>
        <v>LDPE: PURELL PE 1840 H</v>
      </c>
    </row>
    <row r="1776" spans="21:26" ht="15">
      <c r="U1776" s="63">
        <v>50115711</v>
      </c>
      <c r="V1776" s="64" t="s">
        <v>2686</v>
      </c>
      <c r="W1776">
        <v>50115709</v>
      </c>
      <c r="X1776" t="s">
        <v>1298</v>
      </c>
      <c r="Y1776">
        <f>VLOOKUP(W1776,Sheet2!A:D,3,0)</f>
        <v>50082183</v>
      </c>
      <c r="Z1776" t="str">
        <f>VLOOKUP(W1776,Sheet2!A:D,4,0)</f>
        <v>LDPE: PURELL PE 1840 H</v>
      </c>
    </row>
    <row r="1777" spans="21:26" ht="15">
      <c r="U1777" s="63">
        <v>50115713</v>
      </c>
      <c r="V1777" s="64" t="s">
        <v>1630</v>
      </c>
      <c r="W1777">
        <v>50115712</v>
      </c>
      <c r="X1777" t="s">
        <v>1299</v>
      </c>
      <c r="Y1777">
        <f>VLOOKUP(W1777,Sheet2!A:D,3,0)</f>
        <v>50107854</v>
      </c>
      <c r="Z1777" t="str">
        <f>VLOOKUP(W1777,Sheet2!A:D,4,0)</f>
        <v>LLDPE: RELENE JF19010</v>
      </c>
    </row>
    <row r="1778" spans="21:26" ht="15">
      <c r="U1778" s="63">
        <v>50115715</v>
      </c>
      <c r="V1778" s="64" t="s">
        <v>2687</v>
      </c>
      <c r="W1778">
        <v>50115714</v>
      </c>
      <c r="X1778" t="s">
        <v>1300</v>
      </c>
      <c r="Y1778">
        <f>VLOOKUP(W1778,Sheet2!A:D,3,0)</f>
        <v>50082202</v>
      </c>
      <c r="Z1778" t="str">
        <f>VLOOKUP(W1778,Sheet2!A:D,4,0)</f>
        <v>HDPE: PURELL GC7260</v>
      </c>
    </row>
    <row r="1779" spans="21:26" ht="15">
      <c r="U1779" s="63">
        <v>50115716</v>
      </c>
      <c r="V1779" s="64" t="s">
        <v>2688</v>
      </c>
      <c r="W1779">
        <v>50115714</v>
      </c>
      <c r="X1779" t="s">
        <v>1300</v>
      </c>
      <c r="Y1779">
        <f>VLOOKUP(W1779,Sheet2!A:D,3,0)</f>
        <v>50082202</v>
      </c>
      <c r="Z1779" t="str">
        <f>VLOOKUP(W1779,Sheet2!A:D,4,0)</f>
        <v>HDPE: PURELL GC7260</v>
      </c>
    </row>
    <row r="1780" spans="21:26" ht="15">
      <c r="U1780" s="63">
        <v>50115721</v>
      </c>
      <c r="V1780" s="64" t="s">
        <v>1631</v>
      </c>
      <c r="W1780">
        <v>50115720</v>
      </c>
      <c r="X1780" t="s">
        <v>1301</v>
      </c>
      <c r="Y1780">
        <f>VLOOKUP(W1780,Sheet2!A:D,3,0)</f>
        <v>50082184</v>
      </c>
      <c r="Z1780" t="str">
        <f>VLOOKUP(W1780,Sheet2!A:D,4,0)</f>
        <v>LDPE: PURELL PE 1810 E</v>
      </c>
    </row>
    <row r="1781" spans="21:26" ht="15">
      <c r="U1781" s="63">
        <v>50115722</v>
      </c>
      <c r="V1781" s="64" t="s">
        <v>1632</v>
      </c>
      <c r="W1781">
        <v>50115720</v>
      </c>
      <c r="X1781" t="s">
        <v>1301</v>
      </c>
      <c r="Y1781">
        <f>VLOOKUP(W1781,Sheet2!A:D,3,0)</f>
        <v>50082184</v>
      </c>
      <c r="Z1781" t="str">
        <f>VLOOKUP(W1781,Sheet2!A:D,4,0)</f>
        <v>LDPE: PURELL PE 1810 E</v>
      </c>
    </row>
    <row r="1782" spans="21:26" ht="15">
      <c r="U1782" s="63">
        <v>50115737</v>
      </c>
      <c r="V1782" s="64" t="s">
        <v>2689</v>
      </c>
      <c r="W1782">
        <v>50115736</v>
      </c>
      <c r="X1782" t="s">
        <v>1305</v>
      </c>
      <c r="Y1782">
        <f>VLOOKUP(W1782,Sheet2!A:D,3,0)</f>
        <v>50082183</v>
      </c>
      <c r="Z1782" t="str">
        <f>VLOOKUP(W1782,Sheet2!A:D,4,0)</f>
        <v>LDPE: PURELL PE 1840 H</v>
      </c>
    </row>
    <row r="1783" spans="21:26" ht="15">
      <c r="U1783" s="63">
        <v>50115738</v>
      </c>
      <c r="V1783" s="64" t="s">
        <v>2690</v>
      </c>
      <c r="W1783">
        <v>50115736</v>
      </c>
      <c r="X1783" t="s">
        <v>1305</v>
      </c>
      <c r="Y1783">
        <f>VLOOKUP(W1783,Sheet2!A:D,3,0)</f>
        <v>50082183</v>
      </c>
      <c r="Z1783" t="str">
        <f>VLOOKUP(W1783,Sheet2!A:D,4,0)</f>
        <v>LDPE: PURELL PE 1840 H</v>
      </c>
    </row>
    <row r="1784" spans="21:26" ht="15">
      <c r="U1784" s="63">
        <v>50115768</v>
      </c>
      <c r="V1784" s="64" t="s">
        <v>2691</v>
      </c>
      <c r="W1784">
        <v>50115758</v>
      </c>
      <c r="X1784" t="s">
        <v>1307</v>
      </c>
      <c r="Y1784">
        <f>VLOOKUP(W1784,Sheet2!A:D,3,0)</f>
        <v>50082183</v>
      </c>
      <c r="Z1784" t="str">
        <f>VLOOKUP(W1784,Sheet2!A:D,4,0)</f>
        <v>LDPE: PURELL PE 1840 H</v>
      </c>
    </row>
    <row r="1785" spans="21:26" ht="15">
      <c r="U1785" s="63">
        <v>50115769</v>
      </c>
      <c r="V1785" s="64" t="s">
        <v>2692</v>
      </c>
      <c r="W1785">
        <v>50115758</v>
      </c>
      <c r="X1785" t="s">
        <v>1307</v>
      </c>
      <c r="Y1785">
        <f>VLOOKUP(W1785,Sheet2!A:D,3,0)</f>
        <v>50082183</v>
      </c>
      <c r="Z1785" t="str">
        <f>VLOOKUP(W1785,Sheet2!A:D,4,0)</f>
        <v>LDPE: PURELL PE 1840 H</v>
      </c>
    </row>
    <row r="1786" spans="21:26" ht="15">
      <c r="U1786" s="63">
        <v>50115771</v>
      </c>
      <c r="V1786" s="64" t="s">
        <v>2693</v>
      </c>
      <c r="W1786">
        <v>50115770</v>
      </c>
      <c r="X1786" t="s">
        <v>1310</v>
      </c>
      <c r="Y1786">
        <f>VLOOKUP(W1786,Sheet2!A:D,3,0)</f>
        <v>50082183</v>
      </c>
      <c r="Z1786" t="str">
        <f>VLOOKUP(W1786,Sheet2!A:D,4,0)</f>
        <v>LDPE: PURELL PE 1840 H</v>
      </c>
    </row>
    <row r="1787" spans="21:26" ht="15">
      <c r="U1787" s="63">
        <v>50115797</v>
      </c>
      <c r="V1787" s="64" t="s">
        <v>2694</v>
      </c>
      <c r="W1787">
        <v>50115796</v>
      </c>
      <c r="X1787" t="s">
        <v>1322</v>
      </c>
      <c r="Y1787">
        <f>VLOOKUP(W1787,Sheet2!A:D,3,0)</f>
        <v>50082183</v>
      </c>
      <c r="Z1787" t="str">
        <f>VLOOKUP(W1787,Sheet2!A:D,4,0)</f>
        <v>LDPE: PURELL PE 1840 H</v>
      </c>
    </row>
    <row r="1788" spans="21:26" ht="15">
      <c r="U1788" s="63">
        <v>50115805</v>
      </c>
      <c r="V1788" s="64" t="s">
        <v>2694</v>
      </c>
      <c r="W1788">
        <v>50115796</v>
      </c>
      <c r="X1788" t="s">
        <v>1322</v>
      </c>
      <c r="Y1788">
        <f>VLOOKUP(W1788,Sheet2!A:D,3,0)</f>
        <v>50082183</v>
      </c>
      <c r="Z1788" t="str">
        <f>VLOOKUP(W1788,Sheet2!A:D,4,0)</f>
        <v>LDPE: PURELL PE 1840 H</v>
      </c>
    </row>
    <row r="1789" spans="21:26" ht="15">
      <c r="U1789" s="63">
        <v>50115806</v>
      </c>
      <c r="V1789" s="64" t="s">
        <v>2695</v>
      </c>
      <c r="W1789">
        <v>50115770</v>
      </c>
      <c r="X1789" t="s">
        <v>1310</v>
      </c>
      <c r="Y1789">
        <f>VLOOKUP(W1789,Sheet2!A:D,3,0)</f>
        <v>50082183</v>
      </c>
      <c r="Z1789" t="str">
        <f>VLOOKUP(W1789,Sheet2!A:D,4,0)</f>
        <v>LDPE: PURELL PE 1840 H</v>
      </c>
    </row>
    <row r="1790" spans="21:26" ht="15">
      <c r="U1790" s="63">
        <v>50115873</v>
      </c>
      <c r="V1790" s="64" t="s">
        <v>2696</v>
      </c>
      <c r="W1790">
        <v>50115864</v>
      </c>
      <c r="X1790" t="s">
        <v>1327</v>
      </c>
      <c r="Y1790">
        <f>VLOOKUP(W1790,Sheet2!A:D,3,0)</f>
        <v>50082200</v>
      </c>
      <c r="Z1790" t="str">
        <f>VLOOKUP(W1790,Sheet2!A:D,4,0)</f>
        <v>HDPE: RELENE E52009</v>
      </c>
    </row>
    <row r="1791" spans="21:26" ht="15">
      <c r="U1791" s="63">
        <v>50115875</v>
      </c>
      <c r="V1791" s="64" t="s">
        <v>2697</v>
      </c>
      <c r="W1791">
        <v>50115874</v>
      </c>
      <c r="X1791" t="s">
        <v>1328</v>
      </c>
      <c r="Y1791">
        <f>VLOOKUP(W1791,Sheet2!A:D,3,0)</f>
        <v>50082200</v>
      </c>
      <c r="Z1791" t="str">
        <f>VLOOKUP(W1791,Sheet2!A:D,4,0)</f>
        <v>HDPE: RELENE E52009</v>
      </c>
    </row>
    <row r="1792" spans="21:26" ht="15">
      <c r="U1792" s="63">
        <v>50115877</v>
      </c>
      <c r="V1792" s="64" t="s">
        <v>2698</v>
      </c>
      <c r="W1792">
        <v>50115876</v>
      </c>
      <c r="X1792" t="s">
        <v>1329</v>
      </c>
      <c r="Y1792">
        <f>VLOOKUP(W1792,Sheet2!A:D,3,0)</f>
        <v>50082200</v>
      </c>
      <c r="Z1792" t="str">
        <f>VLOOKUP(W1792,Sheet2!A:D,4,0)</f>
        <v>HDPE: RELENE E52009</v>
      </c>
    </row>
    <row r="1793" spans="21:26" ht="15">
      <c r="U1793" s="63">
        <v>50115879</v>
      </c>
      <c r="V1793" s="64" t="s">
        <v>2699</v>
      </c>
      <c r="W1793">
        <v>50115878</v>
      </c>
      <c r="X1793" t="s">
        <v>1330</v>
      </c>
      <c r="Y1793" t="e">
        <f>VLOOKUP(W1793,Sheet2!A:D,3,0)</f>
        <v>#N/A</v>
      </c>
      <c r="Z1793" t="e">
        <f>VLOOKUP(W1793,Sheet2!A:D,4,0)</f>
        <v>#N/A</v>
      </c>
    </row>
    <row r="1794" spans="21:26" ht="15">
      <c r="U1794" s="63">
        <v>50115881</v>
      </c>
      <c r="V1794" s="64" t="s">
        <v>2700</v>
      </c>
      <c r="W1794">
        <v>50115880</v>
      </c>
      <c r="X1794" t="s">
        <v>1331</v>
      </c>
      <c r="Y1794">
        <f>VLOOKUP(W1794,Sheet2!A:D,3,0)</f>
        <v>50082183</v>
      </c>
      <c r="Z1794" t="str">
        <f>VLOOKUP(W1794,Sheet2!A:D,4,0)</f>
        <v>LDPE: PURELL PE 1840 H</v>
      </c>
    </row>
    <row r="1795" spans="21:26" ht="15">
      <c r="U1795" s="63">
        <v>50115882</v>
      </c>
      <c r="V1795" s="64" t="s">
        <v>2701</v>
      </c>
      <c r="W1795">
        <v>50115880</v>
      </c>
      <c r="X1795" t="s">
        <v>1331</v>
      </c>
      <c r="Y1795">
        <f>VLOOKUP(W1795,Sheet2!A:D,3,0)</f>
        <v>50082183</v>
      </c>
      <c r="Z1795" t="str">
        <f>VLOOKUP(W1795,Sheet2!A:D,4,0)</f>
        <v>LDPE: PURELL PE 1840 H</v>
      </c>
    </row>
    <row r="1796" spans="21:26" ht="15">
      <c r="U1796" s="63">
        <v>50115884</v>
      </c>
      <c r="V1796" s="64" t="s">
        <v>2702</v>
      </c>
      <c r="W1796">
        <v>50115883</v>
      </c>
      <c r="X1796" t="s">
        <v>1332</v>
      </c>
      <c r="Y1796">
        <f>VLOOKUP(W1796,Sheet2!A:D,3,0)</f>
        <v>50082183</v>
      </c>
      <c r="Z1796" t="str">
        <f>VLOOKUP(W1796,Sheet2!A:D,4,0)</f>
        <v>LDPE: PURELL PE 1840 H</v>
      </c>
    </row>
    <row r="1797" spans="21:26" ht="15">
      <c r="U1797" s="63">
        <v>50115885</v>
      </c>
      <c r="V1797" s="64" t="s">
        <v>2703</v>
      </c>
      <c r="W1797">
        <v>50115883</v>
      </c>
      <c r="X1797" t="s">
        <v>1332</v>
      </c>
      <c r="Y1797">
        <f>VLOOKUP(W1797,Sheet2!A:D,3,0)</f>
        <v>50082183</v>
      </c>
      <c r="Z1797" t="str">
        <f>VLOOKUP(W1797,Sheet2!A:D,4,0)</f>
        <v>LDPE: PURELL PE 1840 H</v>
      </c>
    </row>
    <row r="1798" spans="21:26" ht="15">
      <c r="U1798" s="63">
        <v>50115886</v>
      </c>
      <c r="V1798" s="64" t="s">
        <v>2704</v>
      </c>
      <c r="W1798">
        <v>50115874</v>
      </c>
      <c r="X1798" t="s">
        <v>1328</v>
      </c>
      <c r="Y1798">
        <f>VLOOKUP(W1798,Sheet2!A:D,3,0)</f>
        <v>50082200</v>
      </c>
      <c r="Z1798" t="str">
        <f>VLOOKUP(W1798,Sheet2!A:D,4,0)</f>
        <v>HDPE: RELENE E52009</v>
      </c>
    </row>
    <row r="1799" spans="21:26" ht="15">
      <c r="U1799" s="63">
        <v>50115887</v>
      </c>
      <c r="V1799" s="64" t="s">
        <v>2705</v>
      </c>
      <c r="W1799">
        <v>50115876</v>
      </c>
      <c r="X1799" t="s">
        <v>1329</v>
      </c>
      <c r="Y1799">
        <f>VLOOKUP(W1799,Sheet2!A:D,3,0)</f>
        <v>50082200</v>
      </c>
      <c r="Z1799" t="str">
        <f>VLOOKUP(W1799,Sheet2!A:D,4,0)</f>
        <v>HDPE: RELENE E52009</v>
      </c>
    </row>
    <row r="1800" spans="21:26" ht="15">
      <c r="U1800" s="63">
        <v>50115888</v>
      </c>
      <c r="V1800" s="64" t="s">
        <v>2706</v>
      </c>
      <c r="W1800">
        <v>50115878</v>
      </c>
      <c r="X1800" t="s">
        <v>1330</v>
      </c>
      <c r="Y1800" t="e">
        <f>VLOOKUP(W1800,Sheet2!A:D,3,0)</f>
        <v>#N/A</v>
      </c>
      <c r="Z1800" t="e">
        <f>VLOOKUP(W1800,Sheet2!A:D,4,0)</f>
        <v>#N/A</v>
      </c>
    </row>
    <row r="1801" spans="21:26" ht="15">
      <c r="U1801" s="63">
        <v>50115889</v>
      </c>
      <c r="V1801" s="64" t="s">
        <v>2707</v>
      </c>
      <c r="W1801">
        <v>50115864</v>
      </c>
      <c r="X1801" t="s">
        <v>1327</v>
      </c>
      <c r="Y1801">
        <f>VLOOKUP(W1801,Sheet2!A:D,3,0)</f>
        <v>50082200</v>
      </c>
      <c r="Z1801" t="str">
        <f>VLOOKUP(W1801,Sheet2!A:D,4,0)</f>
        <v>HDPE: RELENE E52009</v>
      </c>
    </row>
    <row r="1802" spans="21:26" ht="15">
      <c r="U1802" s="63">
        <v>50115895</v>
      </c>
      <c r="V1802" s="64" t="s">
        <v>2708</v>
      </c>
      <c r="W1802">
        <v>50115894</v>
      </c>
      <c r="X1802" t="s">
        <v>1333</v>
      </c>
      <c r="Y1802">
        <f>VLOOKUP(W1802,Sheet2!A:D,3,0)</f>
        <v>50082200</v>
      </c>
      <c r="Z1802" t="str">
        <f>VLOOKUP(W1802,Sheet2!A:D,4,0)</f>
        <v>HDPE: RELENE E52009</v>
      </c>
    </row>
    <row r="1803" spans="21:26" ht="15">
      <c r="U1803" s="63">
        <v>50115896</v>
      </c>
      <c r="V1803" s="64" t="s">
        <v>2709</v>
      </c>
      <c r="W1803">
        <v>50115894</v>
      </c>
      <c r="X1803" t="s">
        <v>1333</v>
      </c>
      <c r="Y1803">
        <f>VLOOKUP(W1803,Sheet2!A:D,3,0)</f>
        <v>50082200</v>
      </c>
      <c r="Z1803" t="str">
        <f>VLOOKUP(W1803,Sheet2!A:D,4,0)</f>
        <v>HDPE: RELENE E52009</v>
      </c>
    </row>
    <row r="1804" spans="21:26" ht="15">
      <c r="U1804" s="63">
        <v>50115898</v>
      </c>
      <c r="V1804" s="64" t="s">
        <v>2710</v>
      </c>
      <c r="W1804">
        <v>50115897</v>
      </c>
      <c r="X1804" t="s">
        <v>1334</v>
      </c>
      <c r="Y1804">
        <f>VLOOKUP(W1804,Sheet2!A:D,3,0)</f>
        <v>50082200</v>
      </c>
      <c r="Z1804" t="str">
        <f>VLOOKUP(W1804,Sheet2!A:D,4,0)</f>
        <v>HDPE: RELENE E52009</v>
      </c>
    </row>
    <row r="1805" spans="21:26" ht="15">
      <c r="U1805" s="63">
        <v>50115899</v>
      </c>
      <c r="V1805" s="64" t="s">
        <v>2711</v>
      </c>
      <c r="W1805">
        <v>50115897</v>
      </c>
      <c r="X1805" t="s">
        <v>1334</v>
      </c>
      <c r="Y1805">
        <f>VLOOKUP(W1805,Sheet2!A:D,3,0)</f>
        <v>50082200</v>
      </c>
      <c r="Z1805" t="str">
        <f>VLOOKUP(W1805,Sheet2!A:D,4,0)</f>
        <v>HDPE: RELENE E52009</v>
      </c>
    </row>
    <row r="1806" spans="21:26" ht="15">
      <c r="U1806" s="63">
        <v>50115901</v>
      </c>
      <c r="V1806" s="64" t="s">
        <v>2712</v>
      </c>
      <c r="W1806">
        <v>50115900</v>
      </c>
      <c r="X1806" t="s">
        <v>1335</v>
      </c>
      <c r="Y1806">
        <f>VLOOKUP(W1806,Sheet2!A:D,3,0)</f>
        <v>50082200</v>
      </c>
      <c r="Z1806" t="str">
        <f>VLOOKUP(W1806,Sheet2!A:D,4,0)</f>
        <v>HDPE: RELENE E52009</v>
      </c>
    </row>
    <row r="1807" spans="21:26" ht="15">
      <c r="U1807" s="63">
        <v>50115902</v>
      </c>
      <c r="V1807" s="64" t="s">
        <v>2713</v>
      </c>
      <c r="W1807">
        <v>50115900</v>
      </c>
      <c r="X1807" t="s">
        <v>1335</v>
      </c>
      <c r="Y1807">
        <f>VLOOKUP(W1807,Sheet2!A:D,3,0)</f>
        <v>50082200</v>
      </c>
      <c r="Z1807" t="str">
        <f>VLOOKUP(W1807,Sheet2!A:D,4,0)</f>
        <v>HDPE: RELENE E52009</v>
      </c>
    </row>
    <row r="1808" spans="21:26" ht="15">
      <c r="U1808" s="63">
        <v>50115921</v>
      </c>
      <c r="V1808" s="64" t="s">
        <v>389</v>
      </c>
      <c r="W1808">
        <v>50115920</v>
      </c>
      <c r="X1808" t="s">
        <v>274</v>
      </c>
      <c r="Y1808">
        <f>VLOOKUP(W1808,Sheet2!A:D,3,0)</f>
        <v>50082184</v>
      </c>
      <c r="Z1808" t="str">
        <f>VLOOKUP(W1808,Sheet2!A:D,4,0)</f>
        <v>LDPE: PURELL PE 1810 E</v>
      </c>
    </row>
    <row r="1809" spans="21:26" ht="15">
      <c r="U1809" s="63">
        <v>50115922</v>
      </c>
      <c r="V1809" s="64" t="s">
        <v>1633</v>
      </c>
      <c r="W1809">
        <v>50115920</v>
      </c>
      <c r="X1809" t="s">
        <v>274</v>
      </c>
      <c r="Y1809">
        <f>VLOOKUP(W1809,Sheet2!A:D,3,0)</f>
        <v>50082184</v>
      </c>
      <c r="Z1809" t="str">
        <f>VLOOKUP(W1809,Sheet2!A:D,4,0)</f>
        <v>LDPE: PURELL PE 1810 E</v>
      </c>
    </row>
    <row r="1810" spans="21:26" ht="15">
      <c r="U1810" s="63">
        <v>50115944</v>
      </c>
      <c r="V1810" s="64" t="s">
        <v>1638</v>
      </c>
      <c r="W1810">
        <v>50115943</v>
      </c>
      <c r="X1810" t="s">
        <v>1338</v>
      </c>
      <c r="Y1810">
        <f>VLOOKUP(W1810,Sheet2!A:D,3,0)</f>
        <v>50082184</v>
      </c>
      <c r="Z1810" t="str">
        <f>VLOOKUP(W1810,Sheet2!A:D,4,0)</f>
        <v>LDPE: PURELL PE 1810 E</v>
      </c>
    </row>
    <row r="1811" spans="21:26" ht="15">
      <c r="U1811" s="63">
        <v>50115945</v>
      </c>
      <c r="V1811" s="64" t="s">
        <v>1639</v>
      </c>
      <c r="W1811">
        <v>50115943</v>
      </c>
      <c r="X1811" t="s">
        <v>1338</v>
      </c>
      <c r="Y1811">
        <f>VLOOKUP(W1811,Sheet2!A:D,3,0)</f>
        <v>50082184</v>
      </c>
      <c r="Z1811" t="str">
        <f>VLOOKUP(W1811,Sheet2!A:D,4,0)</f>
        <v>LDPE: PURELL PE 1810 E</v>
      </c>
    </row>
    <row r="1812" spans="21:26" ht="15">
      <c r="U1812" s="63">
        <v>50115967</v>
      </c>
      <c r="V1812" s="64" t="s">
        <v>2714</v>
      </c>
      <c r="W1812">
        <v>50115966</v>
      </c>
      <c r="X1812" t="s">
        <v>498</v>
      </c>
      <c r="Y1812">
        <f>VLOOKUP(W1812,Sheet2!A:D,3,0)</f>
        <v>50103870</v>
      </c>
      <c r="Z1812" t="str">
        <f>VLOOKUP(W1812,Sheet2!A:D,4,0)</f>
        <v>PP: Purell RP270G</v>
      </c>
    </row>
    <row r="1813" spans="21:26" ht="15">
      <c r="U1813" s="63">
        <v>50115968</v>
      </c>
      <c r="V1813" s="64" t="s">
        <v>501</v>
      </c>
      <c r="W1813">
        <v>50115966</v>
      </c>
      <c r="X1813" t="s">
        <v>498</v>
      </c>
      <c r="Y1813">
        <f>VLOOKUP(W1813,Sheet2!A:D,3,0)</f>
        <v>50103870</v>
      </c>
      <c r="Z1813" t="str">
        <f>VLOOKUP(W1813,Sheet2!A:D,4,0)</f>
        <v>PP: Purell RP270G</v>
      </c>
    </row>
    <row r="1814" spans="21:26" ht="15">
      <c r="U1814" s="63">
        <v>50115970</v>
      </c>
      <c r="V1814" s="64" t="s">
        <v>2715</v>
      </c>
      <c r="W1814">
        <v>50115969</v>
      </c>
      <c r="X1814" t="s">
        <v>499</v>
      </c>
      <c r="Y1814" t="e">
        <f>VLOOKUP(W1814,Sheet2!A:D,3,0)</f>
        <v>#N/A</v>
      </c>
      <c r="Z1814" t="e">
        <f>VLOOKUP(W1814,Sheet2!A:D,4,0)</f>
        <v>#N/A</v>
      </c>
    </row>
    <row r="1815" spans="21:26" ht="15">
      <c r="U1815" s="63">
        <v>50115971</v>
      </c>
      <c r="V1815" s="64" t="s">
        <v>502</v>
      </c>
      <c r="W1815">
        <v>50115969</v>
      </c>
      <c r="X1815" t="s">
        <v>499</v>
      </c>
      <c r="Y1815" t="e">
        <f>VLOOKUP(W1815,Sheet2!A:D,3,0)</f>
        <v>#N/A</v>
      </c>
      <c r="Z1815" t="e">
        <f>VLOOKUP(W1815,Sheet2!A:D,4,0)</f>
        <v>#N/A</v>
      </c>
    </row>
    <row r="1816" spans="21:26" ht="15">
      <c r="U1816" s="63">
        <v>50115973</v>
      </c>
      <c r="V1816" s="64" t="s">
        <v>2716</v>
      </c>
      <c r="W1816">
        <v>50115972</v>
      </c>
      <c r="X1816" t="s">
        <v>500</v>
      </c>
      <c r="Y1816">
        <f>VLOOKUP(W1816,Sheet2!A:D,3,0)</f>
        <v>50082202</v>
      </c>
      <c r="Z1816" t="str">
        <f>VLOOKUP(W1816,Sheet2!A:D,4,0)</f>
        <v>HDPE: PURELL GC7260</v>
      </c>
    </row>
    <row r="1817" spans="21:26" ht="15">
      <c r="U1817" s="63">
        <v>50115974</v>
      </c>
      <c r="V1817" s="64" t="s">
        <v>503</v>
      </c>
      <c r="W1817">
        <v>50115972</v>
      </c>
      <c r="X1817" t="s">
        <v>500</v>
      </c>
      <c r="Y1817">
        <f>VLOOKUP(W1817,Sheet2!A:D,3,0)</f>
        <v>50082202</v>
      </c>
      <c r="Z1817" t="str">
        <f>VLOOKUP(W1817,Sheet2!A:D,4,0)</f>
        <v>HDPE: PURELL GC7260</v>
      </c>
    </row>
    <row r="1818" spans="21:26" ht="15">
      <c r="U1818" s="63">
        <v>50115980</v>
      </c>
      <c r="V1818" s="64" t="s">
        <v>2717</v>
      </c>
      <c r="W1818">
        <v>50115979</v>
      </c>
      <c r="X1818" t="s">
        <v>1345</v>
      </c>
      <c r="Y1818">
        <f>VLOOKUP(W1818,Sheet2!A:D,3,0)</f>
        <v>50082202</v>
      </c>
      <c r="Z1818" t="str">
        <f>VLOOKUP(W1818,Sheet2!A:D,4,0)</f>
        <v>HDPE: PURELL GC7260</v>
      </c>
    </row>
    <row r="1819" spans="21:26" ht="15">
      <c r="U1819" s="63">
        <v>50115981</v>
      </c>
      <c r="V1819" s="64" t="s">
        <v>2718</v>
      </c>
      <c r="W1819">
        <v>50115979</v>
      </c>
      <c r="X1819" t="s">
        <v>1345</v>
      </c>
      <c r="Y1819">
        <f>VLOOKUP(W1819,Sheet2!A:D,3,0)</f>
        <v>50082202</v>
      </c>
      <c r="Z1819" t="str">
        <f>VLOOKUP(W1819,Sheet2!A:D,4,0)</f>
        <v>HDPE: PURELL GC7260</v>
      </c>
    </row>
    <row r="1820" spans="21:26" ht="15">
      <c r="U1820" s="63">
        <v>50115986</v>
      </c>
      <c r="V1820" s="64" t="s">
        <v>2719</v>
      </c>
      <c r="W1820">
        <v>50115985</v>
      </c>
      <c r="X1820" t="s">
        <v>1347</v>
      </c>
      <c r="Y1820">
        <f>VLOOKUP(W1820,Sheet2!A:D,3,0)</f>
        <v>50082183</v>
      </c>
      <c r="Z1820" t="str">
        <f>VLOOKUP(W1820,Sheet2!A:D,4,0)</f>
        <v>LDPE: PURELL PE 1840 H</v>
      </c>
    </row>
    <row r="1821" spans="21:26" ht="15">
      <c r="U1821" s="63">
        <v>50115987</v>
      </c>
      <c r="V1821" s="64" t="s">
        <v>2720</v>
      </c>
      <c r="W1821">
        <v>50115985</v>
      </c>
      <c r="X1821" t="s">
        <v>1347</v>
      </c>
      <c r="Y1821">
        <f>VLOOKUP(W1821,Sheet2!A:D,3,0)</f>
        <v>50082183</v>
      </c>
      <c r="Z1821" t="str">
        <f>VLOOKUP(W1821,Sheet2!A:D,4,0)</f>
        <v>LDPE: PURELL PE 1840 H</v>
      </c>
    </row>
    <row r="1822" spans="21:26" ht="15">
      <c r="U1822" s="63">
        <v>50115989</v>
      </c>
      <c r="V1822" s="64" t="s">
        <v>2721</v>
      </c>
      <c r="W1822">
        <v>50115988</v>
      </c>
      <c r="X1822" t="s">
        <v>1937</v>
      </c>
      <c r="Y1822" t="e">
        <f>VLOOKUP(W1822,Sheet2!A:D,3,0)</f>
        <v>#N/A</v>
      </c>
      <c r="Z1822" t="e">
        <f>VLOOKUP(W1822,Sheet2!A:D,4,0)</f>
        <v>#N/A</v>
      </c>
    </row>
    <row r="1823" spans="21:26" ht="15">
      <c r="U1823" s="63">
        <v>50115990</v>
      </c>
      <c r="V1823" s="64" t="s">
        <v>2722</v>
      </c>
      <c r="W1823">
        <v>50115988</v>
      </c>
      <c r="X1823" t="s">
        <v>1937</v>
      </c>
      <c r="Y1823" t="e">
        <f>VLOOKUP(W1823,Sheet2!A:D,3,0)</f>
        <v>#N/A</v>
      </c>
      <c r="Z1823" t="e">
        <f>VLOOKUP(W1823,Sheet2!A:D,4,0)</f>
        <v>#N/A</v>
      </c>
    </row>
    <row r="1824" spans="21:26" ht="15">
      <c r="U1824" s="63">
        <v>50096985</v>
      </c>
      <c r="V1824" s="64" t="s">
        <v>297</v>
      </c>
      <c r="W1824" s="63">
        <v>50096985</v>
      </c>
      <c r="X1824" s="64" t="s">
        <v>297</v>
      </c>
      <c r="Y1824">
        <f>VLOOKUP(W1824,Sheet2!A:D,3,0)</f>
        <v>50096983</v>
      </c>
      <c r="Z1824" t="str">
        <f>VLOOKUP(W1824,Sheet2!A:D,4,0)</f>
        <v>PPRC : EXXON MOBIL 9122</v>
      </c>
    </row>
    <row r="1825" spans="21:26" ht="15">
      <c r="U1825" s="63">
        <v>50096986</v>
      </c>
      <c r="V1825" s="64" t="s">
        <v>287</v>
      </c>
      <c r="W1825" s="63">
        <v>50096986</v>
      </c>
      <c r="X1825" s="64" t="s">
        <v>287</v>
      </c>
      <c r="Y1825">
        <f>VLOOKUP(W1825,Sheet2!A:D,3,0)</f>
        <v>50096983</v>
      </c>
      <c r="Z1825" t="str">
        <f>VLOOKUP(W1825,Sheet2!A:D,4,0)</f>
        <v>PPRC : EXXON MOBIL 9122</v>
      </c>
    </row>
    <row r="1826" spans="21:26" ht="15">
      <c r="U1826" s="63">
        <v>50096987</v>
      </c>
      <c r="V1826" s="64" t="s">
        <v>285</v>
      </c>
      <c r="W1826" s="63">
        <v>50096987</v>
      </c>
      <c r="X1826" s="64" t="s">
        <v>285</v>
      </c>
      <c r="Y1826">
        <f>VLOOKUP(W1826,Sheet2!A:D,3,0)</f>
        <v>50096983</v>
      </c>
      <c r="Z1826" t="str">
        <f>VLOOKUP(W1826,Sheet2!A:D,4,0)</f>
        <v>PPRC : EXXON MOBIL 9122</v>
      </c>
    </row>
    <row r="1827" spans="21:26" ht="15">
      <c r="U1827" s="63">
        <v>50096988</v>
      </c>
      <c r="V1827" s="64" t="s">
        <v>813</v>
      </c>
      <c r="W1827" s="63">
        <v>50096988</v>
      </c>
      <c r="X1827" s="64" t="s">
        <v>813</v>
      </c>
      <c r="Y1827">
        <f>VLOOKUP(W1827,Sheet2!A:D,3,0)</f>
        <v>50096983</v>
      </c>
      <c r="Z1827" t="str">
        <f>VLOOKUP(W1827,Sheet2!A:D,4,0)</f>
        <v>PPRC : EXXON MOBIL 9122</v>
      </c>
    </row>
    <row r="1828" spans="21:26" ht="15">
      <c r="U1828" s="63">
        <v>50104777</v>
      </c>
      <c r="V1828" s="64" t="s">
        <v>304</v>
      </c>
      <c r="W1828" s="63">
        <v>50104777</v>
      </c>
      <c r="X1828" s="64" t="s">
        <v>304</v>
      </c>
      <c r="Y1828">
        <f>VLOOKUP(W1828,Sheet2!A:D,3,0)</f>
        <v>50097522</v>
      </c>
      <c r="Z1828" t="str">
        <f>VLOOKUP(W1828,Sheet2!A:D,4,0)</f>
        <v>PPHP: REPOL H110MAS</v>
      </c>
    </row>
    <row r="1829" spans="21:26" ht="15">
      <c r="U1829" s="63">
        <v>50108149</v>
      </c>
      <c r="V1829" s="64" t="s">
        <v>1007</v>
      </c>
      <c r="W1829" s="63">
        <v>50108149</v>
      </c>
      <c r="X1829" s="64" t="s">
        <v>1007</v>
      </c>
      <c r="Y1829">
        <f>VLOOKUP(W1829,Sheet2!A:D,3,0)</f>
        <v>50106995</v>
      </c>
      <c r="Z1829" t="str">
        <f>VLOOKUP(W1829,Sheet2!A:D,4,0)</f>
        <v>PPCP: REPOL SRM100NC</v>
      </c>
    </row>
    <row r="1830" spans="21:26" ht="15">
      <c r="U1830" s="63">
        <v>50108836</v>
      </c>
      <c r="V1830" s="64" t="s">
        <v>1023</v>
      </c>
      <c r="W1830" s="63">
        <v>50108836</v>
      </c>
      <c r="X1830" s="64" t="s">
        <v>1023</v>
      </c>
      <c r="Y1830">
        <f>VLOOKUP(W1830,Sheet2!A:D,3,0)</f>
        <v>50108834</v>
      </c>
      <c r="Z1830" t="str">
        <f>VLOOKUP(W1830,Sheet2!A:D,4,0)</f>
        <v>PET: RELPET G5801</v>
      </c>
    </row>
    <row r="1831" spans="21:26" ht="15">
      <c r="U1831" s="63">
        <v>50112641</v>
      </c>
      <c r="V1831" s="64" t="s">
        <v>1134</v>
      </c>
      <c r="W1831" s="63">
        <v>50112641</v>
      </c>
      <c r="X1831" s="64" t="s">
        <v>1134</v>
      </c>
      <c r="Y1831">
        <f>VLOOKUP(W1831,Sheet2!A:D,3,0)</f>
        <v>50082183</v>
      </c>
      <c r="Z1831" t="str">
        <f>VLOOKUP(W1831,Sheet2!A:D,4,0)</f>
        <v>LDPE: PURELL PE 1840 H</v>
      </c>
    </row>
    <row r="1832" spans="21:26" ht="15">
      <c r="U1832" s="63">
        <v>50112692</v>
      </c>
      <c r="V1832" s="64" t="s">
        <v>1135</v>
      </c>
      <c r="W1832" s="63">
        <v>50112692</v>
      </c>
      <c r="X1832" s="64" t="s">
        <v>1135</v>
      </c>
      <c r="Y1832">
        <f>VLOOKUP(W1832,Sheet2!A:D,3,0)</f>
        <v>50082183</v>
      </c>
      <c r="Z1832" t="str">
        <f>VLOOKUP(W1832,Sheet2!A:D,4,0)</f>
        <v>LDPE: PURELL PE 1840 H</v>
      </c>
    </row>
    <row r="1833" spans="21:26" ht="15">
      <c r="U1833" s="63">
        <v>50115636</v>
      </c>
      <c r="V1833" s="64" t="s">
        <v>1281</v>
      </c>
      <c r="W1833" s="63">
        <v>50115636</v>
      </c>
      <c r="X1833" s="64" t="s">
        <v>1281</v>
      </c>
      <c r="Y1833">
        <f>VLOOKUP(W1833,Sheet2!A:D,3,0)</f>
        <v>50104077</v>
      </c>
      <c r="Z1833" t="str">
        <f>VLOOKUP(W1833,Sheet2!A:D,4,0)</f>
        <v>ABS: NOVODUR HD M203FC</v>
      </c>
    </row>
    <row r="1834" spans="21:26" ht="15">
      <c r="U1834" s="63">
        <v>50115648</v>
      </c>
      <c r="V1834" s="64" t="s">
        <v>1288</v>
      </c>
      <c r="W1834" s="63">
        <v>50115648</v>
      </c>
      <c r="X1834" s="64" t="s">
        <v>1288</v>
      </c>
      <c r="Y1834">
        <f>VLOOKUP(W1834,Sheet2!A:D,3,0)</f>
        <v>50104077</v>
      </c>
      <c r="Z1834" t="str">
        <f>VLOOKUP(W1834,Sheet2!A:D,4,0)</f>
        <v>ABS: NOVODUR HD M203FC</v>
      </c>
    </row>
    <row r="1835" spans="21:26" ht="15">
      <c r="U1835" s="63">
        <v>50115683</v>
      </c>
      <c r="V1835" s="64" t="s">
        <v>1294</v>
      </c>
      <c r="W1835" s="63">
        <v>50115683</v>
      </c>
      <c r="X1835" s="64" t="s">
        <v>1294</v>
      </c>
      <c r="Y1835">
        <f>VLOOKUP(W1835,Sheet2!A:D,3,0)</f>
        <v>50104078</v>
      </c>
      <c r="Z1835" t="str">
        <f>VLOOKUP(W1835,Sheet2!A:D,4,0)</f>
        <v>MABS: TERLUX HD 2812</v>
      </c>
    </row>
  </sheetData>
  <autoFilter ref="U1:Z1835" xr:uid="{C70679BB-DD34-41B3-A742-B7C944AE085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CA12-EC01-4A8D-8A9E-EBEA612889F2}">
  <dimension ref="A1:H853"/>
  <sheetViews>
    <sheetView workbookViewId="0">
      <selection activeCell="F1" sqref="F1"/>
    </sheetView>
  </sheetViews>
  <sheetFormatPr defaultRowHeight="14.25"/>
  <cols>
    <col min="1" max="1" width="10.375" bestFit="1" customWidth="1"/>
    <col min="2" max="2" width="36.375" bestFit="1" customWidth="1"/>
    <col min="3" max="3" width="25.625" bestFit="1" customWidth="1"/>
    <col min="4" max="4" width="33.625" bestFit="1" customWidth="1"/>
    <col min="6" max="6" width="10.125" bestFit="1" customWidth="1"/>
    <col min="7" max="7" width="36.375" bestFit="1" customWidth="1"/>
    <col min="8" max="8" width="8.875" bestFit="1" customWidth="1"/>
  </cols>
  <sheetData>
    <row r="1" spans="1:8" ht="30">
      <c r="A1" s="61" t="s">
        <v>1938</v>
      </c>
      <c r="B1" s="61" t="s">
        <v>1939</v>
      </c>
      <c r="C1" s="62" t="s">
        <v>1940</v>
      </c>
      <c r="D1" s="62" t="s">
        <v>1941</v>
      </c>
      <c r="F1" s="61" t="s">
        <v>1938</v>
      </c>
      <c r="G1" s="61" t="s">
        <v>1939</v>
      </c>
      <c r="H1" s="61" t="s">
        <v>2726</v>
      </c>
    </row>
    <row r="2" spans="1:8" ht="15">
      <c r="A2" s="63">
        <v>50081590</v>
      </c>
      <c r="B2" s="64" t="s">
        <v>546</v>
      </c>
      <c r="C2">
        <v>50082203</v>
      </c>
      <c r="D2" t="s">
        <v>547</v>
      </c>
      <c r="F2" s="63">
        <v>50081590</v>
      </c>
      <c r="G2" s="64" t="s">
        <v>546</v>
      </c>
      <c r="H2" s="66">
        <v>3</v>
      </c>
    </row>
    <row r="3" spans="1:8" ht="15">
      <c r="A3" s="63">
        <v>50081651</v>
      </c>
      <c r="B3" s="64" t="s">
        <v>565</v>
      </c>
      <c r="C3">
        <v>50082181</v>
      </c>
      <c r="D3" t="s">
        <v>566</v>
      </c>
      <c r="F3" s="63">
        <v>50081651</v>
      </c>
      <c r="G3" s="64" t="s">
        <v>565</v>
      </c>
      <c r="H3" s="66">
        <v>3.589</v>
      </c>
    </row>
    <row r="4" spans="1:8" ht="15">
      <c r="A4" s="63">
        <v>50081702</v>
      </c>
      <c r="B4" s="64" t="s">
        <v>579</v>
      </c>
      <c r="C4">
        <v>50082181</v>
      </c>
      <c r="D4" t="s">
        <v>566</v>
      </c>
      <c r="F4" s="63">
        <v>50081702</v>
      </c>
      <c r="G4" s="64" t="s">
        <v>579</v>
      </c>
      <c r="H4" s="66">
        <v>3.9769999999999999</v>
      </c>
    </row>
    <row r="5" spans="1:8" ht="15">
      <c r="A5" s="63">
        <v>50081703</v>
      </c>
      <c r="B5" s="64" t="s">
        <v>580</v>
      </c>
      <c r="C5">
        <v>50082203</v>
      </c>
      <c r="D5" t="s">
        <v>547</v>
      </c>
      <c r="F5" s="63">
        <v>50081703</v>
      </c>
      <c r="G5" s="64" t="s">
        <v>580</v>
      </c>
      <c r="H5" s="66">
        <v>3.8896999999999999</v>
      </c>
    </row>
    <row r="6" spans="1:8" ht="15">
      <c r="A6" s="63">
        <v>50081704</v>
      </c>
      <c r="B6" s="64" t="s">
        <v>581</v>
      </c>
      <c r="C6">
        <v>50082181</v>
      </c>
      <c r="D6" t="s">
        <v>566</v>
      </c>
      <c r="F6" s="63">
        <v>50081704</v>
      </c>
      <c r="G6" s="64" t="s">
        <v>581</v>
      </c>
      <c r="H6" s="66">
        <v>3.456</v>
      </c>
    </row>
    <row r="7" spans="1:8" ht="15">
      <c r="A7" s="63">
        <v>50081832</v>
      </c>
      <c r="B7" s="64" t="s">
        <v>612</v>
      </c>
      <c r="C7">
        <v>50082181</v>
      </c>
      <c r="D7" t="s">
        <v>566</v>
      </c>
      <c r="F7" s="63">
        <v>50081832</v>
      </c>
      <c r="G7" s="64" t="s">
        <v>612</v>
      </c>
      <c r="H7" s="66">
        <v>3.589</v>
      </c>
    </row>
    <row r="8" spans="1:8" ht="15">
      <c r="A8" s="63">
        <v>50081887</v>
      </c>
      <c r="B8" s="64" t="s">
        <v>630</v>
      </c>
      <c r="C8">
        <v>50082203</v>
      </c>
      <c r="D8" t="s">
        <v>547</v>
      </c>
      <c r="F8" s="63">
        <v>50081887</v>
      </c>
      <c r="G8" s="64" t="s">
        <v>630</v>
      </c>
      <c r="H8" s="66">
        <v>3.7</v>
      </c>
    </row>
    <row r="9" spans="1:8" ht="15">
      <c r="A9" s="63">
        <v>50081993</v>
      </c>
      <c r="B9" s="64" t="s">
        <v>660</v>
      </c>
      <c r="C9">
        <v>50082203</v>
      </c>
      <c r="D9" t="s">
        <v>547</v>
      </c>
      <c r="F9" s="63">
        <v>50081993</v>
      </c>
      <c r="G9" s="64" t="s">
        <v>660</v>
      </c>
      <c r="H9" s="66">
        <v>3.9769999999999999</v>
      </c>
    </row>
    <row r="10" spans="1:8" ht="15">
      <c r="A10" s="63">
        <v>50081994</v>
      </c>
      <c r="B10" s="64" t="s">
        <v>661</v>
      </c>
      <c r="C10">
        <v>50082181</v>
      </c>
      <c r="D10" t="s">
        <v>566</v>
      </c>
      <c r="F10" s="63">
        <v>50081994</v>
      </c>
      <c r="G10" s="64" t="s">
        <v>661</v>
      </c>
      <c r="H10" s="66">
        <v>3.9769999999999999</v>
      </c>
    </row>
    <row r="11" spans="1:8" ht="15">
      <c r="A11" s="63">
        <v>50081995</v>
      </c>
      <c r="B11" s="64" t="s">
        <v>662</v>
      </c>
      <c r="C11">
        <v>50082181</v>
      </c>
      <c r="D11" t="s">
        <v>566</v>
      </c>
      <c r="F11" s="63">
        <v>50081995</v>
      </c>
      <c r="G11" s="64" t="s">
        <v>662</v>
      </c>
      <c r="H11" s="66">
        <v>3.9769999999999999</v>
      </c>
    </row>
    <row r="12" spans="1:8" ht="15">
      <c r="A12" s="63">
        <v>50081996</v>
      </c>
      <c r="B12" s="64" t="s">
        <v>663</v>
      </c>
      <c r="C12">
        <v>50082181</v>
      </c>
      <c r="D12" t="s">
        <v>566</v>
      </c>
      <c r="F12" s="63">
        <v>50081996</v>
      </c>
      <c r="G12" s="64" t="s">
        <v>663</v>
      </c>
      <c r="H12" s="66">
        <v>3.492</v>
      </c>
    </row>
    <row r="13" spans="1:8" ht="15">
      <c r="A13" s="63">
        <v>50081997</v>
      </c>
      <c r="B13" s="64" t="s">
        <v>664</v>
      </c>
      <c r="C13">
        <v>50082181</v>
      </c>
      <c r="D13" t="s">
        <v>566</v>
      </c>
      <c r="F13" s="63">
        <v>50081997</v>
      </c>
      <c r="G13" s="64" t="s">
        <v>664</v>
      </c>
      <c r="H13" s="66">
        <v>3.492</v>
      </c>
    </row>
    <row r="14" spans="1:8" ht="15">
      <c r="A14" s="63">
        <v>50081999</v>
      </c>
      <c r="B14" s="64" t="s">
        <v>665</v>
      </c>
      <c r="C14">
        <v>50082220</v>
      </c>
      <c r="D14" t="s">
        <v>666</v>
      </c>
      <c r="F14" s="63">
        <v>50081999</v>
      </c>
      <c r="G14" s="64" t="s">
        <v>665</v>
      </c>
      <c r="H14" s="66">
        <v>0.9</v>
      </c>
    </row>
    <row r="15" spans="1:8" ht="15">
      <c r="A15" s="63">
        <v>50082033</v>
      </c>
      <c r="B15" s="64" t="s">
        <v>676</v>
      </c>
      <c r="C15">
        <v>50082181</v>
      </c>
      <c r="D15" t="s">
        <v>566</v>
      </c>
      <c r="F15" s="63">
        <v>50082033</v>
      </c>
      <c r="G15" s="64" t="s">
        <v>676</v>
      </c>
      <c r="H15" s="66">
        <v>3.9769999999999999</v>
      </c>
    </row>
    <row r="16" spans="1:8" ht="15">
      <c r="A16" s="63">
        <v>50082034</v>
      </c>
      <c r="B16" s="64" t="s">
        <v>677</v>
      </c>
      <c r="C16">
        <v>50082181</v>
      </c>
      <c r="D16" t="s">
        <v>566</v>
      </c>
      <c r="F16" s="63">
        <v>50082034</v>
      </c>
      <c r="G16" s="64" t="s">
        <v>677</v>
      </c>
      <c r="H16" s="66">
        <v>3.492</v>
      </c>
    </row>
    <row r="17" spans="1:8" ht="15">
      <c r="A17" s="63">
        <v>50082046</v>
      </c>
      <c r="B17" s="64" t="s">
        <v>682</v>
      </c>
      <c r="C17">
        <v>50082184</v>
      </c>
      <c r="D17" t="s">
        <v>517</v>
      </c>
      <c r="F17" s="63">
        <v>50082046</v>
      </c>
      <c r="G17" s="64" t="s">
        <v>682</v>
      </c>
      <c r="H17" s="66">
        <v>0.64054299999999997</v>
      </c>
    </row>
    <row r="18" spans="1:8" ht="15">
      <c r="A18" s="63">
        <v>50082098</v>
      </c>
      <c r="B18" s="64" t="s">
        <v>696</v>
      </c>
      <c r="C18">
        <v>50082183</v>
      </c>
      <c r="D18" t="s">
        <v>515</v>
      </c>
      <c r="F18" s="63">
        <v>50082098</v>
      </c>
      <c r="G18" s="64" t="s">
        <v>696</v>
      </c>
      <c r="H18" s="66">
        <v>0.62970000000000004</v>
      </c>
    </row>
    <row r="19" spans="1:8" ht="15">
      <c r="A19" s="63">
        <v>50082144</v>
      </c>
      <c r="B19" s="64" t="s">
        <v>709</v>
      </c>
      <c r="C19">
        <v>50082181</v>
      </c>
      <c r="D19" t="s">
        <v>566</v>
      </c>
      <c r="F19" s="63">
        <v>50082144</v>
      </c>
      <c r="G19" s="64" t="s">
        <v>709</v>
      </c>
      <c r="H19" s="66">
        <v>3.379</v>
      </c>
    </row>
    <row r="20" spans="1:8" ht="15">
      <c r="A20" s="63">
        <v>50082145</v>
      </c>
      <c r="B20" s="64" t="s">
        <v>710</v>
      </c>
      <c r="C20">
        <v>50082181</v>
      </c>
      <c r="D20" t="s">
        <v>566</v>
      </c>
      <c r="F20" s="63">
        <v>50082145</v>
      </c>
      <c r="G20" s="64" t="s">
        <v>710</v>
      </c>
      <c r="H20" s="66">
        <v>2.9</v>
      </c>
    </row>
    <row r="21" spans="1:8" ht="15">
      <c r="A21" s="63">
        <v>50082171</v>
      </c>
      <c r="B21" s="64" t="s">
        <v>716</v>
      </c>
      <c r="C21">
        <v>50082220</v>
      </c>
      <c r="D21" t="s">
        <v>666</v>
      </c>
      <c r="F21" s="63">
        <v>50082171</v>
      </c>
      <c r="G21" s="64" t="s">
        <v>716</v>
      </c>
      <c r="H21" s="66">
        <v>8.3650000000000002</v>
      </c>
    </row>
    <row r="22" spans="1:8" ht="15">
      <c r="A22" s="63">
        <v>50082177</v>
      </c>
      <c r="B22" s="64" t="s">
        <v>718</v>
      </c>
      <c r="C22">
        <v>50082181</v>
      </c>
      <c r="D22" t="s">
        <v>566</v>
      </c>
      <c r="F22" s="63">
        <v>50082177</v>
      </c>
      <c r="G22" s="64" t="s">
        <v>718</v>
      </c>
      <c r="H22" s="66">
        <v>3.93</v>
      </c>
    </row>
    <row r="23" spans="1:8" ht="15">
      <c r="A23" s="63">
        <v>50082178</v>
      </c>
      <c r="B23" s="64" t="s">
        <v>719</v>
      </c>
      <c r="C23">
        <v>50082181</v>
      </c>
      <c r="D23" t="s">
        <v>566</v>
      </c>
      <c r="F23" s="63">
        <v>50082178</v>
      </c>
      <c r="G23" s="64" t="s">
        <v>719</v>
      </c>
      <c r="H23" s="66">
        <v>3.492</v>
      </c>
    </row>
    <row r="24" spans="1:8" ht="15">
      <c r="A24" s="63">
        <v>50082179</v>
      </c>
      <c r="B24" s="64" t="s">
        <v>720</v>
      </c>
      <c r="C24">
        <v>50082181</v>
      </c>
      <c r="D24" t="s">
        <v>566</v>
      </c>
      <c r="F24" s="63">
        <v>50082179</v>
      </c>
      <c r="G24" s="64" t="s">
        <v>720</v>
      </c>
      <c r="H24" s="66">
        <v>2.82</v>
      </c>
    </row>
    <row r="25" spans="1:8" ht="15">
      <c r="A25" s="63">
        <v>50082180</v>
      </c>
      <c r="B25" s="64" t="s">
        <v>721</v>
      </c>
      <c r="C25">
        <v>50082181</v>
      </c>
      <c r="D25" t="s">
        <v>566</v>
      </c>
      <c r="F25" s="63">
        <v>50082180</v>
      </c>
      <c r="G25" s="64" t="s">
        <v>721</v>
      </c>
      <c r="H25" s="66">
        <v>2.39</v>
      </c>
    </row>
    <row r="26" spans="1:8" ht="15">
      <c r="A26" s="63">
        <v>50082193</v>
      </c>
      <c r="B26" s="64" t="s">
        <v>724</v>
      </c>
      <c r="C26">
        <v>50082183</v>
      </c>
      <c r="D26" t="s">
        <v>515</v>
      </c>
      <c r="F26" s="63">
        <v>50082193</v>
      </c>
      <c r="G26" s="64" t="s">
        <v>724</v>
      </c>
      <c r="H26" s="66">
        <v>0.68700000000000006</v>
      </c>
    </row>
    <row r="27" spans="1:8" ht="15">
      <c r="A27" s="63">
        <v>50082223</v>
      </c>
      <c r="B27" s="64" t="s">
        <v>726</v>
      </c>
      <c r="C27">
        <v>50082200</v>
      </c>
      <c r="D27" t="s">
        <v>521</v>
      </c>
      <c r="F27" s="63">
        <v>50082223</v>
      </c>
      <c r="G27" s="64" t="s">
        <v>726</v>
      </c>
      <c r="H27" s="66">
        <v>3.8159999999999998</v>
      </c>
    </row>
    <row r="28" spans="1:8" ht="15">
      <c r="A28" s="63">
        <v>50082363</v>
      </c>
      <c r="B28" s="64" t="s">
        <v>736</v>
      </c>
      <c r="C28">
        <v>50082181</v>
      </c>
      <c r="D28" t="s">
        <v>566</v>
      </c>
      <c r="F28" s="63">
        <v>50082363</v>
      </c>
      <c r="G28" s="64" t="s">
        <v>736</v>
      </c>
      <c r="H28" s="66">
        <v>2.82</v>
      </c>
    </row>
    <row r="29" spans="1:8" ht="15">
      <c r="A29" s="63">
        <v>50092519</v>
      </c>
      <c r="B29" s="64" t="s">
        <v>779</v>
      </c>
      <c r="C29">
        <v>50082203</v>
      </c>
      <c r="D29" t="s">
        <v>547</v>
      </c>
      <c r="F29" s="63">
        <v>50092519</v>
      </c>
      <c r="G29" s="64" t="s">
        <v>779</v>
      </c>
      <c r="H29" s="66">
        <v>3.2010000000000001</v>
      </c>
    </row>
    <row r="30" spans="1:8" ht="15">
      <c r="A30" s="63">
        <v>50092520</v>
      </c>
      <c r="B30" s="64" t="s">
        <v>780</v>
      </c>
      <c r="C30">
        <v>50082203</v>
      </c>
      <c r="D30" t="s">
        <v>547</v>
      </c>
      <c r="F30" s="63">
        <v>50092520</v>
      </c>
      <c r="G30" s="64" t="s">
        <v>780</v>
      </c>
      <c r="H30" s="66">
        <v>2.1339999999999999</v>
      </c>
    </row>
    <row r="31" spans="1:8" ht="15">
      <c r="A31" s="63">
        <v>50093143</v>
      </c>
      <c r="B31" s="64" t="s">
        <v>784</v>
      </c>
      <c r="C31">
        <v>50082181</v>
      </c>
      <c r="D31" t="s">
        <v>566</v>
      </c>
      <c r="F31" s="63">
        <v>50093143</v>
      </c>
      <c r="G31" s="64" t="s">
        <v>784</v>
      </c>
      <c r="H31" s="66">
        <v>3.492</v>
      </c>
    </row>
    <row r="32" spans="1:8" ht="15">
      <c r="A32" s="63">
        <v>50097622</v>
      </c>
      <c r="B32" s="64" t="s">
        <v>827</v>
      </c>
      <c r="C32">
        <v>50082203</v>
      </c>
      <c r="D32" t="s">
        <v>547</v>
      </c>
      <c r="F32" s="63">
        <v>50097622</v>
      </c>
      <c r="G32" s="64" t="s">
        <v>827</v>
      </c>
      <c r="H32" s="66">
        <v>3.2010000000000001</v>
      </c>
    </row>
    <row r="33" spans="1:8" ht="15">
      <c r="A33" s="63">
        <v>50097623</v>
      </c>
      <c r="B33" s="64" t="s">
        <v>828</v>
      </c>
      <c r="C33">
        <v>50082203</v>
      </c>
      <c r="D33" t="s">
        <v>547</v>
      </c>
      <c r="F33" s="63">
        <v>50097623</v>
      </c>
      <c r="G33" s="64" t="s">
        <v>828</v>
      </c>
      <c r="H33" s="66">
        <v>2.1339999999999999</v>
      </c>
    </row>
    <row r="34" spans="1:8" ht="15">
      <c r="A34" s="63">
        <v>50098871</v>
      </c>
      <c r="B34" s="64" t="s">
        <v>841</v>
      </c>
      <c r="C34">
        <v>50097522</v>
      </c>
      <c r="D34" t="s">
        <v>810</v>
      </c>
      <c r="F34" s="63">
        <v>50098871</v>
      </c>
      <c r="G34" s="64" t="s">
        <v>841</v>
      </c>
      <c r="H34" s="66">
        <v>3.4338000000000002</v>
      </c>
    </row>
    <row r="35" spans="1:8" ht="15">
      <c r="A35" s="63">
        <v>50099204</v>
      </c>
      <c r="B35" s="64" t="s">
        <v>847</v>
      </c>
      <c r="C35">
        <v>50097522</v>
      </c>
      <c r="D35" t="s">
        <v>810</v>
      </c>
      <c r="F35" s="63">
        <v>50099204</v>
      </c>
      <c r="G35" s="64" t="s">
        <v>847</v>
      </c>
      <c r="H35" s="66">
        <v>3.492</v>
      </c>
    </row>
    <row r="36" spans="1:8" ht="15">
      <c r="A36" s="63">
        <v>50099205</v>
      </c>
      <c r="B36" s="64" t="s">
        <v>848</v>
      </c>
      <c r="C36">
        <v>50097522</v>
      </c>
      <c r="D36" t="s">
        <v>810</v>
      </c>
      <c r="F36" s="63">
        <v>50099205</v>
      </c>
      <c r="G36" s="64" t="s">
        <v>848</v>
      </c>
      <c r="H36" s="66">
        <v>3.97</v>
      </c>
    </row>
    <row r="37" spans="1:8" ht="15">
      <c r="A37" s="63">
        <v>50099332</v>
      </c>
      <c r="B37" s="64" t="s">
        <v>852</v>
      </c>
      <c r="C37">
        <v>50097522</v>
      </c>
      <c r="D37" t="s">
        <v>810</v>
      </c>
      <c r="F37" s="63">
        <v>50099332</v>
      </c>
      <c r="G37" s="64" t="s">
        <v>852</v>
      </c>
      <c r="H37" s="66">
        <v>3.16</v>
      </c>
    </row>
    <row r="38" spans="1:8" ht="15">
      <c r="A38" s="63">
        <v>50099333</v>
      </c>
      <c r="B38" s="64" t="s">
        <v>853</v>
      </c>
      <c r="C38">
        <v>50097522</v>
      </c>
      <c r="D38" t="s">
        <v>810</v>
      </c>
      <c r="F38" s="63">
        <v>50099333</v>
      </c>
      <c r="G38" s="64" t="s">
        <v>853</v>
      </c>
      <c r="H38" s="66">
        <v>3</v>
      </c>
    </row>
    <row r="39" spans="1:8" ht="15">
      <c r="A39" s="63">
        <v>50099334</v>
      </c>
      <c r="B39" s="64" t="s">
        <v>854</v>
      </c>
      <c r="C39">
        <v>50097522</v>
      </c>
      <c r="D39" t="s">
        <v>810</v>
      </c>
      <c r="F39" s="63">
        <v>50099334</v>
      </c>
      <c r="G39" s="64" t="s">
        <v>854</v>
      </c>
      <c r="H39" s="66">
        <v>3.5</v>
      </c>
    </row>
    <row r="40" spans="1:8" ht="15">
      <c r="A40" s="63">
        <v>50099878</v>
      </c>
      <c r="B40" s="64" t="s">
        <v>859</v>
      </c>
      <c r="C40">
        <v>50082183</v>
      </c>
      <c r="D40" t="s">
        <v>515</v>
      </c>
      <c r="F40" s="63">
        <v>50099878</v>
      </c>
      <c r="G40" s="64" t="s">
        <v>859</v>
      </c>
      <c r="H40" s="66">
        <v>0.14399999999999999</v>
      </c>
    </row>
    <row r="41" spans="1:8" ht="15">
      <c r="A41" s="63">
        <v>50101731</v>
      </c>
      <c r="B41" s="64" t="s">
        <v>1942</v>
      </c>
      <c r="C41">
        <v>50082198</v>
      </c>
      <c r="D41" t="s">
        <v>1943</v>
      </c>
      <c r="F41" s="63">
        <v>50101731</v>
      </c>
      <c r="G41" s="64" t="s">
        <v>1942</v>
      </c>
      <c r="H41" s="66">
        <v>0.62970000000000004</v>
      </c>
    </row>
    <row r="42" spans="1:8" ht="15">
      <c r="A42" s="63">
        <v>50101942</v>
      </c>
      <c r="B42" s="64" t="s">
        <v>890</v>
      </c>
      <c r="C42">
        <v>50108558</v>
      </c>
      <c r="D42" t="s">
        <v>875</v>
      </c>
      <c r="F42" s="63">
        <v>50101942</v>
      </c>
      <c r="G42" s="64" t="s">
        <v>890</v>
      </c>
      <c r="H42" s="66">
        <v>0.62970000000000004</v>
      </c>
    </row>
    <row r="43" spans="1:8" ht="15">
      <c r="A43" s="63">
        <v>50102095</v>
      </c>
      <c r="B43" s="64" t="s">
        <v>896</v>
      </c>
      <c r="C43">
        <v>50097522</v>
      </c>
      <c r="D43" t="s">
        <v>810</v>
      </c>
      <c r="F43" s="63">
        <v>50102095</v>
      </c>
      <c r="G43" s="64" t="s">
        <v>896</v>
      </c>
      <c r="H43" s="66">
        <v>2.82</v>
      </c>
    </row>
    <row r="44" spans="1:8" ht="15">
      <c r="A44" s="63">
        <v>50102096</v>
      </c>
      <c r="B44" s="64" t="s">
        <v>897</v>
      </c>
      <c r="C44">
        <v>50097522</v>
      </c>
      <c r="D44" t="s">
        <v>810</v>
      </c>
      <c r="F44" s="63">
        <v>50102096</v>
      </c>
      <c r="G44" s="64" t="s">
        <v>897</v>
      </c>
      <c r="H44" s="66">
        <v>2.39</v>
      </c>
    </row>
    <row r="45" spans="1:8" ht="15">
      <c r="A45" s="63">
        <v>50102159</v>
      </c>
      <c r="B45" s="64" t="s">
        <v>899</v>
      </c>
      <c r="C45">
        <v>50097522</v>
      </c>
      <c r="D45" t="s">
        <v>810</v>
      </c>
      <c r="F45" s="63">
        <v>50102159</v>
      </c>
      <c r="G45" s="64" t="s">
        <v>899</v>
      </c>
      <c r="H45" s="66">
        <v>3.9769999999999999</v>
      </c>
    </row>
    <row r="46" spans="1:8" ht="15">
      <c r="A46" s="63">
        <v>50102160</v>
      </c>
      <c r="B46" s="64" t="s">
        <v>900</v>
      </c>
      <c r="C46">
        <v>50097522</v>
      </c>
      <c r="D46" t="s">
        <v>810</v>
      </c>
      <c r="F46" s="63">
        <v>50102160</v>
      </c>
      <c r="G46" s="64" t="s">
        <v>900</v>
      </c>
      <c r="H46" s="66">
        <v>3.492</v>
      </c>
    </row>
    <row r="47" spans="1:8" ht="15">
      <c r="A47" s="63">
        <v>50102172</v>
      </c>
      <c r="B47" s="64" t="s">
        <v>901</v>
      </c>
      <c r="C47">
        <v>50097522</v>
      </c>
      <c r="D47" t="s">
        <v>810</v>
      </c>
      <c r="F47" s="63">
        <v>50102172</v>
      </c>
      <c r="G47" s="64" t="s">
        <v>901</v>
      </c>
      <c r="H47" s="66">
        <v>3.9769999999999999</v>
      </c>
    </row>
    <row r="48" spans="1:8" ht="15">
      <c r="A48" s="63">
        <v>50102427</v>
      </c>
      <c r="B48" s="64" t="s">
        <v>907</v>
      </c>
      <c r="C48">
        <v>50108558</v>
      </c>
      <c r="D48" t="s">
        <v>875</v>
      </c>
      <c r="F48" s="63">
        <v>50102427</v>
      </c>
      <c r="G48" s="64" t="s">
        <v>907</v>
      </c>
      <c r="H48" s="66">
        <v>0.67620000000000002</v>
      </c>
    </row>
    <row r="49" spans="1:8" ht="15">
      <c r="A49" s="63">
        <v>50102428</v>
      </c>
      <c r="B49" s="64" t="s">
        <v>319</v>
      </c>
      <c r="C49">
        <v>50108558</v>
      </c>
      <c r="D49" t="s">
        <v>875</v>
      </c>
      <c r="F49" s="63">
        <v>50102428</v>
      </c>
      <c r="G49" s="64" t="s">
        <v>319</v>
      </c>
      <c r="H49" s="66">
        <v>0.64200000000000002</v>
      </c>
    </row>
    <row r="50" spans="1:8" ht="15">
      <c r="A50" s="63">
        <v>50102524</v>
      </c>
      <c r="B50" s="64" t="s">
        <v>908</v>
      </c>
      <c r="C50">
        <v>50097522</v>
      </c>
      <c r="D50" t="s">
        <v>810</v>
      </c>
      <c r="F50" s="63">
        <v>50102524</v>
      </c>
      <c r="G50" s="64" t="s">
        <v>908</v>
      </c>
      <c r="H50" s="66">
        <v>3.9769999999999999</v>
      </c>
    </row>
    <row r="51" spans="1:8" ht="15">
      <c r="A51" s="63">
        <v>50102525</v>
      </c>
      <c r="B51" s="64" t="s">
        <v>909</v>
      </c>
      <c r="C51">
        <v>50097522</v>
      </c>
      <c r="D51" t="s">
        <v>810</v>
      </c>
      <c r="F51" s="63">
        <v>50102525</v>
      </c>
      <c r="G51" s="64" t="s">
        <v>909</v>
      </c>
      <c r="H51" s="66">
        <v>3.492</v>
      </c>
    </row>
    <row r="52" spans="1:8" ht="15">
      <c r="A52" s="63">
        <v>50104541</v>
      </c>
      <c r="B52" s="64" t="s">
        <v>924</v>
      </c>
      <c r="C52">
        <v>50103359</v>
      </c>
      <c r="D52" t="s">
        <v>925</v>
      </c>
      <c r="F52" s="63">
        <v>50104541</v>
      </c>
      <c r="G52" s="64" t="s">
        <v>924</v>
      </c>
      <c r="H52" s="66">
        <v>3.9906999999999999</v>
      </c>
    </row>
    <row r="53" spans="1:8" ht="15">
      <c r="A53" s="63">
        <v>50104542</v>
      </c>
      <c r="B53" s="64" t="s">
        <v>926</v>
      </c>
      <c r="C53">
        <v>50103359</v>
      </c>
      <c r="D53" t="s">
        <v>925</v>
      </c>
      <c r="F53" s="63">
        <v>50104542</v>
      </c>
      <c r="G53" s="64" t="s">
        <v>926</v>
      </c>
      <c r="H53" s="66">
        <v>6.85</v>
      </c>
    </row>
    <row r="54" spans="1:8" ht="15">
      <c r="A54" s="63">
        <v>50104543</v>
      </c>
      <c r="B54" s="64" t="s">
        <v>927</v>
      </c>
      <c r="C54">
        <v>50103359</v>
      </c>
      <c r="D54" t="s">
        <v>925</v>
      </c>
      <c r="F54" s="63">
        <v>50104543</v>
      </c>
      <c r="G54" s="64" t="s">
        <v>927</v>
      </c>
      <c r="H54" s="66">
        <v>0.53</v>
      </c>
    </row>
    <row r="55" spans="1:8" ht="15">
      <c r="A55" s="63">
        <v>50104544</v>
      </c>
      <c r="B55" s="64" t="s">
        <v>928</v>
      </c>
      <c r="C55">
        <v>50103359</v>
      </c>
      <c r="D55" t="s">
        <v>925</v>
      </c>
      <c r="F55" s="63">
        <v>50104544</v>
      </c>
      <c r="G55" s="64" t="s">
        <v>928</v>
      </c>
      <c r="H55" s="66">
        <v>0.751</v>
      </c>
    </row>
    <row r="56" spans="1:8" ht="15">
      <c r="A56" s="63">
        <v>50104883</v>
      </c>
      <c r="B56" s="64" t="s">
        <v>932</v>
      </c>
      <c r="C56">
        <v>50104077</v>
      </c>
      <c r="D56" t="s">
        <v>933</v>
      </c>
      <c r="F56" s="63">
        <v>50104883</v>
      </c>
      <c r="G56" s="64" t="s">
        <v>932</v>
      </c>
      <c r="H56" s="66">
        <v>4.4160000000000004</v>
      </c>
    </row>
    <row r="57" spans="1:8" ht="15">
      <c r="A57" s="63">
        <v>50104909</v>
      </c>
      <c r="B57" s="64" t="s">
        <v>934</v>
      </c>
      <c r="C57">
        <v>50104077</v>
      </c>
      <c r="D57" t="s">
        <v>933</v>
      </c>
      <c r="F57" s="63">
        <v>50104909</v>
      </c>
      <c r="G57" s="64" t="s">
        <v>934</v>
      </c>
      <c r="H57" s="66">
        <v>3.6480000000000001</v>
      </c>
    </row>
    <row r="58" spans="1:8" ht="15">
      <c r="A58" s="63">
        <v>50105026</v>
      </c>
      <c r="B58" s="64" t="s">
        <v>944</v>
      </c>
      <c r="C58">
        <v>50104077</v>
      </c>
      <c r="D58" t="s">
        <v>933</v>
      </c>
      <c r="F58" s="63">
        <v>50105026</v>
      </c>
      <c r="G58" s="64" t="s">
        <v>944</v>
      </c>
      <c r="H58" s="66">
        <v>3.36</v>
      </c>
    </row>
    <row r="59" spans="1:8" ht="15">
      <c r="A59" s="63">
        <v>50105059</v>
      </c>
      <c r="B59" s="64" t="s">
        <v>946</v>
      </c>
      <c r="C59">
        <v>50104077</v>
      </c>
      <c r="D59" t="s">
        <v>933</v>
      </c>
      <c r="F59" s="63">
        <v>50105059</v>
      </c>
      <c r="G59" s="64" t="s">
        <v>946</v>
      </c>
      <c r="H59" s="66">
        <v>0.72</v>
      </c>
    </row>
    <row r="60" spans="1:8" ht="15">
      <c r="A60" s="63">
        <v>50105081</v>
      </c>
      <c r="B60" s="64" t="s">
        <v>948</v>
      </c>
      <c r="C60">
        <v>50104078</v>
      </c>
      <c r="D60" t="s">
        <v>949</v>
      </c>
      <c r="F60" s="63">
        <v>50105081</v>
      </c>
      <c r="G60" s="64" t="s">
        <v>948</v>
      </c>
      <c r="H60" s="66">
        <v>0.432</v>
      </c>
    </row>
    <row r="61" spans="1:8" ht="15">
      <c r="A61" s="63">
        <v>50105240</v>
      </c>
      <c r="B61" s="64" t="s">
        <v>954</v>
      </c>
      <c r="C61">
        <v>50103359</v>
      </c>
      <c r="D61" t="s">
        <v>925</v>
      </c>
      <c r="F61" s="63">
        <v>50105240</v>
      </c>
      <c r="G61" s="64" t="s">
        <v>954</v>
      </c>
      <c r="H61" s="66">
        <v>4.8609999999999998</v>
      </c>
    </row>
    <row r="62" spans="1:8" ht="15">
      <c r="A62" s="63">
        <v>50105241</v>
      </c>
      <c r="B62" s="64" t="s">
        <v>955</v>
      </c>
      <c r="C62">
        <v>50103359</v>
      </c>
      <c r="D62" t="s">
        <v>925</v>
      </c>
      <c r="F62" s="63">
        <v>50105241</v>
      </c>
      <c r="G62" s="64" t="s">
        <v>955</v>
      </c>
      <c r="H62" s="66">
        <v>5.17</v>
      </c>
    </row>
    <row r="63" spans="1:8" ht="15">
      <c r="A63" s="63">
        <v>50105242</v>
      </c>
      <c r="B63" s="64" t="s">
        <v>956</v>
      </c>
      <c r="C63">
        <v>50103359</v>
      </c>
      <c r="D63" t="s">
        <v>925</v>
      </c>
      <c r="F63" s="63">
        <v>50105242</v>
      </c>
      <c r="G63" s="64" t="s">
        <v>956</v>
      </c>
      <c r="H63" s="66">
        <v>5.452</v>
      </c>
    </row>
    <row r="64" spans="1:8" ht="15">
      <c r="A64" s="63">
        <v>50105243</v>
      </c>
      <c r="B64" s="64" t="s">
        <v>957</v>
      </c>
      <c r="C64">
        <v>50103359</v>
      </c>
      <c r="D64" t="s">
        <v>925</v>
      </c>
      <c r="F64" s="63">
        <v>50105243</v>
      </c>
      <c r="G64" s="64" t="s">
        <v>957</v>
      </c>
      <c r="H64" s="66">
        <v>2.17</v>
      </c>
    </row>
    <row r="65" spans="1:8" ht="15">
      <c r="A65" s="63">
        <v>50105271</v>
      </c>
      <c r="B65" s="64" t="s">
        <v>958</v>
      </c>
      <c r="C65">
        <v>50082181</v>
      </c>
      <c r="D65" t="s">
        <v>566</v>
      </c>
      <c r="F65" s="63">
        <v>50105271</v>
      </c>
      <c r="G65" s="64" t="s">
        <v>958</v>
      </c>
      <c r="H65" s="66">
        <v>2.82</v>
      </c>
    </row>
    <row r="66" spans="1:8" ht="15">
      <c r="A66" s="63">
        <v>50105276</v>
      </c>
      <c r="B66" s="64" t="s">
        <v>959</v>
      </c>
      <c r="C66">
        <v>50097522</v>
      </c>
      <c r="D66" t="s">
        <v>810</v>
      </c>
      <c r="F66" s="63">
        <v>50105276</v>
      </c>
      <c r="G66" s="64" t="s">
        <v>959</v>
      </c>
      <c r="H66" s="66">
        <v>2.82</v>
      </c>
    </row>
    <row r="67" spans="1:8" ht="15">
      <c r="A67" s="63">
        <v>50105491</v>
      </c>
      <c r="B67" s="64" t="s">
        <v>969</v>
      </c>
      <c r="C67">
        <v>50104077</v>
      </c>
      <c r="D67" t="s">
        <v>933</v>
      </c>
      <c r="F67" s="63">
        <v>50105491</v>
      </c>
      <c r="G67" s="64" t="s">
        <v>969</v>
      </c>
      <c r="H67" s="66">
        <v>3.7124999999999999</v>
      </c>
    </row>
    <row r="68" spans="1:8" ht="15">
      <c r="A68" s="63">
        <v>50105492</v>
      </c>
      <c r="B68" s="64" t="s">
        <v>970</v>
      </c>
      <c r="C68">
        <v>50104078</v>
      </c>
      <c r="D68" t="s">
        <v>949</v>
      </c>
      <c r="F68" s="63">
        <v>50105492</v>
      </c>
      <c r="G68" s="64" t="s">
        <v>970</v>
      </c>
      <c r="H68" s="66">
        <v>3.36</v>
      </c>
    </row>
    <row r="69" spans="1:8" ht="15">
      <c r="A69" s="63">
        <v>50105504</v>
      </c>
      <c r="B69" s="64" t="s">
        <v>971</v>
      </c>
      <c r="C69">
        <v>50104078</v>
      </c>
      <c r="D69" t="s">
        <v>949</v>
      </c>
      <c r="F69" s="63">
        <v>50105504</v>
      </c>
      <c r="G69" s="64" t="s">
        <v>971</v>
      </c>
      <c r="H69" s="66">
        <v>0.4032</v>
      </c>
    </row>
    <row r="70" spans="1:8" ht="15">
      <c r="A70" s="63">
        <v>50105505</v>
      </c>
      <c r="B70" s="64" t="s">
        <v>972</v>
      </c>
      <c r="C70">
        <v>50104077</v>
      </c>
      <c r="D70" t="s">
        <v>933</v>
      </c>
      <c r="F70" s="63">
        <v>50105505</v>
      </c>
      <c r="G70" s="64" t="s">
        <v>972</v>
      </c>
      <c r="H70" s="66">
        <v>0.4032</v>
      </c>
    </row>
    <row r="71" spans="1:8" ht="15">
      <c r="A71" s="63">
        <v>50106008</v>
      </c>
      <c r="B71" s="64" t="s">
        <v>979</v>
      </c>
      <c r="C71">
        <v>50104078</v>
      </c>
      <c r="D71" t="s">
        <v>949</v>
      </c>
      <c r="F71" s="63">
        <v>50106008</v>
      </c>
      <c r="G71" s="64" t="s">
        <v>979</v>
      </c>
      <c r="H71" s="66">
        <v>0.40960800000000003</v>
      </c>
    </row>
    <row r="72" spans="1:8" ht="15">
      <c r="A72" s="63">
        <v>50106014</v>
      </c>
      <c r="B72" s="64" t="s">
        <v>980</v>
      </c>
      <c r="C72">
        <v>50104078</v>
      </c>
      <c r="D72" t="s">
        <v>949</v>
      </c>
      <c r="F72" s="63">
        <v>50106014</v>
      </c>
      <c r="G72" s="64" t="s">
        <v>980</v>
      </c>
      <c r="H72" s="66">
        <v>0.432</v>
      </c>
    </row>
    <row r="73" spans="1:8" ht="15">
      <c r="A73" s="63">
        <v>50106015</v>
      </c>
      <c r="B73" s="64" t="s">
        <v>981</v>
      </c>
      <c r="C73">
        <v>50104078</v>
      </c>
      <c r="D73" t="s">
        <v>949</v>
      </c>
      <c r="F73" s="63">
        <v>50106015</v>
      </c>
      <c r="G73" s="64" t="s">
        <v>981</v>
      </c>
      <c r="H73" s="66">
        <v>3.7124999999999999</v>
      </c>
    </row>
    <row r="74" spans="1:8" ht="15">
      <c r="A74" s="63">
        <v>50106016</v>
      </c>
      <c r="B74" s="64" t="s">
        <v>982</v>
      </c>
      <c r="C74">
        <v>50104078</v>
      </c>
      <c r="D74" t="s">
        <v>949</v>
      </c>
      <c r="F74" s="63">
        <v>50106016</v>
      </c>
      <c r="G74" s="64" t="s">
        <v>982</v>
      </c>
      <c r="H74" s="66">
        <v>3.7124999999999999</v>
      </c>
    </row>
    <row r="75" spans="1:8" ht="15">
      <c r="A75" s="63">
        <v>50106997</v>
      </c>
      <c r="B75" s="64" t="s">
        <v>988</v>
      </c>
      <c r="C75">
        <v>50106995</v>
      </c>
      <c r="D75" t="s">
        <v>989</v>
      </c>
      <c r="F75" s="63">
        <v>50106997</v>
      </c>
      <c r="G75" s="64" t="s">
        <v>988</v>
      </c>
      <c r="H75" s="66">
        <v>3.92</v>
      </c>
    </row>
    <row r="76" spans="1:8" ht="15">
      <c r="A76" s="63">
        <v>50106998</v>
      </c>
      <c r="B76" s="64" t="s">
        <v>990</v>
      </c>
      <c r="C76">
        <v>50106995</v>
      </c>
      <c r="D76" t="s">
        <v>989</v>
      </c>
      <c r="F76" s="63">
        <v>50106998</v>
      </c>
      <c r="G76" s="64" t="s">
        <v>990</v>
      </c>
      <c r="H76" s="66">
        <v>6.468</v>
      </c>
    </row>
    <row r="77" spans="1:8" ht="15">
      <c r="A77" s="63">
        <v>50106999</v>
      </c>
      <c r="B77" s="64" t="s">
        <v>991</v>
      </c>
      <c r="C77">
        <v>50106995</v>
      </c>
      <c r="D77" t="s">
        <v>989</v>
      </c>
      <c r="F77" s="63">
        <v>50106999</v>
      </c>
      <c r="G77" s="64" t="s">
        <v>991</v>
      </c>
      <c r="H77" s="66">
        <v>8.9179999999999993</v>
      </c>
    </row>
    <row r="78" spans="1:8" ht="15">
      <c r="A78" s="63">
        <v>50107271</v>
      </c>
      <c r="B78" s="64" t="s">
        <v>996</v>
      </c>
      <c r="C78">
        <v>50097522</v>
      </c>
      <c r="D78" t="s">
        <v>810</v>
      </c>
      <c r="F78" s="63">
        <v>50107271</v>
      </c>
      <c r="G78" s="64" t="s">
        <v>996</v>
      </c>
      <c r="H78" s="66">
        <v>3</v>
      </c>
    </row>
    <row r="79" spans="1:8" ht="15">
      <c r="A79" s="63">
        <v>50107272</v>
      </c>
      <c r="B79" s="64" t="s">
        <v>997</v>
      </c>
      <c r="C79">
        <v>50097522</v>
      </c>
      <c r="D79" t="s">
        <v>810</v>
      </c>
      <c r="F79" s="63">
        <v>50107272</v>
      </c>
      <c r="G79" s="64" t="s">
        <v>997</v>
      </c>
      <c r="H79" s="66">
        <v>3.492</v>
      </c>
    </row>
    <row r="80" spans="1:8" ht="15">
      <c r="A80" s="63">
        <v>50108463</v>
      </c>
      <c r="B80" s="64" t="s">
        <v>1011</v>
      </c>
      <c r="C80">
        <v>50097522</v>
      </c>
      <c r="D80" t="s">
        <v>810</v>
      </c>
      <c r="F80" s="63">
        <v>50108463</v>
      </c>
      <c r="G80" s="64" t="s">
        <v>1011</v>
      </c>
      <c r="H80" s="66">
        <v>3.589</v>
      </c>
    </row>
    <row r="81" spans="1:8" ht="15">
      <c r="A81" s="63">
        <v>50108736</v>
      </c>
      <c r="B81" s="64" t="s">
        <v>1012</v>
      </c>
      <c r="C81">
        <v>50104078</v>
      </c>
      <c r="D81" t="s">
        <v>949</v>
      </c>
      <c r="F81" s="63">
        <v>50108736</v>
      </c>
      <c r="G81" s="64" t="s">
        <v>1012</v>
      </c>
      <c r="H81" s="66">
        <v>0.432</v>
      </c>
    </row>
    <row r="82" spans="1:8" ht="15">
      <c r="A82" s="63">
        <v>50108817</v>
      </c>
      <c r="B82" s="64" t="s">
        <v>1013</v>
      </c>
      <c r="C82">
        <v>50082220</v>
      </c>
      <c r="D82" t="s">
        <v>666</v>
      </c>
      <c r="F82" s="63">
        <v>50108817</v>
      </c>
      <c r="G82" s="64" t="s">
        <v>1013</v>
      </c>
      <c r="H82" s="66">
        <v>0.38</v>
      </c>
    </row>
    <row r="83" spans="1:8" ht="15">
      <c r="A83" s="63">
        <v>50108818</v>
      </c>
      <c r="B83" s="64" t="s">
        <v>1014</v>
      </c>
      <c r="C83">
        <v>50082220</v>
      </c>
      <c r="D83" t="s">
        <v>666</v>
      </c>
      <c r="F83" s="63">
        <v>50108818</v>
      </c>
      <c r="G83" s="64" t="s">
        <v>1014</v>
      </c>
      <c r="H83" s="66">
        <v>0.56000000000000005</v>
      </c>
    </row>
    <row r="84" spans="1:8" ht="15">
      <c r="A84" s="63">
        <v>50108819</v>
      </c>
      <c r="B84" s="64" t="s">
        <v>1015</v>
      </c>
      <c r="C84">
        <v>50110661</v>
      </c>
      <c r="D84" t="s">
        <v>1016</v>
      </c>
      <c r="F84" s="63">
        <v>50108819</v>
      </c>
      <c r="G84" s="64" t="s">
        <v>1015</v>
      </c>
      <c r="H84" s="66">
        <v>1.649</v>
      </c>
    </row>
    <row r="85" spans="1:8" ht="15">
      <c r="A85" s="63">
        <v>50108820</v>
      </c>
      <c r="B85" s="64" t="s">
        <v>1017</v>
      </c>
      <c r="C85">
        <v>50104077</v>
      </c>
      <c r="D85" t="s">
        <v>933</v>
      </c>
      <c r="F85" s="63">
        <v>50108820</v>
      </c>
      <c r="G85" s="64" t="s">
        <v>1017</v>
      </c>
      <c r="H85" s="66">
        <v>8.3420000000000005</v>
      </c>
    </row>
    <row r="86" spans="1:8" ht="15">
      <c r="A86" s="63">
        <v>50108821</v>
      </c>
      <c r="B86" s="64" t="s">
        <v>1018</v>
      </c>
      <c r="C86">
        <v>50104077</v>
      </c>
      <c r="D86" t="s">
        <v>933</v>
      </c>
      <c r="F86" s="63">
        <v>50108821</v>
      </c>
      <c r="G86" s="64" t="s">
        <v>1018</v>
      </c>
      <c r="H86" s="66">
        <v>13.968</v>
      </c>
    </row>
    <row r="87" spans="1:8" ht="15">
      <c r="A87" s="63">
        <v>50108824</v>
      </c>
      <c r="B87" s="64" t="s">
        <v>1019</v>
      </c>
      <c r="C87">
        <v>50104077</v>
      </c>
      <c r="D87" t="s">
        <v>933</v>
      </c>
      <c r="F87" s="63">
        <v>50108824</v>
      </c>
      <c r="G87" s="64" t="s">
        <v>1019</v>
      </c>
      <c r="H87" s="66">
        <v>6.4020000000000001</v>
      </c>
    </row>
    <row r="88" spans="1:8" ht="15">
      <c r="A88" s="63">
        <v>50108825</v>
      </c>
      <c r="B88" s="64" t="s">
        <v>1020</v>
      </c>
      <c r="C88">
        <v>50104077</v>
      </c>
      <c r="D88" t="s">
        <v>933</v>
      </c>
      <c r="F88" s="63">
        <v>50108825</v>
      </c>
      <c r="G88" s="64" t="s">
        <v>1020</v>
      </c>
      <c r="H88" s="66">
        <v>5.2380000000000004</v>
      </c>
    </row>
    <row r="89" spans="1:8" ht="15">
      <c r="A89" s="63">
        <v>50108827</v>
      </c>
      <c r="B89" s="64" t="s">
        <v>1021</v>
      </c>
      <c r="C89">
        <v>50081655</v>
      </c>
      <c r="D89" t="s">
        <v>1022</v>
      </c>
      <c r="F89" s="63">
        <v>50108827</v>
      </c>
      <c r="G89" s="64" t="s">
        <v>1021</v>
      </c>
      <c r="H89" s="66">
        <v>0.15</v>
      </c>
    </row>
    <row r="90" spans="1:8" ht="15">
      <c r="A90" s="63">
        <v>50108932</v>
      </c>
      <c r="B90" s="64" t="s">
        <v>1034</v>
      </c>
      <c r="C90">
        <v>50104077</v>
      </c>
      <c r="D90" t="s">
        <v>933</v>
      </c>
      <c r="F90" s="63">
        <v>50108932</v>
      </c>
      <c r="G90" s="64" t="s">
        <v>1034</v>
      </c>
      <c r="H90" s="66">
        <v>0.432</v>
      </c>
    </row>
    <row r="91" spans="1:8" ht="15">
      <c r="A91" s="63">
        <v>50108936</v>
      </c>
      <c r="B91" s="64" t="s">
        <v>1035</v>
      </c>
      <c r="C91">
        <v>50104077</v>
      </c>
      <c r="D91" t="s">
        <v>933</v>
      </c>
      <c r="F91" s="63">
        <v>50108936</v>
      </c>
      <c r="G91" s="64" t="s">
        <v>1035</v>
      </c>
      <c r="H91" s="66">
        <v>3.36</v>
      </c>
    </row>
    <row r="92" spans="1:8" ht="15">
      <c r="A92" s="63">
        <v>50109035</v>
      </c>
      <c r="B92" s="64" t="s">
        <v>1039</v>
      </c>
      <c r="C92">
        <v>50097522</v>
      </c>
      <c r="D92" t="s">
        <v>810</v>
      </c>
      <c r="F92" s="63">
        <v>50109035</v>
      </c>
      <c r="G92" s="64" t="s">
        <v>1039</v>
      </c>
      <c r="H92" s="66">
        <v>4.4160000000000004</v>
      </c>
    </row>
    <row r="93" spans="1:8" ht="15">
      <c r="A93" s="63">
        <v>50109036</v>
      </c>
      <c r="B93" s="64" t="s">
        <v>1040</v>
      </c>
      <c r="C93">
        <v>50097522</v>
      </c>
      <c r="D93" t="s">
        <v>810</v>
      </c>
      <c r="F93" s="63">
        <v>50109036</v>
      </c>
      <c r="G93" s="64" t="s">
        <v>1040</v>
      </c>
      <c r="H93" s="66">
        <v>3.6480000000000001</v>
      </c>
    </row>
    <row r="94" spans="1:8" ht="15">
      <c r="A94" s="63">
        <v>50109037</v>
      </c>
      <c r="B94" s="64" t="s">
        <v>1041</v>
      </c>
      <c r="C94">
        <v>50097522</v>
      </c>
      <c r="D94" t="s">
        <v>810</v>
      </c>
      <c r="F94" s="63">
        <v>50109037</v>
      </c>
      <c r="G94" s="64" t="s">
        <v>1041</v>
      </c>
      <c r="H94" s="66">
        <v>0.72</v>
      </c>
    </row>
    <row r="95" spans="1:8" ht="15">
      <c r="A95" s="63">
        <v>50109038</v>
      </c>
      <c r="B95" s="64" t="s">
        <v>1042</v>
      </c>
      <c r="C95">
        <v>50106995</v>
      </c>
      <c r="D95" t="s">
        <v>989</v>
      </c>
      <c r="F95" s="63">
        <v>50109038</v>
      </c>
      <c r="G95" s="64" t="s">
        <v>1042</v>
      </c>
      <c r="H95" s="66">
        <v>0.432</v>
      </c>
    </row>
    <row r="96" spans="1:8" ht="15">
      <c r="A96" s="63">
        <v>50109039</v>
      </c>
      <c r="B96" s="64" t="s">
        <v>1043</v>
      </c>
      <c r="C96">
        <v>50097522</v>
      </c>
      <c r="D96" t="s">
        <v>810</v>
      </c>
      <c r="F96" s="63">
        <v>50109039</v>
      </c>
      <c r="G96" s="64" t="s">
        <v>1043</v>
      </c>
      <c r="H96" s="66">
        <v>3.36</v>
      </c>
    </row>
    <row r="97" spans="1:8" ht="15">
      <c r="A97" s="63">
        <v>50109410</v>
      </c>
      <c r="B97" s="64" t="s">
        <v>1045</v>
      </c>
      <c r="C97">
        <v>50097522</v>
      </c>
      <c r="D97" t="s">
        <v>810</v>
      </c>
      <c r="F97" s="63">
        <v>50109410</v>
      </c>
      <c r="G97" s="64" t="s">
        <v>1045</v>
      </c>
      <c r="H97" s="66">
        <v>2.82</v>
      </c>
    </row>
    <row r="98" spans="1:8" ht="15">
      <c r="A98" s="63">
        <v>50109411</v>
      </c>
      <c r="B98" s="64" t="s">
        <v>1046</v>
      </c>
      <c r="C98">
        <v>50097522</v>
      </c>
      <c r="D98" t="s">
        <v>810</v>
      </c>
      <c r="F98" s="63">
        <v>50109411</v>
      </c>
      <c r="G98" s="64" t="s">
        <v>1046</v>
      </c>
      <c r="H98" s="66">
        <v>2.82</v>
      </c>
    </row>
    <row r="99" spans="1:8" ht="15">
      <c r="A99" s="63">
        <v>50109444</v>
      </c>
      <c r="B99" s="64" t="s">
        <v>1047</v>
      </c>
      <c r="C99">
        <v>50097522</v>
      </c>
      <c r="D99" t="s">
        <v>810</v>
      </c>
      <c r="F99" s="63">
        <v>50109444</v>
      </c>
      <c r="G99" s="64" t="s">
        <v>1047</v>
      </c>
      <c r="H99" s="66">
        <v>2.8726739999999999</v>
      </c>
    </row>
    <row r="100" spans="1:8" ht="15">
      <c r="A100" s="63">
        <v>50109445</v>
      </c>
      <c r="B100" s="64" t="s">
        <v>1048</v>
      </c>
      <c r="C100">
        <v>50097522</v>
      </c>
      <c r="D100" t="s">
        <v>810</v>
      </c>
      <c r="F100" s="63">
        <v>50109445</v>
      </c>
      <c r="G100" s="64" t="s">
        <v>1048</v>
      </c>
      <c r="H100" s="66">
        <v>3.4724339999999998</v>
      </c>
    </row>
    <row r="101" spans="1:8" ht="15">
      <c r="A101" s="63">
        <v>50109446</v>
      </c>
      <c r="B101" s="64" t="s">
        <v>1049</v>
      </c>
      <c r="C101">
        <v>50097522</v>
      </c>
      <c r="D101" t="s">
        <v>810</v>
      </c>
      <c r="F101" s="63">
        <v>50109446</v>
      </c>
      <c r="G101" s="64" t="s">
        <v>1049</v>
      </c>
      <c r="H101" s="66">
        <v>3.921862</v>
      </c>
    </row>
    <row r="102" spans="1:8" ht="15">
      <c r="A102" s="63">
        <v>50109709</v>
      </c>
      <c r="B102" s="64" t="s">
        <v>1011</v>
      </c>
      <c r="C102">
        <v>50097522</v>
      </c>
      <c r="D102" t="s">
        <v>810</v>
      </c>
      <c r="F102" s="63">
        <v>50109709</v>
      </c>
      <c r="G102" s="64" t="s">
        <v>1011</v>
      </c>
      <c r="H102" s="66">
        <v>3.589</v>
      </c>
    </row>
    <row r="103" spans="1:8" ht="15">
      <c r="A103" s="63">
        <v>50109941</v>
      </c>
      <c r="B103" s="64" t="s">
        <v>1050</v>
      </c>
      <c r="C103">
        <v>50082181</v>
      </c>
      <c r="D103" t="s">
        <v>566</v>
      </c>
      <c r="F103" s="63">
        <v>50109941</v>
      </c>
      <c r="G103" s="64" t="s">
        <v>1050</v>
      </c>
      <c r="H103" s="66">
        <v>3.4724339999999998</v>
      </c>
    </row>
    <row r="104" spans="1:8" ht="15">
      <c r="A104" s="63">
        <v>50109942</v>
      </c>
      <c r="B104" s="64" t="s">
        <v>1051</v>
      </c>
      <c r="C104">
        <v>50082181</v>
      </c>
      <c r="D104" t="s">
        <v>566</v>
      </c>
      <c r="F104" s="63">
        <v>50109942</v>
      </c>
      <c r="G104" s="64" t="s">
        <v>1051</v>
      </c>
      <c r="H104" s="66">
        <v>3.921862</v>
      </c>
    </row>
    <row r="105" spans="1:8" ht="15">
      <c r="A105" s="63">
        <v>50110020</v>
      </c>
      <c r="B105" s="64" t="s">
        <v>1052</v>
      </c>
      <c r="C105">
        <v>50082181</v>
      </c>
      <c r="D105" t="s">
        <v>566</v>
      </c>
      <c r="F105" s="63">
        <v>50110020</v>
      </c>
      <c r="G105" s="64" t="s">
        <v>1052</v>
      </c>
      <c r="H105" s="66">
        <v>3.589</v>
      </c>
    </row>
    <row r="106" spans="1:8" ht="15">
      <c r="A106" s="63">
        <v>50111588</v>
      </c>
      <c r="B106" s="64" t="s">
        <v>1098</v>
      </c>
      <c r="C106">
        <v>50104078</v>
      </c>
      <c r="D106" t="s">
        <v>949</v>
      </c>
      <c r="F106" s="63">
        <v>50111588</v>
      </c>
      <c r="G106" s="64" t="s">
        <v>1098</v>
      </c>
      <c r="H106" s="66">
        <v>0.41814200000000001</v>
      </c>
    </row>
    <row r="107" spans="1:8" ht="15">
      <c r="A107" s="63">
        <v>50111589</v>
      </c>
      <c r="B107" s="64" t="s">
        <v>1099</v>
      </c>
      <c r="C107">
        <v>50104078</v>
      </c>
      <c r="D107" t="s">
        <v>949</v>
      </c>
      <c r="F107" s="63">
        <v>50111589</v>
      </c>
      <c r="G107" s="64" t="s">
        <v>1099</v>
      </c>
      <c r="H107" s="66">
        <v>3.395</v>
      </c>
    </row>
    <row r="108" spans="1:8" ht="15">
      <c r="A108" s="63">
        <v>50112093</v>
      </c>
      <c r="B108" s="64" t="s">
        <v>1120</v>
      </c>
      <c r="C108">
        <v>50097522</v>
      </c>
      <c r="D108" t="s">
        <v>810</v>
      </c>
      <c r="F108" s="63">
        <v>50112093</v>
      </c>
      <c r="G108" s="64" t="s">
        <v>1120</v>
      </c>
      <c r="H108" s="66">
        <v>3.4724339999999998</v>
      </c>
    </row>
    <row r="109" spans="1:8" ht="15">
      <c r="A109" s="63">
        <v>50112108</v>
      </c>
      <c r="B109" s="64" t="s">
        <v>1121</v>
      </c>
      <c r="C109">
        <v>50104078</v>
      </c>
      <c r="D109" t="s">
        <v>949</v>
      </c>
      <c r="F109" s="63">
        <v>50112108</v>
      </c>
      <c r="G109" s="64" t="s">
        <v>1121</v>
      </c>
      <c r="H109" s="66">
        <v>3.36</v>
      </c>
    </row>
    <row r="110" spans="1:8" ht="15">
      <c r="A110" s="63">
        <v>50112109</v>
      </c>
      <c r="B110" s="64" t="s">
        <v>1122</v>
      </c>
      <c r="C110">
        <v>50104078</v>
      </c>
      <c r="D110" t="s">
        <v>949</v>
      </c>
      <c r="F110" s="63">
        <v>50112109</v>
      </c>
      <c r="G110" s="64" t="s">
        <v>1122</v>
      </c>
      <c r="H110" s="66">
        <v>3.36</v>
      </c>
    </row>
    <row r="111" spans="1:8" ht="15">
      <c r="A111" s="63">
        <v>50112765</v>
      </c>
      <c r="B111" s="64" t="s">
        <v>1137</v>
      </c>
      <c r="C111">
        <v>50104077</v>
      </c>
      <c r="D111" t="s">
        <v>933</v>
      </c>
      <c r="F111" s="63">
        <v>50112765</v>
      </c>
      <c r="G111" s="64" t="s">
        <v>1137</v>
      </c>
      <c r="H111" s="66">
        <v>3.552</v>
      </c>
    </row>
    <row r="112" spans="1:8" ht="15">
      <c r="A112" s="63">
        <v>50112768</v>
      </c>
      <c r="B112" s="64" t="s">
        <v>1138</v>
      </c>
      <c r="C112">
        <v>50104078</v>
      </c>
      <c r="D112" t="s">
        <v>949</v>
      </c>
      <c r="F112" s="63">
        <v>50112768</v>
      </c>
      <c r="G112" s="64" t="s">
        <v>1138</v>
      </c>
      <c r="H112" s="66">
        <v>3.5</v>
      </c>
    </row>
    <row r="113" spans="1:8" ht="15">
      <c r="A113" s="63">
        <v>50112993</v>
      </c>
      <c r="B113" s="64" t="s">
        <v>1145</v>
      </c>
      <c r="C113">
        <v>50082220</v>
      </c>
      <c r="D113" t="s">
        <v>666</v>
      </c>
      <c r="F113" s="63">
        <v>50112993</v>
      </c>
      <c r="G113" s="64" t="s">
        <v>1145</v>
      </c>
      <c r="H113" s="66">
        <v>2.2999999999999998</v>
      </c>
    </row>
    <row r="114" spans="1:8" ht="15">
      <c r="A114" s="63">
        <v>50113438</v>
      </c>
      <c r="B114" s="64" t="s">
        <v>1162</v>
      </c>
      <c r="C114">
        <v>50110661</v>
      </c>
      <c r="D114" t="s">
        <v>1016</v>
      </c>
      <c r="F114" s="63">
        <v>50113438</v>
      </c>
      <c r="G114" s="64" t="s">
        <v>1162</v>
      </c>
      <c r="H114" s="66">
        <v>2.0369999999999999</v>
      </c>
    </row>
    <row r="115" spans="1:8" ht="15">
      <c r="A115" s="63">
        <v>50113439</v>
      </c>
      <c r="B115" s="64" t="s">
        <v>1163</v>
      </c>
      <c r="C115">
        <v>50082220</v>
      </c>
      <c r="D115" t="s">
        <v>666</v>
      </c>
      <c r="F115" s="63">
        <v>50113439</v>
      </c>
      <c r="G115" s="64" t="s">
        <v>1163</v>
      </c>
      <c r="H115" s="66">
        <v>1.5</v>
      </c>
    </row>
    <row r="116" spans="1:8" ht="15">
      <c r="A116" s="63">
        <v>50113441</v>
      </c>
      <c r="B116" s="64" t="s">
        <v>1164</v>
      </c>
      <c r="C116">
        <v>50082220</v>
      </c>
      <c r="D116" t="s">
        <v>666</v>
      </c>
      <c r="F116" s="63">
        <v>50113441</v>
      </c>
      <c r="G116" s="64" t="s">
        <v>1164</v>
      </c>
      <c r="H116" s="66">
        <v>0.71</v>
      </c>
    </row>
    <row r="117" spans="1:8" ht="15">
      <c r="A117" s="63">
        <v>50113467</v>
      </c>
      <c r="B117" s="64" t="s">
        <v>1165</v>
      </c>
      <c r="C117">
        <v>50097522</v>
      </c>
      <c r="D117" t="s">
        <v>810</v>
      </c>
      <c r="F117" s="63">
        <v>50113467</v>
      </c>
      <c r="G117" s="64" t="s">
        <v>1165</v>
      </c>
      <c r="H117" s="66">
        <v>3.9769999999999999</v>
      </c>
    </row>
    <row r="118" spans="1:8" ht="15">
      <c r="A118" s="63">
        <v>50113468</v>
      </c>
      <c r="B118" s="64" t="s">
        <v>1166</v>
      </c>
      <c r="C118">
        <v>50097522</v>
      </c>
      <c r="D118" t="s">
        <v>810</v>
      </c>
      <c r="F118" s="63">
        <v>50113468</v>
      </c>
      <c r="G118" s="64" t="s">
        <v>1166</v>
      </c>
      <c r="H118" s="66">
        <v>3.492</v>
      </c>
    </row>
    <row r="119" spans="1:8" ht="15">
      <c r="A119" s="65">
        <v>50114082</v>
      </c>
      <c r="B119" s="64" t="s">
        <v>1190</v>
      </c>
      <c r="C119">
        <v>50113465</v>
      </c>
      <c r="D119" t="s">
        <v>1191</v>
      </c>
      <c r="F119" s="65">
        <v>50114082</v>
      </c>
      <c r="G119" s="64" t="s">
        <v>1190</v>
      </c>
      <c r="H119" s="66">
        <v>3.8025000000000002</v>
      </c>
    </row>
    <row r="120" spans="1:8" ht="15">
      <c r="A120" s="63">
        <v>50114082</v>
      </c>
      <c r="B120" s="64" t="s">
        <v>1190</v>
      </c>
      <c r="C120">
        <v>50113466</v>
      </c>
      <c r="D120" t="s">
        <v>1192</v>
      </c>
      <c r="F120" s="63">
        <v>50114082</v>
      </c>
      <c r="G120" s="64" t="s">
        <v>1190</v>
      </c>
      <c r="H120" s="66">
        <v>0.5625</v>
      </c>
    </row>
    <row r="121" spans="1:8" ht="15">
      <c r="A121" s="63">
        <v>50114102</v>
      </c>
      <c r="B121" s="64" t="s">
        <v>1195</v>
      </c>
      <c r="C121">
        <v>50104077</v>
      </c>
      <c r="D121" t="s">
        <v>933</v>
      </c>
      <c r="F121" s="63">
        <v>50114102</v>
      </c>
      <c r="G121" s="64" t="s">
        <v>1195</v>
      </c>
      <c r="H121" s="66">
        <v>8.3420000000000005</v>
      </c>
    </row>
    <row r="122" spans="1:8" ht="15">
      <c r="A122" s="63">
        <v>50114103</v>
      </c>
      <c r="B122" s="64" t="s">
        <v>1196</v>
      </c>
      <c r="C122">
        <v>50104077</v>
      </c>
      <c r="D122" t="s">
        <v>933</v>
      </c>
      <c r="F122" s="63">
        <v>50114103</v>
      </c>
      <c r="G122" s="64" t="s">
        <v>1196</v>
      </c>
      <c r="H122" s="66">
        <v>8.2449999999999992</v>
      </c>
    </row>
    <row r="123" spans="1:8" ht="15">
      <c r="A123" s="63">
        <v>50114104</v>
      </c>
      <c r="B123" s="64" t="s">
        <v>1197</v>
      </c>
      <c r="C123">
        <v>50104077</v>
      </c>
      <c r="D123" t="s">
        <v>933</v>
      </c>
      <c r="F123" s="63">
        <v>50114104</v>
      </c>
      <c r="G123" s="64" t="s">
        <v>1197</v>
      </c>
      <c r="H123" s="66">
        <v>8.2449999999999992</v>
      </c>
    </row>
    <row r="124" spans="1:8" ht="15">
      <c r="A124" s="63">
        <v>50114111</v>
      </c>
      <c r="B124" s="64" t="s">
        <v>1199</v>
      </c>
      <c r="C124">
        <v>50082181</v>
      </c>
      <c r="D124" t="s">
        <v>566</v>
      </c>
      <c r="F124" s="63">
        <v>50114111</v>
      </c>
      <c r="G124" s="64" t="s">
        <v>1199</v>
      </c>
      <c r="H124" s="66">
        <v>3.06</v>
      </c>
    </row>
    <row r="125" spans="1:8" ht="15">
      <c r="A125" s="63">
        <v>50114165</v>
      </c>
      <c r="B125" s="64" t="s">
        <v>1204</v>
      </c>
      <c r="C125">
        <v>50082220</v>
      </c>
      <c r="D125" t="s">
        <v>666</v>
      </c>
      <c r="F125" s="63">
        <v>50114165</v>
      </c>
      <c r="G125" s="64" t="s">
        <v>1204</v>
      </c>
      <c r="H125" s="66">
        <v>3.22</v>
      </c>
    </row>
    <row r="126" spans="1:8" ht="15">
      <c r="A126" s="63">
        <v>50114186</v>
      </c>
      <c r="B126" s="64" t="s">
        <v>1205</v>
      </c>
      <c r="C126">
        <v>50113127</v>
      </c>
      <c r="D126" t="s">
        <v>1206</v>
      </c>
      <c r="F126" s="63">
        <v>50114186</v>
      </c>
      <c r="G126" s="64" t="s">
        <v>1205</v>
      </c>
      <c r="H126" s="66">
        <v>3.4380000000000002</v>
      </c>
    </row>
    <row r="127" spans="1:8" ht="15">
      <c r="A127" s="63">
        <v>50114188</v>
      </c>
      <c r="B127" s="64" t="s">
        <v>1207</v>
      </c>
      <c r="C127">
        <v>50097522</v>
      </c>
      <c r="D127" t="s">
        <v>810</v>
      </c>
      <c r="F127" s="63">
        <v>50114188</v>
      </c>
      <c r="G127" s="64" t="s">
        <v>1207</v>
      </c>
      <c r="H127" s="66">
        <v>2.6</v>
      </c>
    </row>
    <row r="128" spans="1:8" ht="15">
      <c r="A128" s="63">
        <v>50114676</v>
      </c>
      <c r="B128" s="64" t="s">
        <v>1228</v>
      </c>
      <c r="C128">
        <v>50103359</v>
      </c>
      <c r="D128" t="s">
        <v>925</v>
      </c>
      <c r="F128" s="63">
        <v>50114676</v>
      </c>
      <c r="G128" s="64" t="s">
        <v>1228</v>
      </c>
      <c r="H128" s="66">
        <v>6.15</v>
      </c>
    </row>
    <row r="129" spans="1:8" ht="15">
      <c r="A129" s="63">
        <v>50114684</v>
      </c>
      <c r="B129" s="64" t="s">
        <v>1230</v>
      </c>
      <c r="C129">
        <v>50082220</v>
      </c>
      <c r="D129" t="s">
        <v>666</v>
      </c>
      <c r="F129" s="63">
        <v>50114684</v>
      </c>
      <c r="G129" s="64" t="s">
        <v>1230</v>
      </c>
      <c r="H129" s="66">
        <v>0.76439999999999997</v>
      </c>
    </row>
    <row r="130" spans="1:8" ht="15">
      <c r="A130" s="63">
        <v>50114691</v>
      </c>
      <c r="B130" s="64" t="s">
        <v>1232</v>
      </c>
      <c r="C130">
        <v>50104077</v>
      </c>
      <c r="D130" t="s">
        <v>933</v>
      </c>
      <c r="F130" s="63">
        <v>50114691</v>
      </c>
      <c r="G130" s="64" t="s">
        <v>1232</v>
      </c>
      <c r="H130" s="66">
        <v>5.2380000000000004</v>
      </c>
    </row>
    <row r="131" spans="1:8" ht="15">
      <c r="A131" s="63">
        <v>50114692</v>
      </c>
      <c r="B131" s="64" t="s">
        <v>1233</v>
      </c>
      <c r="C131">
        <v>50104077</v>
      </c>
      <c r="D131" t="s">
        <v>933</v>
      </c>
      <c r="F131" s="63">
        <v>50114692</v>
      </c>
      <c r="G131" s="64" t="s">
        <v>1233</v>
      </c>
      <c r="H131" s="66">
        <v>5.2380000000000004</v>
      </c>
    </row>
    <row r="132" spans="1:8" ht="15">
      <c r="A132" s="63">
        <v>50114693</v>
      </c>
      <c r="B132" s="64" t="s">
        <v>1234</v>
      </c>
      <c r="C132">
        <v>50104077</v>
      </c>
      <c r="D132" t="s">
        <v>933</v>
      </c>
      <c r="F132" s="63">
        <v>50114693</v>
      </c>
      <c r="G132" s="64" t="s">
        <v>1234</v>
      </c>
      <c r="H132" s="66">
        <v>5.2380000000000004</v>
      </c>
    </row>
    <row r="133" spans="1:8" ht="15">
      <c r="A133" s="63">
        <v>50114695</v>
      </c>
      <c r="B133" s="64" t="s">
        <v>1235</v>
      </c>
      <c r="C133">
        <v>50104077</v>
      </c>
      <c r="D133" t="s">
        <v>933</v>
      </c>
      <c r="F133" s="63">
        <v>50114695</v>
      </c>
      <c r="G133" s="64" t="s">
        <v>1235</v>
      </c>
      <c r="H133" s="66">
        <v>5.2380000000000004</v>
      </c>
    </row>
    <row r="134" spans="1:8" ht="15">
      <c r="A134" s="63">
        <v>50114696</v>
      </c>
      <c r="B134" s="64" t="s">
        <v>1236</v>
      </c>
      <c r="C134">
        <v>50104078</v>
      </c>
      <c r="D134" t="s">
        <v>949</v>
      </c>
      <c r="F134" s="63">
        <v>50114696</v>
      </c>
      <c r="G134" s="64" t="s">
        <v>1236</v>
      </c>
      <c r="H134" s="66">
        <v>5.2380000000000004</v>
      </c>
    </row>
    <row r="135" spans="1:8" ht="15">
      <c r="A135" s="63">
        <v>50114697</v>
      </c>
      <c r="B135" s="64" t="s">
        <v>1237</v>
      </c>
      <c r="C135">
        <v>50104077</v>
      </c>
      <c r="D135" t="s">
        <v>933</v>
      </c>
      <c r="F135" s="63">
        <v>50114697</v>
      </c>
      <c r="G135" s="64" t="s">
        <v>1237</v>
      </c>
      <c r="H135" s="66">
        <v>5.2380000000000004</v>
      </c>
    </row>
    <row r="136" spans="1:8" ht="15">
      <c r="A136" s="63">
        <v>50114698</v>
      </c>
      <c r="B136" s="64" t="s">
        <v>1238</v>
      </c>
      <c r="C136">
        <v>50104077</v>
      </c>
      <c r="D136" t="s">
        <v>933</v>
      </c>
      <c r="F136" s="63">
        <v>50114698</v>
      </c>
      <c r="G136" s="64" t="s">
        <v>1238</v>
      </c>
      <c r="H136" s="66">
        <v>5.2380000000000004</v>
      </c>
    </row>
    <row r="137" spans="1:8" ht="15">
      <c r="A137" s="63">
        <v>50114699</v>
      </c>
      <c r="B137" s="64" t="s">
        <v>1239</v>
      </c>
      <c r="C137">
        <v>50104077</v>
      </c>
      <c r="D137" t="s">
        <v>933</v>
      </c>
      <c r="F137" s="63">
        <v>50114699</v>
      </c>
      <c r="G137" s="64" t="s">
        <v>1239</v>
      </c>
      <c r="H137" s="66">
        <v>5.2380000000000004</v>
      </c>
    </row>
    <row r="138" spans="1:8" ht="15">
      <c r="A138" s="63">
        <v>50114700</v>
      </c>
      <c r="B138" s="64" t="s">
        <v>1240</v>
      </c>
      <c r="C138">
        <v>50104077</v>
      </c>
      <c r="D138" t="s">
        <v>933</v>
      </c>
      <c r="F138" s="63">
        <v>50114700</v>
      </c>
      <c r="G138" s="64" t="s">
        <v>1240</v>
      </c>
      <c r="H138" s="66">
        <v>5.2380000000000004</v>
      </c>
    </row>
    <row r="139" spans="1:8" ht="15">
      <c r="A139" s="63">
        <v>50114701</v>
      </c>
      <c r="B139" s="64" t="s">
        <v>1241</v>
      </c>
      <c r="C139">
        <v>50104077</v>
      </c>
      <c r="D139" t="s">
        <v>933</v>
      </c>
      <c r="F139" s="63">
        <v>50114701</v>
      </c>
      <c r="G139" s="64" t="s">
        <v>1241</v>
      </c>
      <c r="H139" s="66">
        <v>5.2380000000000004</v>
      </c>
    </row>
    <row r="140" spans="1:8" ht="15">
      <c r="A140" s="63">
        <v>50114887</v>
      </c>
      <c r="B140" s="64" t="s">
        <v>1245</v>
      </c>
      <c r="C140">
        <v>50110661</v>
      </c>
      <c r="D140" t="s">
        <v>1016</v>
      </c>
      <c r="F140" s="63">
        <v>50114887</v>
      </c>
      <c r="G140" s="64" t="s">
        <v>1245</v>
      </c>
      <c r="H140" s="66">
        <v>2.0369999999999999</v>
      </c>
    </row>
    <row r="141" spans="1:8" ht="15">
      <c r="A141" s="63">
        <v>50114928</v>
      </c>
      <c r="B141" s="64" t="s">
        <v>1248</v>
      </c>
      <c r="C141">
        <v>50097522</v>
      </c>
      <c r="D141" t="s">
        <v>810</v>
      </c>
      <c r="F141" s="63">
        <v>50114928</v>
      </c>
      <c r="G141" s="64" t="s">
        <v>1248</v>
      </c>
      <c r="H141" s="66">
        <v>3.921862</v>
      </c>
    </row>
    <row r="142" spans="1:8" ht="15">
      <c r="A142" s="63">
        <v>50115088</v>
      </c>
      <c r="B142" s="64" t="s">
        <v>1250</v>
      </c>
      <c r="C142">
        <v>50104077</v>
      </c>
      <c r="D142" t="s">
        <v>933</v>
      </c>
      <c r="F142" s="63">
        <v>50115088</v>
      </c>
      <c r="G142" s="64" t="s">
        <v>1250</v>
      </c>
      <c r="H142" s="66">
        <v>3.552</v>
      </c>
    </row>
    <row r="143" spans="1:8" ht="15">
      <c r="A143" s="63">
        <v>50115408</v>
      </c>
      <c r="B143" s="64" t="s">
        <v>1254</v>
      </c>
      <c r="C143">
        <v>50104078</v>
      </c>
      <c r="D143" t="s">
        <v>949</v>
      </c>
      <c r="F143" s="63">
        <v>50115408</v>
      </c>
      <c r="G143" s="64" t="s">
        <v>1254</v>
      </c>
      <c r="H143" s="66">
        <v>3.36</v>
      </c>
    </row>
    <row r="144" spans="1:8" ht="15">
      <c r="A144" s="63">
        <v>50115468</v>
      </c>
      <c r="B144" s="64" t="s">
        <v>1261</v>
      </c>
      <c r="C144">
        <v>50104077</v>
      </c>
      <c r="D144" t="s">
        <v>933</v>
      </c>
      <c r="F144" s="63">
        <v>50115468</v>
      </c>
      <c r="G144" s="64" t="s">
        <v>1261</v>
      </c>
      <c r="H144" s="66">
        <v>13.968</v>
      </c>
    </row>
    <row r="145" spans="1:8" ht="15">
      <c r="A145" s="63">
        <v>50115470</v>
      </c>
      <c r="B145" s="64" t="s">
        <v>1262</v>
      </c>
      <c r="C145">
        <v>50110661</v>
      </c>
      <c r="D145" t="s">
        <v>1016</v>
      </c>
      <c r="F145" s="63">
        <v>50115470</v>
      </c>
      <c r="G145" s="64" t="s">
        <v>1262</v>
      </c>
      <c r="H145" s="66">
        <v>2.0369999999999999</v>
      </c>
    </row>
    <row r="146" spans="1:8" ht="15">
      <c r="A146" s="63">
        <v>50115471</v>
      </c>
      <c r="B146" s="64" t="s">
        <v>1263</v>
      </c>
      <c r="C146">
        <v>50110661</v>
      </c>
      <c r="D146" t="s">
        <v>1016</v>
      </c>
      <c r="F146" s="63">
        <v>50115471</v>
      </c>
      <c r="G146" s="64" t="s">
        <v>1263</v>
      </c>
      <c r="H146" s="66">
        <v>1.649</v>
      </c>
    </row>
    <row r="147" spans="1:8" ht="15">
      <c r="A147" s="63">
        <v>50115517</v>
      </c>
      <c r="B147" s="64" t="s">
        <v>1268</v>
      </c>
      <c r="C147">
        <v>50104077</v>
      </c>
      <c r="D147" t="s">
        <v>933</v>
      </c>
      <c r="F147" s="63">
        <v>50115517</v>
      </c>
      <c r="G147" s="64" t="s">
        <v>1268</v>
      </c>
      <c r="H147" s="66">
        <v>13.968</v>
      </c>
    </row>
    <row r="148" spans="1:8" ht="15">
      <c r="A148" s="63">
        <v>50115543</v>
      </c>
      <c r="B148" s="64" t="s">
        <v>1269</v>
      </c>
      <c r="C148">
        <v>50110661</v>
      </c>
      <c r="D148" t="s">
        <v>1016</v>
      </c>
      <c r="F148" s="63">
        <v>50115543</v>
      </c>
      <c r="G148" s="64" t="s">
        <v>1269</v>
      </c>
      <c r="H148" s="66">
        <v>4.0768000000000004</v>
      </c>
    </row>
    <row r="149" spans="1:8" ht="15">
      <c r="A149" s="63">
        <v>50115544</v>
      </c>
      <c r="B149" s="64" t="s">
        <v>1270</v>
      </c>
      <c r="C149">
        <v>50110661</v>
      </c>
      <c r="D149" t="s">
        <v>1016</v>
      </c>
      <c r="F149" s="63">
        <v>50115544</v>
      </c>
      <c r="G149" s="64" t="s">
        <v>1270</v>
      </c>
      <c r="H149" s="66">
        <v>1.47</v>
      </c>
    </row>
    <row r="150" spans="1:8" ht="15">
      <c r="A150" s="63">
        <v>50115620</v>
      </c>
      <c r="B150" s="64" t="s">
        <v>1276</v>
      </c>
      <c r="C150">
        <v>50104077</v>
      </c>
      <c r="D150" t="s">
        <v>933</v>
      </c>
      <c r="F150" s="63">
        <v>50115620</v>
      </c>
      <c r="G150" s="64" t="s">
        <v>1276</v>
      </c>
      <c r="H150" s="66">
        <v>2.5535999999999999</v>
      </c>
    </row>
    <row r="151" spans="1:8" ht="15">
      <c r="A151" s="63">
        <v>50115626</v>
      </c>
      <c r="B151" s="64" t="s">
        <v>1278</v>
      </c>
      <c r="C151">
        <v>50104077</v>
      </c>
      <c r="D151" t="s">
        <v>933</v>
      </c>
      <c r="F151" s="63">
        <v>50115626</v>
      </c>
      <c r="G151" s="64" t="s">
        <v>1278</v>
      </c>
      <c r="H151" s="66">
        <v>3.36</v>
      </c>
    </row>
    <row r="152" spans="1:8" ht="15">
      <c r="A152" s="63">
        <v>50115631</v>
      </c>
      <c r="B152" s="64" t="s">
        <v>1279</v>
      </c>
      <c r="C152">
        <v>50104077</v>
      </c>
      <c r="D152" t="s">
        <v>933</v>
      </c>
      <c r="F152" s="63">
        <v>50115631</v>
      </c>
      <c r="G152" s="64" t="s">
        <v>1279</v>
      </c>
      <c r="H152" s="66">
        <v>3.6480000000000001</v>
      </c>
    </row>
    <row r="153" spans="1:8" ht="15">
      <c r="A153" s="63">
        <v>50115633</v>
      </c>
      <c r="B153" s="64" t="s">
        <v>1280</v>
      </c>
      <c r="C153">
        <v>50104077</v>
      </c>
      <c r="D153" t="s">
        <v>933</v>
      </c>
      <c r="F153" s="63">
        <v>50115633</v>
      </c>
      <c r="G153" s="64" t="s">
        <v>1280</v>
      </c>
      <c r="H153" s="66">
        <v>3.6480000000000001</v>
      </c>
    </row>
    <row r="154" spans="1:8" ht="15">
      <c r="A154" s="63">
        <v>50115637</v>
      </c>
      <c r="B154" s="64" t="s">
        <v>1282</v>
      </c>
      <c r="C154">
        <v>50104078</v>
      </c>
      <c r="D154" t="s">
        <v>949</v>
      </c>
      <c r="F154" s="63">
        <v>50115637</v>
      </c>
      <c r="G154" s="64" t="s">
        <v>1282</v>
      </c>
      <c r="H154" s="66">
        <v>3.6480000000000001</v>
      </c>
    </row>
    <row r="155" spans="1:8" ht="15">
      <c r="A155" s="63">
        <v>50115643</v>
      </c>
      <c r="B155" s="64" t="s">
        <v>1283</v>
      </c>
      <c r="C155">
        <v>50104077</v>
      </c>
      <c r="D155" t="s">
        <v>933</v>
      </c>
      <c r="F155" s="63">
        <v>50115643</v>
      </c>
      <c r="G155" s="64" t="s">
        <v>1283</v>
      </c>
      <c r="H155" s="66">
        <v>0.71</v>
      </c>
    </row>
    <row r="156" spans="1:8" ht="15">
      <c r="A156" s="63">
        <v>50115645</v>
      </c>
      <c r="B156" s="64" t="s">
        <v>1285</v>
      </c>
      <c r="C156">
        <v>50082220</v>
      </c>
      <c r="D156" t="s">
        <v>666</v>
      </c>
      <c r="F156" s="63">
        <v>50115645</v>
      </c>
      <c r="G156" s="64" t="s">
        <v>1285</v>
      </c>
      <c r="H156" s="66">
        <v>0.85</v>
      </c>
    </row>
    <row r="157" spans="1:8" ht="15">
      <c r="A157" s="63">
        <v>50115646</v>
      </c>
      <c r="B157" s="64" t="s">
        <v>1286</v>
      </c>
      <c r="C157">
        <v>50082220</v>
      </c>
      <c r="D157" t="s">
        <v>666</v>
      </c>
      <c r="F157" s="63">
        <v>50115646</v>
      </c>
      <c r="G157" s="64" t="s">
        <v>1286</v>
      </c>
      <c r="H157" s="66">
        <v>0.52</v>
      </c>
    </row>
    <row r="158" spans="1:8" ht="15">
      <c r="A158" s="63">
        <v>50115647</v>
      </c>
      <c r="B158" s="64" t="s">
        <v>1287</v>
      </c>
      <c r="C158">
        <v>50104078</v>
      </c>
      <c r="D158" t="s">
        <v>949</v>
      </c>
      <c r="F158" s="63">
        <v>50115647</v>
      </c>
      <c r="G158" s="64" t="s">
        <v>1287</v>
      </c>
      <c r="H158" s="66">
        <v>0.05</v>
      </c>
    </row>
    <row r="159" spans="1:8" ht="15">
      <c r="A159" s="63">
        <v>50115733</v>
      </c>
      <c r="B159" s="64" t="s">
        <v>1302</v>
      </c>
      <c r="C159">
        <v>50115697</v>
      </c>
      <c r="D159" t="s">
        <v>1303</v>
      </c>
      <c r="F159" s="63">
        <v>50115733</v>
      </c>
      <c r="G159" s="64" t="s">
        <v>1302</v>
      </c>
      <c r="H159" s="66">
        <v>3.36</v>
      </c>
    </row>
    <row r="160" spans="1:8" ht="15">
      <c r="A160" s="63">
        <v>50115735</v>
      </c>
      <c r="B160" s="64" t="s">
        <v>1304</v>
      </c>
      <c r="C160">
        <v>50104078</v>
      </c>
      <c r="D160" t="s">
        <v>949</v>
      </c>
      <c r="F160" s="63">
        <v>50115735</v>
      </c>
      <c r="G160" s="64" t="s">
        <v>1304</v>
      </c>
      <c r="H160" s="66">
        <v>3.36</v>
      </c>
    </row>
    <row r="161" spans="1:8" ht="15">
      <c r="A161" s="63">
        <v>50115748</v>
      </c>
      <c r="B161" s="64" t="s">
        <v>1306</v>
      </c>
      <c r="C161">
        <v>50104078</v>
      </c>
      <c r="D161" t="s">
        <v>949</v>
      </c>
      <c r="F161" s="63">
        <v>50115748</v>
      </c>
      <c r="G161" s="64" t="s">
        <v>1306</v>
      </c>
      <c r="H161" s="66">
        <v>0.40560000000000002</v>
      </c>
    </row>
    <row r="162" spans="1:8" ht="15">
      <c r="A162" s="63">
        <v>50115760</v>
      </c>
      <c r="B162" s="64" t="s">
        <v>1308</v>
      </c>
      <c r="C162">
        <v>50104078</v>
      </c>
      <c r="D162" t="s">
        <v>949</v>
      </c>
      <c r="F162" s="63">
        <v>50115760</v>
      </c>
      <c r="G162" s="64" t="s">
        <v>1308</v>
      </c>
      <c r="H162" s="66">
        <v>3.36</v>
      </c>
    </row>
    <row r="163" spans="1:8" ht="15">
      <c r="A163" s="63">
        <v>50115763</v>
      </c>
      <c r="B163" s="64" t="s">
        <v>1309</v>
      </c>
      <c r="C163">
        <v>50104078</v>
      </c>
      <c r="D163" t="s">
        <v>949</v>
      </c>
      <c r="F163" s="63">
        <v>50115763</v>
      </c>
      <c r="G163" s="64" t="s">
        <v>1309</v>
      </c>
      <c r="H163" s="66">
        <v>3.37365</v>
      </c>
    </row>
    <row r="164" spans="1:8" ht="15">
      <c r="A164" s="63">
        <v>50115775</v>
      </c>
      <c r="B164" s="64" t="s">
        <v>1311</v>
      </c>
      <c r="C164">
        <v>50104078</v>
      </c>
      <c r="D164" t="s">
        <v>949</v>
      </c>
      <c r="F164" s="63">
        <v>50115775</v>
      </c>
      <c r="G164" s="64" t="s">
        <v>1311</v>
      </c>
      <c r="H164" s="66">
        <v>3.6004999999999998</v>
      </c>
    </row>
    <row r="165" spans="1:8" ht="15">
      <c r="A165" s="63">
        <v>50115780</v>
      </c>
      <c r="B165" s="64" t="s">
        <v>1312</v>
      </c>
      <c r="C165">
        <v>50082220</v>
      </c>
      <c r="D165" t="s">
        <v>666</v>
      </c>
      <c r="F165" s="63">
        <v>50115780</v>
      </c>
      <c r="G165" s="64" t="s">
        <v>1312</v>
      </c>
      <c r="H165" s="66">
        <v>1.62</v>
      </c>
    </row>
    <row r="166" spans="1:8" ht="15">
      <c r="A166" s="63">
        <v>50115782</v>
      </c>
      <c r="B166" s="64" t="s">
        <v>1313</v>
      </c>
      <c r="C166">
        <v>50081655</v>
      </c>
      <c r="D166" t="s">
        <v>1022</v>
      </c>
      <c r="F166" s="63">
        <v>50115782</v>
      </c>
      <c r="G166" s="64" t="s">
        <v>1313</v>
      </c>
      <c r="H166" s="66">
        <v>0.25</v>
      </c>
    </row>
    <row r="167" spans="1:8" ht="15">
      <c r="A167" s="63">
        <v>50115783</v>
      </c>
      <c r="B167" s="64" t="s">
        <v>1314</v>
      </c>
      <c r="C167">
        <v>50104077</v>
      </c>
      <c r="D167" t="s">
        <v>933</v>
      </c>
      <c r="F167" s="63">
        <v>50115783</v>
      </c>
      <c r="G167" s="64" t="s">
        <v>1314</v>
      </c>
      <c r="H167" s="66">
        <v>4</v>
      </c>
    </row>
    <row r="168" spans="1:8" ht="15">
      <c r="A168" s="63">
        <v>50115784</v>
      </c>
      <c r="B168" s="64" t="s">
        <v>1315</v>
      </c>
      <c r="C168">
        <v>50104077</v>
      </c>
      <c r="D168" t="s">
        <v>933</v>
      </c>
      <c r="F168" s="63">
        <v>50115784</v>
      </c>
      <c r="G168" s="64" t="s">
        <v>1315</v>
      </c>
      <c r="H168" s="66">
        <v>3.8</v>
      </c>
    </row>
    <row r="169" spans="1:8" ht="15">
      <c r="A169" s="63">
        <v>50115785</v>
      </c>
      <c r="B169" s="64" t="s">
        <v>1316</v>
      </c>
      <c r="C169">
        <v>50104077</v>
      </c>
      <c r="D169" t="s">
        <v>933</v>
      </c>
      <c r="F169" s="63">
        <v>50115785</v>
      </c>
      <c r="G169" s="64" t="s">
        <v>1316</v>
      </c>
      <c r="H169" s="66">
        <v>10.349</v>
      </c>
    </row>
    <row r="170" spans="1:8" ht="15">
      <c r="A170" s="63">
        <v>50115786</v>
      </c>
      <c r="B170" s="64" t="s">
        <v>1317</v>
      </c>
      <c r="C170">
        <v>50104077</v>
      </c>
      <c r="D170" t="s">
        <v>933</v>
      </c>
      <c r="F170" s="63">
        <v>50115786</v>
      </c>
      <c r="G170" s="64" t="s">
        <v>1317</v>
      </c>
      <c r="H170" s="66">
        <v>10.65</v>
      </c>
    </row>
    <row r="171" spans="1:8" ht="15">
      <c r="A171" s="63">
        <v>50115789</v>
      </c>
      <c r="B171" s="64" t="s">
        <v>1318</v>
      </c>
      <c r="C171">
        <v>50104077</v>
      </c>
      <c r="D171" t="s">
        <v>933</v>
      </c>
      <c r="F171" s="63">
        <v>50115789</v>
      </c>
      <c r="G171" s="64" t="s">
        <v>1318</v>
      </c>
      <c r="H171" s="66">
        <v>8.1199999999999992</v>
      </c>
    </row>
    <row r="172" spans="1:8" ht="15">
      <c r="A172" s="63">
        <v>50115790</v>
      </c>
      <c r="B172" s="64" t="s">
        <v>1319</v>
      </c>
      <c r="C172">
        <v>50104077</v>
      </c>
      <c r="D172" t="s">
        <v>933</v>
      </c>
      <c r="F172" s="63">
        <v>50115790</v>
      </c>
      <c r="G172" s="64" t="s">
        <v>1319</v>
      </c>
      <c r="H172" s="66">
        <v>8.1199999999999992</v>
      </c>
    </row>
    <row r="173" spans="1:8" ht="15">
      <c r="A173" s="63">
        <v>50115793</v>
      </c>
      <c r="B173" s="64" t="s">
        <v>1320</v>
      </c>
      <c r="C173">
        <v>50081655</v>
      </c>
      <c r="D173" t="s">
        <v>1022</v>
      </c>
      <c r="F173" s="63">
        <v>50115793</v>
      </c>
      <c r="G173" s="64" t="s">
        <v>1320</v>
      </c>
      <c r="H173" s="66">
        <v>5.8</v>
      </c>
    </row>
    <row r="174" spans="1:8" ht="15">
      <c r="A174" s="63">
        <v>50115794</v>
      </c>
      <c r="B174" s="64" t="s">
        <v>1321</v>
      </c>
      <c r="C174">
        <v>50081655</v>
      </c>
      <c r="D174" t="s">
        <v>1022</v>
      </c>
      <c r="F174" s="63">
        <v>50115794</v>
      </c>
      <c r="G174" s="64" t="s">
        <v>1321</v>
      </c>
      <c r="H174" s="66">
        <v>5.29</v>
      </c>
    </row>
    <row r="175" spans="1:8" ht="15">
      <c r="A175" s="63">
        <v>50115799</v>
      </c>
      <c r="B175" s="64" t="s">
        <v>1323</v>
      </c>
      <c r="C175">
        <v>50115697</v>
      </c>
      <c r="D175" t="s">
        <v>1303</v>
      </c>
      <c r="F175" s="63">
        <v>50115799</v>
      </c>
      <c r="G175" s="64" t="s">
        <v>1323</v>
      </c>
      <c r="H175" s="66">
        <v>4.4160000000000004</v>
      </c>
    </row>
    <row r="176" spans="1:8" ht="15">
      <c r="A176" s="63">
        <v>50115800</v>
      </c>
      <c r="B176" s="64" t="s">
        <v>1324</v>
      </c>
      <c r="C176">
        <v>50115697</v>
      </c>
      <c r="D176" t="s">
        <v>1303</v>
      </c>
      <c r="F176" s="63">
        <v>50115800</v>
      </c>
      <c r="G176" s="64" t="s">
        <v>1324</v>
      </c>
      <c r="H176" s="66">
        <v>0.72</v>
      </c>
    </row>
    <row r="177" spans="1:8" ht="15">
      <c r="A177" s="63">
        <v>50115801</v>
      </c>
      <c r="B177" s="64" t="s">
        <v>1325</v>
      </c>
      <c r="C177">
        <v>50115697</v>
      </c>
      <c r="D177" t="s">
        <v>1303</v>
      </c>
      <c r="F177" s="63">
        <v>50115801</v>
      </c>
      <c r="G177" s="64" t="s">
        <v>1325</v>
      </c>
      <c r="H177" s="66">
        <v>3.6480000000000001</v>
      </c>
    </row>
    <row r="178" spans="1:8" ht="15">
      <c r="A178" s="63">
        <v>50115859</v>
      </c>
      <c r="B178" s="64" t="s">
        <v>1326</v>
      </c>
      <c r="C178">
        <v>50103359</v>
      </c>
      <c r="D178" t="s">
        <v>925</v>
      </c>
      <c r="F178" s="63">
        <v>50115859</v>
      </c>
      <c r="G178" s="64" t="s">
        <v>1326</v>
      </c>
      <c r="H178" s="66">
        <v>3.9906999999999999</v>
      </c>
    </row>
    <row r="179" spans="1:8" ht="15">
      <c r="A179" s="63">
        <v>50115935</v>
      </c>
      <c r="B179" s="64" t="s">
        <v>1336</v>
      </c>
      <c r="C179">
        <v>50097522</v>
      </c>
      <c r="D179" t="s">
        <v>810</v>
      </c>
      <c r="F179" s="63">
        <v>50115935</v>
      </c>
      <c r="G179" s="64" t="s">
        <v>1336</v>
      </c>
      <c r="H179" s="66">
        <v>3.97</v>
      </c>
    </row>
    <row r="180" spans="1:8" ht="15">
      <c r="A180" s="63">
        <v>50115975</v>
      </c>
      <c r="B180" s="64" t="s">
        <v>1341</v>
      </c>
      <c r="C180">
        <v>50115697</v>
      </c>
      <c r="D180" t="s">
        <v>1303</v>
      </c>
      <c r="F180" s="63">
        <v>50115975</v>
      </c>
      <c r="G180" s="64" t="s">
        <v>1341</v>
      </c>
      <c r="H180" s="66">
        <v>0</v>
      </c>
    </row>
    <row r="181" spans="1:8" ht="15">
      <c r="A181" s="63">
        <v>50115976</v>
      </c>
      <c r="B181" s="64" t="s">
        <v>1342</v>
      </c>
      <c r="C181">
        <v>50115697</v>
      </c>
      <c r="D181" t="s">
        <v>1303</v>
      </c>
      <c r="F181" s="63">
        <v>50115976</v>
      </c>
      <c r="G181" s="64" t="s">
        <v>1342</v>
      </c>
      <c r="H181" s="66">
        <v>0</v>
      </c>
    </row>
    <row r="182" spans="1:8" ht="15">
      <c r="A182" s="63">
        <v>50115977</v>
      </c>
      <c r="B182" s="64" t="s">
        <v>1343</v>
      </c>
      <c r="C182">
        <v>50115697</v>
      </c>
      <c r="D182" t="s">
        <v>1303</v>
      </c>
      <c r="F182" s="63">
        <v>50115977</v>
      </c>
      <c r="G182" s="64" t="s">
        <v>1343</v>
      </c>
      <c r="H182" s="66">
        <v>0</v>
      </c>
    </row>
    <row r="183" spans="1:8" ht="15">
      <c r="A183" s="63">
        <v>50115978</v>
      </c>
      <c r="B183" s="64" t="s">
        <v>1344</v>
      </c>
      <c r="C183">
        <v>50115697</v>
      </c>
      <c r="D183" t="s">
        <v>1303</v>
      </c>
      <c r="F183" s="63">
        <v>50115978</v>
      </c>
      <c r="G183" s="64" t="s">
        <v>1344</v>
      </c>
      <c r="H183" s="66">
        <v>0</v>
      </c>
    </row>
    <row r="184" spans="1:8" ht="30">
      <c r="A184" s="61" t="s">
        <v>1938</v>
      </c>
      <c r="B184" s="61" t="s">
        <v>1939</v>
      </c>
      <c r="C184" s="62" t="s">
        <v>1940</v>
      </c>
      <c r="D184" s="62" t="s">
        <v>1941</v>
      </c>
      <c r="F184" s="63">
        <v>50096985</v>
      </c>
      <c r="G184" s="64" t="s">
        <v>297</v>
      </c>
      <c r="H184" s="66">
        <v>4.181</v>
      </c>
    </row>
    <row r="185" spans="1:8" ht="15">
      <c r="A185" s="63">
        <v>50081405</v>
      </c>
      <c r="B185" s="64" t="s">
        <v>514</v>
      </c>
      <c r="C185">
        <v>50082183</v>
      </c>
      <c r="D185" t="s">
        <v>515</v>
      </c>
      <c r="F185" s="63">
        <v>50096986</v>
      </c>
      <c r="G185" s="64" t="s">
        <v>287</v>
      </c>
      <c r="H185" s="66">
        <v>5.032</v>
      </c>
    </row>
    <row r="186" spans="1:8" ht="15">
      <c r="A186" s="63">
        <v>50081408</v>
      </c>
      <c r="B186" s="64" t="s">
        <v>516</v>
      </c>
      <c r="C186">
        <v>50082184</v>
      </c>
      <c r="D186" t="s">
        <v>517</v>
      </c>
      <c r="F186" s="63">
        <v>50096987</v>
      </c>
      <c r="G186" s="64" t="s">
        <v>285</v>
      </c>
      <c r="H186" s="66">
        <v>6.0819999999999999</v>
      </c>
    </row>
    <row r="187" spans="1:8" ht="15">
      <c r="A187" s="63">
        <v>50081409</v>
      </c>
      <c r="B187" s="64" t="s">
        <v>1357</v>
      </c>
      <c r="C187">
        <v>50082198</v>
      </c>
      <c r="D187" t="s">
        <v>1943</v>
      </c>
      <c r="F187" s="63">
        <v>50096988</v>
      </c>
      <c r="G187" s="64" t="s">
        <v>813</v>
      </c>
      <c r="H187" s="66">
        <v>9.3170000000000002</v>
      </c>
    </row>
    <row r="188" spans="1:8" ht="15">
      <c r="A188" s="63">
        <v>50081412</v>
      </c>
      <c r="B188" s="64" t="s">
        <v>1362</v>
      </c>
      <c r="C188">
        <v>50082198</v>
      </c>
      <c r="D188" t="s">
        <v>1943</v>
      </c>
      <c r="F188" s="63">
        <v>50104777</v>
      </c>
      <c r="G188" s="64" t="s">
        <v>304</v>
      </c>
      <c r="H188" s="66">
        <v>3.2494999999999998</v>
      </c>
    </row>
    <row r="189" spans="1:8" ht="15">
      <c r="A189" s="63">
        <v>50081422</v>
      </c>
      <c r="B189" s="64" t="s">
        <v>518</v>
      </c>
      <c r="C189">
        <v>50082202</v>
      </c>
      <c r="D189" t="s">
        <v>519</v>
      </c>
      <c r="F189" s="63">
        <v>50108149</v>
      </c>
      <c r="G189" s="64" t="s">
        <v>1007</v>
      </c>
      <c r="H189" s="66">
        <v>2.1850000000000001</v>
      </c>
    </row>
    <row r="190" spans="1:8" ht="15">
      <c r="A190" s="63">
        <v>50081426</v>
      </c>
      <c r="B190" s="64" t="s">
        <v>520</v>
      </c>
      <c r="C190">
        <v>50082200</v>
      </c>
      <c r="D190" t="s">
        <v>521</v>
      </c>
      <c r="F190" s="63">
        <v>50108836</v>
      </c>
      <c r="G190" s="64" t="s">
        <v>1023</v>
      </c>
      <c r="H190" s="66">
        <v>9.85</v>
      </c>
    </row>
    <row r="191" spans="1:8" ht="15">
      <c r="A191" s="63">
        <v>50081459</v>
      </c>
      <c r="B191" s="64" t="s">
        <v>522</v>
      </c>
      <c r="C191">
        <v>50082183</v>
      </c>
      <c r="D191" t="s">
        <v>515</v>
      </c>
      <c r="F191" s="63">
        <v>50112641</v>
      </c>
      <c r="G191" s="64" t="s">
        <v>1134</v>
      </c>
      <c r="H191" s="66">
        <v>0.52</v>
      </c>
    </row>
    <row r="192" spans="1:8" ht="15">
      <c r="A192" s="63">
        <v>50081461</v>
      </c>
      <c r="B192" s="64" t="s">
        <v>1364</v>
      </c>
      <c r="C192">
        <v>50082198</v>
      </c>
      <c r="D192" t="s">
        <v>1943</v>
      </c>
      <c r="F192" s="63">
        <v>50112692</v>
      </c>
      <c r="G192" s="64" t="s">
        <v>1135</v>
      </c>
      <c r="H192" s="66">
        <v>0.45</v>
      </c>
    </row>
    <row r="193" spans="1:8" ht="15">
      <c r="A193" s="63">
        <v>50081467</v>
      </c>
      <c r="B193" s="64" t="s">
        <v>524</v>
      </c>
      <c r="C193">
        <v>50082184</v>
      </c>
      <c r="D193" t="s">
        <v>517</v>
      </c>
      <c r="F193" s="63">
        <v>50081405</v>
      </c>
      <c r="G193" s="64" t="s">
        <v>514</v>
      </c>
      <c r="H193" s="66">
        <v>0.39600000000000002</v>
      </c>
    </row>
    <row r="194" spans="1:8" ht="15">
      <c r="A194" s="63">
        <v>50081468</v>
      </c>
      <c r="B194" s="64" t="s">
        <v>1368</v>
      </c>
      <c r="C194">
        <v>50082198</v>
      </c>
      <c r="D194" t="s">
        <v>1943</v>
      </c>
      <c r="F194" s="63">
        <v>50081408</v>
      </c>
      <c r="G194" s="64" t="s">
        <v>516</v>
      </c>
      <c r="H194" s="66">
        <v>0.48099999999999998</v>
      </c>
    </row>
    <row r="195" spans="1:8" ht="15">
      <c r="A195" s="63">
        <v>50081474</v>
      </c>
      <c r="B195" s="64" t="s">
        <v>1370</v>
      </c>
      <c r="C195">
        <v>50082198</v>
      </c>
      <c r="D195" t="s">
        <v>1943</v>
      </c>
      <c r="F195" s="63">
        <v>50081409</v>
      </c>
      <c r="G195" s="64" t="s">
        <v>1357</v>
      </c>
      <c r="H195" s="66">
        <v>0.59699999999999998</v>
      </c>
    </row>
    <row r="196" spans="1:8" ht="15">
      <c r="A196" s="63">
        <v>50081487</v>
      </c>
      <c r="B196" s="64" t="s">
        <v>1955</v>
      </c>
      <c r="C196">
        <v>50082198</v>
      </c>
      <c r="D196" t="s">
        <v>1943</v>
      </c>
      <c r="F196" s="63">
        <v>50081412</v>
      </c>
      <c r="G196" s="64" t="s">
        <v>1362</v>
      </c>
      <c r="H196" s="66">
        <v>0.56599999999999995</v>
      </c>
    </row>
    <row r="197" spans="1:8" ht="15">
      <c r="A197" s="63">
        <v>50081489</v>
      </c>
      <c r="B197" s="64" t="s">
        <v>1375</v>
      </c>
      <c r="C197">
        <v>50082198</v>
      </c>
      <c r="D197" t="s">
        <v>1943</v>
      </c>
      <c r="F197" s="63">
        <v>50081422</v>
      </c>
      <c r="G197" s="64" t="s">
        <v>518</v>
      </c>
      <c r="H197" s="66">
        <v>2.1619999999999999</v>
      </c>
    </row>
    <row r="198" spans="1:8" ht="15">
      <c r="A198" s="63">
        <v>50081492</v>
      </c>
      <c r="B198" s="64" t="s">
        <v>526</v>
      </c>
      <c r="C198">
        <v>50082200</v>
      </c>
      <c r="D198" t="s">
        <v>521</v>
      </c>
      <c r="F198" s="63">
        <v>50081426</v>
      </c>
      <c r="G198" s="64" t="s">
        <v>520</v>
      </c>
      <c r="H198" s="66">
        <v>2.1436999999999999</v>
      </c>
    </row>
    <row r="199" spans="1:8" ht="15">
      <c r="A199" s="63">
        <v>50081493</v>
      </c>
      <c r="B199" s="64" t="s">
        <v>527</v>
      </c>
      <c r="C199">
        <v>50082200</v>
      </c>
      <c r="D199" t="s">
        <v>521</v>
      </c>
      <c r="F199" s="63">
        <v>50081459</v>
      </c>
      <c r="G199" s="64" t="s">
        <v>522</v>
      </c>
      <c r="H199" s="66">
        <v>2.9</v>
      </c>
    </row>
    <row r="200" spans="1:8" ht="15">
      <c r="A200" s="63">
        <v>50081494</v>
      </c>
      <c r="B200" s="64" t="s">
        <v>528</v>
      </c>
      <c r="C200">
        <v>50082202</v>
      </c>
      <c r="D200" t="s">
        <v>519</v>
      </c>
      <c r="F200" s="63">
        <v>50081461</v>
      </c>
      <c r="G200" s="64" t="s">
        <v>1364</v>
      </c>
      <c r="H200" s="66">
        <v>2.8812000000000002</v>
      </c>
    </row>
    <row r="201" spans="1:8" ht="15">
      <c r="A201" s="63">
        <v>50081497</v>
      </c>
      <c r="B201" s="64" t="s">
        <v>529</v>
      </c>
      <c r="C201">
        <v>50082202</v>
      </c>
      <c r="D201" t="s">
        <v>519</v>
      </c>
      <c r="F201" s="63">
        <v>50081467</v>
      </c>
      <c r="G201" s="64" t="s">
        <v>524</v>
      </c>
      <c r="H201" s="66">
        <v>7.742</v>
      </c>
    </row>
    <row r="202" spans="1:8" ht="15">
      <c r="A202" s="63">
        <v>50081500</v>
      </c>
      <c r="B202" s="64" t="s">
        <v>530</v>
      </c>
      <c r="C202">
        <v>50082202</v>
      </c>
      <c r="D202" t="s">
        <v>519</v>
      </c>
      <c r="F202" s="63">
        <v>50081468</v>
      </c>
      <c r="G202" s="64" t="s">
        <v>1368</v>
      </c>
      <c r="H202" s="66">
        <v>3.5486</v>
      </c>
    </row>
    <row r="203" spans="1:8" ht="15">
      <c r="A203" s="63">
        <v>50081503</v>
      </c>
      <c r="B203" s="64" t="s">
        <v>531</v>
      </c>
      <c r="C203">
        <v>50082202</v>
      </c>
      <c r="D203" t="s">
        <v>519</v>
      </c>
      <c r="F203" s="63">
        <v>50081474</v>
      </c>
      <c r="G203" s="64" t="s">
        <v>1370</v>
      </c>
      <c r="H203" s="66">
        <v>3.4590000000000001</v>
      </c>
    </row>
    <row r="204" spans="1:8" ht="15">
      <c r="A204" s="63">
        <v>50081506</v>
      </c>
      <c r="B204" s="64" t="s">
        <v>531</v>
      </c>
      <c r="C204">
        <v>50082202</v>
      </c>
      <c r="D204" t="s">
        <v>519</v>
      </c>
      <c r="F204" s="63">
        <v>50081487</v>
      </c>
      <c r="G204" s="64" t="s">
        <v>1955</v>
      </c>
      <c r="H204" s="66">
        <v>0.58799999999999997</v>
      </c>
    </row>
    <row r="205" spans="1:8" ht="15">
      <c r="A205" s="63">
        <v>50081509</v>
      </c>
      <c r="B205" s="64" t="s">
        <v>532</v>
      </c>
      <c r="C205">
        <v>50082202</v>
      </c>
      <c r="D205" t="s">
        <v>519</v>
      </c>
      <c r="F205" s="63">
        <v>50081489</v>
      </c>
      <c r="G205" s="64" t="s">
        <v>1375</v>
      </c>
      <c r="H205" s="66">
        <v>0.62</v>
      </c>
    </row>
    <row r="206" spans="1:8" ht="15">
      <c r="A206" s="63">
        <v>50081531</v>
      </c>
      <c r="B206" s="64" t="s">
        <v>1373</v>
      </c>
      <c r="C206">
        <v>50082198</v>
      </c>
      <c r="D206" t="s">
        <v>1943</v>
      </c>
      <c r="F206" s="63">
        <v>50081492</v>
      </c>
      <c r="G206" s="64" t="s">
        <v>526</v>
      </c>
      <c r="H206" s="66">
        <v>1.5973999999999999</v>
      </c>
    </row>
    <row r="207" spans="1:8" ht="15">
      <c r="A207" s="63">
        <v>50081533</v>
      </c>
      <c r="B207" s="64" t="s">
        <v>533</v>
      </c>
      <c r="C207">
        <v>50082183</v>
      </c>
      <c r="D207" t="s">
        <v>515</v>
      </c>
      <c r="F207" s="63">
        <v>50081493</v>
      </c>
      <c r="G207" s="64" t="s">
        <v>527</v>
      </c>
      <c r="H207" s="66">
        <v>1.5249999999999999</v>
      </c>
    </row>
    <row r="208" spans="1:8" ht="15">
      <c r="A208" s="63">
        <v>50081536</v>
      </c>
      <c r="B208" s="64" t="s">
        <v>534</v>
      </c>
      <c r="C208">
        <v>50082184</v>
      </c>
      <c r="D208" t="s">
        <v>517</v>
      </c>
      <c r="F208" s="63">
        <v>50081494</v>
      </c>
      <c r="G208" s="64" t="s">
        <v>528</v>
      </c>
      <c r="H208" s="66">
        <v>2.2309999999999999</v>
      </c>
    </row>
    <row r="209" spans="1:8" ht="15">
      <c r="A209" s="63">
        <v>50081546</v>
      </c>
      <c r="B209" s="64" t="s">
        <v>535</v>
      </c>
      <c r="C209">
        <v>50082183</v>
      </c>
      <c r="D209" t="s">
        <v>515</v>
      </c>
      <c r="F209" s="63">
        <v>50081497</v>
      </c>
      <c r="G209" s="64" t="s">
        <v>529</v>
      </c>
      <c r="H209" s="66">
        <v>2.1619999999999999</v>
      </c>
    </row>
    <row r="210" spans="1:8" ht="15">
      <c r="A210" s="63">
        <v>50081549</v>
      </c>
      <c r="B210" s="64" t="s">
        <v>536</v>
      </c>
      <c r="C210">
        <v>50082183</v>
      </c>
      <c r="D210" t="s">
        <v>515</v>
      </c>
      <c r="F210" s="63">
        <v>50081500</v>
      </c>
      <c r="G210" s="64" t="s">
        <v>530</v>
      </c>
      <c r="H210" s="66">
        <v>2.1059999999999999</v>
      </c>
    </row>
    <row r="211" spans="1:8" ht="15">
      <c r="A211" s="63">
        <v>50081556</v>
      </c>
      <c r="B211" s="64" t="s">
        <v>537</v>
      </c>
      <c r="C211">
        <v>50082200</v>
      </c>
      <c r="D211" t="s">
        <v>521</v>
      </c>
      <c r="F211" s="63">
        <v>50081503</v>
      </c>
      <c r="G211" s="64" t="s">
        <v>531</v>
      </c>
      <c r="H211" s="66">
        <v>2.1619999999999999</v>
      </c>
    </row>
    <row r="212" spans="1:8" ht="15">
      <c r="A212" s="63">
        <v>50081558</v>
      </c>
      <c r="B212" s="64" t="s">
        <v>538</v>
      </c>
      <c r="C212">
        <v>50082200</v>
      </c>
      <c r="D212" t="s">
        <v>521</v>
      </c>
      <c r="F212" s="63">
        <v>50081506</v>
      </c>
      <c r="G212" s="64" t="s">
        <v>531</v>
      </c>
      <c r="H212" s="66">
        <v>2.0920000000000001</v>
      </c>
    </row>
    <row r="213" spans="1:8" ht="15">
      <c r="A213" s="63">
        <v>50081561</v>
      </c>
      <c r="B213" s="64" t="s">
        <v>539</v>
      </c>
      <c r="C213">
        <v>50082200</v>
      </c>
      <c r="D213" t="s">
        <v>521</v>
      </c>
      <c r="F213" s="63">
        <v>50081509</v>
      </c>
      <c r="G213" s="64" t="s">
        <v>532</v>
      </c>
      <c r="H213" s="66">
        <v>2.1619999999999999</v>
      </c>
    </row>
    <row r="214" spans="1:8" ht="15">
      <c r="A214" s="63">
        <v>50081563</v>
      </c>
      <c r="B214" s="64" t="s">
        <v>540</v>
      </c>
      <c r="C214">
        <v>50082202</v>
      </c>
      <c r="D214" t="s">
        <v>519</v>
      </c>
      <c r="F214" s="63">
        <v>50081531</v>
      </c>
      <c r="G214" s="64" t="s">
        <v>1373</v>
      </c>
      <c r="H214" s="66">
        <v>2.8420000000000001</v>
      </c>
    </row>
    <row r="215" spans="1:8" ht="15">
      <c r="A215" s="63">
        <v>50081578</v>
      </c>
      <c r="B215" s="64" t="s">
        <v>541</v>
      </c>
      <c r="C215">
        <v>50082184</v>
      </c>
      <c r="D215" t="s">
        <v>517</v>
      </c>
      <c r="F215" s="63">
        <v>50081533</v>
      </c>
      <c r="G215" s="64" t="s">
        <v>533</v>
      </c>
      <c r="H215" s="66">
        <v>3.7</v>
      </c>
    </row>
    <row r="216" spans="1:8" ht="15">
      <c r="A216" s="63">
        <v>50081580</v>
      </c>
      <c r="B216" s="64" t="s">
        <v>1379</v>
      </c>
      <c r="C216">
        <v>50082198</v>
      </c>
      <c r="D216" t="s">
        <v>1943</v>
      </c>
      <c r="F216" s="63">
        <v>50081536</v>
      </c>
      <c r="G216" s="64" t="s">
        <v>534</v>
      </c>
      <c r="H216" s="66">
        <v>3.4373999999999998</v>
      </c>
    </row>
    <row r="217" spans="1:8" ht="15">
      <c r="A217" s="63">
        <v>50081583</v>
      </c>
      <c r="B217" s="64" t="s">
        <v>542</v>
      </c>
      <c r="C217">
        <v>50081656</v>
      </c>
      <c r="D217" t="s">
        <v>543</v>
      </c>
      <c r="F217" s="63">
        <v>50081546</v>
      </c>
      <c r="G217" s="64" t="s">
        <v>535</v>
      </c>
      <c r="H217" s="66">
        <v>0.38733699999999999</v>
      </c>
    </row>
    <row r="218" spans="1:8" ht="15">
      <c r="A218" s="63">
        <v>50081587</v>
      </c>
      <c r="B218" s="64" t="s">
        <v>545</v>
      </c>
      <c r="C218">
        <v>50082184</v>
      </c>
      <c r="D218" t="s">
        <v>517</v>
      </c>
      <c r="F218" s="63">
        <v>50081549</v>
      </c>
      <c r="G218" s="64" t="s">
        <v>536</v>
      </c>
      <c r="H218" s="66">
        <v>0.54</v>
      </c>
    </row>
    <row r="219" spans="1:8" ht="15">
      <c r="A219" s="63">
        <v>50081593</v>
      </c>
      <c r="B219" s="64" t="s">
        <v>548</v>
      </c>
      <c r="C219">
        <v>50082183</v>
      </c>
      <c r="D219" t="s">
        <v>515</v>
      </c>
      <c r="F219" s="63">
        <v>50081556</v>
      </c>
      <c r="G219" s="64" t="s">
        <v>537</v>
      </c>
      <c r="H219" s="66">
        <v>1.5249999999999999</v>
      </c>
    </row>
    <row r="220" spans="1:8" ht="15">
      <c r="A220" s="63">
        <v>50081599</v>
      </c>
      <c r="B220" s="64" t="s">
        <v>551</v>
      </c>
      <c r="C220">
        <v>50082200</v>
      </c>
      <c r="D220" t="s">
        <v>521</v>
      </c>
      <c r="F220" s="63">
        <v>50081558</v>
      </c>
      <c r="G220" s="64" t="s">
        <v>538</v>
      </c>
      <c r="H220" s="66">
        <v>1.5249999999999999</v>
      </c>
    </row>
    <row r="221" spans="1:8" ht="15">
      <c r="A221" s="63">
        <v>50081601</v>
      </c>
      <c r="B221" s="64" t="s">
        <v>195</v>
      </c>
      <c r="C221">
        <v>50082200</v>
      </c>
      <c r="D221" t="s">
        <v>521</v>
      </c>
      <c r="F221" s="63">
        <v>50081561</v>
      </c>
      <c r="G221" s="64" t="s">
        <v>539</v>
      </c>
      <c r="H221" s="66">
        <v>1.5229999999999999</v>
      </c>
    </row>
    <row r="222" spans="1:8" ht="15">
      <c r="A222" s="63">
        <v>50081604</v>
      </c>
      <c r="B222" s="64" t="s">
        <v>552</v>
      </c>
      <c r="C222">
        <v>50082202</v>
      </c>
      <c r="D222" t="s">
        <v>519</v>
      </c>
      <c r="F222" s="63">
        <v>50081563</v>
      </c>
      <c r="G222" s="64" t="s">
        <v>540</v>
      </c>
      <c r="H222" s="66">
        <v>2.1696</v>
      </c>
    </row>
    <row r="223" spans="1:8" ht="15">
      <c r="A223" s="63">
        <v>50081607</v>
      </c>
      <c r="B223" s="64" t="s">
        <v>553</v>
      </c>
      <c r="C223">
        <v>50082202</v>
      </c>
      <c r="D223" t="s">
        <v>519</v>
      </c>
      <c r="F223" s="63">
        <v>50081578</v>
      </c>
      <c r="G223" s="64" t="s">
        <v>541</v>
      </c>
      <c r="H223" s="66">
        <v>2.8184999999999998</v>
      </c>
    </row>
    <row r="224" spans="1:8" ht="15">
      <c r="A224" s="63">
        <v>50081610</v>
      </c>
      <c r="B224" s="64" t="s">
        <v>554</v>
      </c>
      <c r="C224">
        <v>50082200</v>
      </c>
      <c r="D224" t="s">
        <v>521</v>
      </c>
      <c r="F224" s="63">
        <v>50081580</v>
      </c>
      <c r="G224" s="64" t="s">
        <v>1379</v>
      </c>
      <c r="H224" s="66">
        <v>4.41</v>
      </c>
    </row>
    <row r="225" spans="1:8" ht="15">
      <c r="A225" s="63">
        <v>50081613</v>
      </c>
      <c r="B225" s="64" t="s">
        <v>555</v>
      </c>
      <c r="C225">
        <v>50082200</v>
      </c>
      <c r="D225" t="s">
        <v>521</v>
      </c>
      <c r="F225" s="63">
        <v>50081583</v>
      </c>
      <c r="G225" s="64" t="s">
        <v>542</v>
      </c>
      <c r="H225" s="66">
        <v>5.7</v>
      </c>
    </row>
    <row r="226" spans="1:8" ht="15">
      <c r="A226" s="63">
        <v>50081619</v>
      </c>
      <c r="B226" s="64" t="s">
        <v>556</v>
      </c>
      <c r="C226">
        <v>50082200</v>
      </c>
      <c r="D226" t="s">
        <v>521</v>
      </c>
      <c r="F226" s="63">
        <v>50081587</v>
      </c>
      <c r="G226" s="64" t="s">
        <v>545</v>
      </c>
      <c r="H226" s="66">
        <v>3.4373999999999998</v>
      </c>
    </row>
    <row r="227" spans="1:8" ht="15">
      <c r="A227" s="63">
        <v>50081622</v>
      </c>
      <c r="B227" s="64" t="s">
        <v>557</v>
      </c>
      <c r="C227">
        <v>50082200</v>
      </c>
      <c r="D227" t="s">
        <v>521</v>
      </c>
      <c r="F227" s="63">
        <v>50081593</v>
      </c>
      <c r="G227" s="64" t="s">
        <v>548</v>
      </c>
      <c r="H227" s="66">
        <v>0.60199999999999998</v>
      </c>
    </row>
    <row r="228" spans="1:8" ht="15">
      <c r="A228" s="63">
        <v>50081628</v>
      </c>
      <c r="B228" s="64" t="s">
        <v>558</v>
      </c>
      <c r="C228">
        <v>50081656</v>
      </c>
      <c r="D228" t="s">
        <v>543</v>
      </c>
      <c r="F228" s="63">
        <v>50081599</v>
      </c>
      <c r="G228" s="64" t="s">
        <v>551</v>
      </c>
      <c r="H228" s="66">
        <v>2.16</v>
      </c>
    </row>
    <row r="229" spans="1:8" ht="15">
      <c r="A229" s="63">
        <v>50081632</v>
      </c>
      <c r="B229" s="64" t="s">
        <v>560</v>
      </c>
      <c r="C229">
        <v>50082183</v>
      </c>
      <c r="D229" t="s">
        <v>515</v>
      </c>
      <c r="F229" s="63">
        <v>50081601</v>
      </c>
      <c r="G229" s="64" t="s">
        <v>195</v>
      </c>
      <c r="H229" s="66">
        <v>1.5249999999999999</v>
      </c>
    </row>
    <row r="230" spans="1:8" ht="15">
      <c r="A230" s="63">
        <v>50081635</v>
      </c>
      <c r="B230" s="64" t="s">
        <v>561</v>
      </c>
      <c r="C230">
        <v>50082183</v>
      </c>
      <c r="D230" t="s">
        <v>515</v>
      </c>
      <c r="F230" s="63">
        <v>50081604</v>
      </c>
      <c r="G230" s="64" t="s">
        <v>552</v>
      </c>
      <c r="H230" s="66">
        <v>2.1619999999999999</v>
      </c>
    </row>
    <row r="231" spans="1:8" ht="15">
      <c r="A231" s="63">
        <v>50081638</v>
      </c>
      <c r="B231" s="64" t="s">
        <v>562</v>
      </c>
      <c r="C231">
        <v>50082184</v>
      </c>
      <c r="D231" t="s">
        <v>517</v>
      </c>
      <c r="F231" s="63">
        <v>50081607</v>
      </c>
      <c r="G231" s="64" t="s">
        <v>553</v>
      </c>
      <c r="H231" s="66">
        <v>2.1619999999999999</v>
      </c>
    </row>
    <row r="232" spans="1:8" ht="15">
      <c r="A232" s="63">
        <v>50081641</v>
      </c>
      <c r="B232" s="64" t="s">
        <v>1386</v>
      </c>
      <c r="C232">
        <v>50082198</v>
      </c>
      <c r="D232" t="s">
        <v>1943</v>
      </c>
      <c r="F232" s="63">
        <v>50081610</v>
      </c>
      <c r="G232" s="64" t="s">
        <v>554</v>
      </c>
      <c r="H232" s="66">
        <v>2.0773999999999999</v>
      </c>
    </row>
    <row r="233" spans="1:8" ht="15">
      <c r="A233" s="63">
        <v>50081643</v>
      </c>
      <c r="B233" s="64" t="s">
        <v>563</v>
      </c>
      <c r="C233">
        <v>50082183</v>
      </c>
      <c r="D233" t="s">
        <v>515</v>
      </c>
      <c r="F233" s="63">
        <v>50081613</v>
      </c>
      <c r="G233" s="64" t="s">
        <v>555</v>
      </c>
      <c r="H233" s="66">
        <v>2.222</v>
      </c>
    </row>
    <row r="234" spans="1:8" ht="15">
      <c r="A234" s="63">
        <v>50081646</v>
      </c>
      <c r="B234" s="64" t="s">
        <v>564</v>
      </c>
      <c r="C234">
        <v>50082183</v>
      </c>
      <c r="D234" t="s">
        <v>515</v>
      </c>
      <c r="F234" s="63">
        <v>50081619</v>
      </c>
      <c r="G234" s="64" t="s">
        <v>556</v>
      </c>
      <c r="H234" s="66">
        <v>1.6561999999999999</v>
      </c>
    </row>
    <row r="235" spans="1:8" ht="15">
      <c r="A235" s="63">
        <v>50081658</v>
      </c>
      <c r="B235" s="64" t="s">
        <v>567</v>
      </c>
      <c r="C235">
        <v>50082183</v>
      </c>
      <c r="D235" t="s">
        <v>515</v>
      </c>
      <c r="F235" s="63">
        <v>50081622</v>
      </c>
      <c r="G235" s="64" t="s">
        <v>557</v>
      </c>
      <c r="H235" s="66">
        <v>1.6561999999999999</v>
      </c>
    </row>
    <row r="236" spans="1:8" ht="15">
      <c r="A236" s="63">
        <v>50081668</v>
      </c>
      <c r="B236" s="64" t="s">
        <v>568</v>
      </c>
      <c r="C236">
        <v>50082200</v>
      </c>
      <c r="D236" t="s">
        <v>521</v>
      </c>
      <c r="F236" s="63">
        <v>50081628</v>
      </c>
      <c r="G236" s="64" t="s">
        <v>558</v>
      </c>
      <c r="H236" s="66">
        <v>4.2910000000000004</v>
      </c>
    </row>
    <row r="237" spans="1:8" ht="15">
      <c r="A237" s="63">
        <v>50081669</v>
      </c>
      <c r="B237" s="64" t="s">
        <v>569</v>
      </c>
      <c r="C237">
        <v>50082202</v>
      </c>
      <c r="D237" t="s">
        <v>519</v>
      </c>
      <c r="F237" s="63">
        <v>50081632</v>
      </c>
      <c r="G237" s="64" t="s">
        <v>560</v>
      </c>
      <c r="H237" s="66">
        <v>2.99</v>
      </c>
    </row>
    <row r="238" spans="1:8" ht="15">
      <c r="A238" s="63">
        <v>50081673</v>
      </c>
      <c r="B238" s="64" t="s">
        <v>570</v>
      </c>
      <c r="C238">
        <v>50082202</v>
      </c>
      <c r="D238" t="s">
        <v>519</v>
      </c>
      <c r="F238" s="63">
        <v>50081635</v>
      </c>
      <c r="G238" s="64" t="s">
        <v>561</v>
      </c>
      <c r="H238" s="66">
        <v>2.8420000000000001</v>
      </c>
    </row>
    <row r="239" spans="1:8" ht="15">
      <c r="A239" s="63">
        <v>50081675</v>
      </c>
      <c r="B239" s="64" t="s">
        <v>571</v>
      </c>
      <c r="C239">
        <v>50082202</v>
      </c>
      <c r="D239" t="s">
        <v>519</v>
      </c>
      <c r="F239" s="63">
        <v>50081638</v>
      </c>
      <c r="G239" s="64" t="s">
        <v>562</v>
      </c>
      <c r="H239" s="66">
        <v>2.8239999999999998</v>
      </c>
    </row>
    <row r="240" spans="1:8" ht="15">
      <c r="A240" s="63">
        <v>50081678</v>
      </c>
      <c r="B240" s="64" t="s">
        <v>572</v>
      </c>
      <c r="C240">
        <v>50082200</v>
      </c>
      <c r="D240" t="s">
        <v>521</v>
      </c>
      <c r="F240" s="63">
        <v>50081641</v>
      </c>
      <c r="G240" s="64" t="s">
        <v>1386</v>
      </c>
      <c r="H240" s="66">
        <v>3.5486</v>
      </c>
    </row>
    <row r="241" spans="1:8" ht="15">
      <c r="A241" s="63">
        <v>50081680</v>
      </c>
      <c r="B241" s="64" t="s">
        <v>254</v>
      </c>
      <c r="C241">
        <v>50082200</v>
      </c>
      <c r="D241" t="s">
        <v>521</v>
      </c>
      <c r="F241" s="63">
        <v>50081643</v>
      </c>
      <c r="G241" s="64" t="s">
        <v>563</v>
      </c>
      <c r="H241" s="66">
        <v>3.6063999999999998</v>
      </c>
    </row>
    <row r="242" spans="1:8" ht="15">
      <c r="A242" s="63">
        <v>50081683</v>
      </c>
      <c r="B242" s="64" t="s">
        <v>573</v>
      </c>
      <c r="C242">
        <v>50082200</v>
      </c>
      <c r="D242" t="s">
        <v>521</v>
      </c>
      <c r="F242" s="63">
        <v>50081646</v>
      </c>
      <c r="G242" s="64" t="s">
        <v>564</v>
      </c>
      <c r="H242" s="66">
        <v>3.5720999999999998</v>
      </c>
    </row>
    <row r="243" spans="1:8" ht="15">
      <c r="A243" s="63">
        <v>50081689</v>
      </c>
      <c r="B243" s="64" t="s">
        <v>574</v>
      </c>
      <c r="C243">
        <v>50082183</v>
      </c>
      <c r="D243" t="s">
        <v>515</v>
      </c>
      <c r="F243" s="63">
        <v>50081658</v>
      </c>
      <c r="G243" s="64" t="s">
        <v>567</v>
      </c>
      <c r="H243" s="66">
        <v>0.45590000000000003</v>
      </c>
    </row>
    <row r="244" spans="1:8" ht="15">
      <c r="A244" s="63">
        <v>50081692</v>
      </c>
      <c r="B244" s="64" t="s">
        <v>575</v>
      </c>
      <c r="C244">
        <v>50082183</v>
      </c>
      <c r="D244" t="s">
        <v>515</v>
      </c>
      <c r="F244" s="63">
        <v>50081668</v>
      </c>
      <c r="G244" s="64" t="s">
        <v>568</v>
      </c>
      <c r="H244" s="66">
        <v>1.5</v>
      </c>
    </row>
    <row r="245" spans="1:8" ht="15">
      <c r="A245" s="63">
        <v>50081695</v>
      </c>
      <c r="B245" s="64" t="s">
        <v>576</v>
      </c>
      <c r="C245">
        <v>50082183</v>
      </c>
      <c r="D245" t="s">
        <v>515</v>
      </c>
      <c r="F245" s="63">
        <v>50081669</v>
      </c>
      <c r="G245" s="64" t="s">
        <v>569</v>
      </c>
      <c r="H245" s="66">
        <v>2.2080000000000002</v>
      </c>
    </row>
    <row r="246" spans="1:8" ht="15">
      <c r="A246" s="63">
        <v>50081696</v>
      </c>
      <c r="B246" s="64" t="s">
        <v>577</v>
      </c>
      <c r="C246">
        <v>50082183</v>
      </c>
      <c r="D246" t="s">
        <v>515</v>
      </c>
      <c r="F246" s="63">
        <v>50081673</v>
      </c>
      <c r="G246" s="64" t="s">
        <v>570</v>
      </c>
      <c r="H246" s="66">
        <v>2.2309999999999999</v>
      </c>
    </row>
    <row r="247" spans="1:8" ht="15">
      <c r="A247" s="63">
        <v>50081699</v>
      </c>
      <c r="B247" s="64" t="s">
        <v>578</v>
      </c>
      <c r="C247">
        <v>50082184</v>
      </c>
      <c r="D247" t="s">
        <v>517</v>
      </c>
      <c r="F247" s="63">
        <v>50081675</v>
      </c>
      <c r="G247" s="64" t="s">
        <v>571</v>
      </c>
      <c r="H247" s="66">
        <v>2.1619999999999999</v>
      </c>
    </row>
    <row r="248" spans="1:8" ht="15">
      <c r="A248" s="63">
        <v>50081716</v>
      </c>
      <c r="B248" s="64" t="s">
        <v>582</v>
      </c>
      <c r="C248">
        <v>50082183</v>
      </c>
      <c r="D248" t="s">
        <v>515</v>
      </c>
      <c r="F248" s="63">
        <v>50081678</v>
      </c>
      <c r="G248" s="64" t="s">
        <v>572</v>
      </c>
      <c r="H248" s="66">
        <v>2.2050000000000001</v>
      </c>
    </row>
    <row r="249" spans="1:8" ht="15">
      <c r="A249" s="63">
        <v>50081719</v>
      </c>
      <c r="B249" s="64" t="s">
        <v>1389</v>
      </c>
      <c r="C249">
        <v>50082198</v>
      </c>
      <c r="D249" t="s">
        <v>1943</v>
      </c>
      <c r="F249" s="63">
        <v>50081680</v>
      </c>
      <c r="G249" s="64" t="s">
        <v>254</v>
      </c>
      <c r="H249" s="66">
        <v>1.885</v>
      </c>
    </row>
    <row r="250" spans="1:8" ht="15">
      <c r="A250" s="63">
        <v>50081722</v>
      </c>
      <c r="B250" s="64" t="s">
        <v>583</v>
      </c>
      <c r="C250">
        <v>50082202</v>
      </c>
      <c r="D250" t="s">
        <v>519</v>
      </c>
      <c r="F250" s="63">
        <v>50081683</v>
      </c>
      <c r="G250" s="64" t="s">
        <v>573</v>
      </c>
      <c r="H250" s="66">
        <v>2.177</v>
      </c>
    </row>
    <row r="251" spans="1:8" ht="15">
      <c r="A251" s="63">
        <v>50081727</v>
      </c>
      <c r="B251" s="64" t="s">
        <v>584</v>
      </c>
      <c r="C251">
        <v>50082200</v>
      </c>
      <c r="D251" t="s">
        <v>521</v>
      </c>
      <c r="F251" s="63">
        <v>50081689</v>
      </c>
      <c r="G251" s="64" t="s">
        <v>574</v>
      </c>
      <c r="H251" s="66">
        <v>2.9007999999999998</v>
      </c>
    </row>
    <row r="252" spans="1:8" ht="15">
      <c r="A252" s="63">
        <v>50081730</v>
      </c>
      <c r="B252" s="64" t="s">
        <v>585</v>
      </c>
      <c r="C252">
        <v>50082183</v>
      </c>
      <c r="D252" t="s">
        <v>515</v>
      </c>
      <c r="F252" s="63">
        <v>50081692</v>
      </c>
      <c r="G252" s="64" t="s">
        <v>575</v>
      </c>
      <c r="H252" s="66">
        <v>2.4891999999999999</v>
      </c>
    </row>
    <row r="253" spans="1:8" ht="15">
      <c r="A253" s="63">
        <v>50081733</v>
      </c>
      <c r="B253" s="64" t="s">
        <v>586</v>
      </c>
      <c r="C253">
        <v>50082183</v>
      </c>
      <c r="D253" t="s">
        <v>515</v>
      </c>
      <c r="F253" s="63">
        <v>50081695</v>
      </c>
      <c r="G253" s="64" t="s">
        <v>576</v>
      </c>
      <c r="H253" s="66">
        <v>6.3383000000000003</v>
      </c>
    </row>
    <row r="254" spans="1:8" ht="15">
      <c r="A254" s="63">
        <v>50081736</v>
      </c>
      <c r="B254" s="64" t="s">
        <v>587</v>
      </c>
      <c r="C254">
        <v>50082184</v>
      </c>
      <c r="D254" t="s">
        <v>517</v>
      </c>
      <c r="F254" s="63">
        <v>50081696</v>
      </c>
      <c r="G254" s="64" t="s">
        <v>577</v>
      </c>
      <c r="H254" s="66">
        <v>3.492</v>
      </c>
    </row>
    <row r="255" spans="1:8" ht="15">
      <c r="A255" s="63">
        <v>50081743</v>
      </c>
      <c r="B255" s="64" t="s">
        <v>588</v>
      </c>
      <c r="C255">
        <v>50082201</v>
      </c>
      <c r="D255" t="s">
        <v>589</v>
      </c>
      <c r="F255" s="63">
        <v>50081699</v>
      </c>
      <c r="G255" s="64" t="s">
        <v>578</v>
      </c>
      <c r="H255" s="66">
        <v>3.4706999999999999</v>
      </c>
    </row>
    <row r="256" spans="1:8" ht="15">
      <c r="A256" s="63">
        <v>50081760</v>
      </c>
      <c r="B256" s="64" t="s">
        <v>590</v>
      </c>
      <c r="C256">
        <v>50082202</v>
      </c>
      <c r="D256" t="s">
        <v>519</v>
      </c>
      <c r="F256" s="63">
        <v>50081716</v>
      </c>
      <c r="G256" s="64" t="s">
        <v>582</v>
      </c>
      <c r="H256" s="66">
        <v>0.56000000000000005</v>
      </c>
    </row>
    <row r="257" spans="1:8" ht="15">
      <c r="A257" s="63">
        <v>50081761</v>
      </c>
      <c r="B257" s="64" t="s">
        <v>591</v>
      </c>
      <c r="C257">
        <v>50082202</v>
      </c>
      <c r="D257" t="s">
        <v>519</v>
      </c>
      <c r="F257" s="63">
        <v>50081719</v>
      </c>
      <c r="G257" s="64" t="s">
        <v>1389</v>
      </c>
      <c r="H257" s="66">
        <v>0.58799999999999997</v>
      </c>
    </row>
    <row r="258" spans="1:8" ht="15">
      <c r="A258" s="63">
        <v>50081764</v>
      </c>
      <c r="B258" s="64" t="s">
        <v>592</v>
      </c>
      <c r="C258">
        <v>50082202</v>
      </c>
      <c r="D258" t="s">
        <v>519</v>
      </c>
      <c r="F258" s="63">
        <v>50081722</v>
      </c>
      <c r="G258" s="64" t="s">
        <v>583</v>
      </c>
      <c r="H258" s="66">
        <v>2.1240000000000001</v>
      </c>
    </row>
    <row r="259" spans="1:8" ht="15">
      <c r="A259" s="63">
        <v>50081767</v>
      </c>
      <c r="B259" s="64" t="s">
        <v>593</v>
      </c>
      <c r="C259">
        <v>50082202</v>
      </c>
      <c r="D259" t="s">
        <v>519</v>
      </c>
      <c r="F259" s="63">
        <v>50081727</v>
      </c>
      <c r="G259" s="64" t="s">
        <v>584</v>
      </c>
      <c r="H259" s="66">
        <v>1.6850000000000001</v>
      </c>
    </row>
    <row r="260" spans="1:8" ht="15">
      <c r="A260" s="63">
        <v>50081775</v>
      </c>
      <c r="B260" s="64" t="s">
        <v>595</v>
      </c>
      <c r="C260">
        <v>50082200</v>
      </c>
      <c r="D260" t="s">
        <v>521</v>
      </c>
      <c r="F260" s="63">
        <v>50081730</v>
      </c>
      <c r="G260" s="64" t="s">
        <v>585</v>
      </c>
      <c r="H260" s="66">
        <v>2.8319999999999999</v>
      </c>
    </row>
    <row r="261" spans="1:8" ht="15">
      <c r="A261" s="63">
        <v>50081785</v>
      </c>
      <c r="B261" s="64" t="s">
        <v>596</v>
      </c>
      <c r="C261">
        <v>50082184</v>
      </c>
      <c r="D261" t="s">
        <v>517</v>
      </c>
      <c r="F261" s="63">
        <v>50081733</v>
      </c>
      <c r="G261" s="64" t="s">
        <v>586</v>
      </c>
      <c r="H261" s="66">
        <v>2.95</v>
      </c>
    </row>
    <row r="262" spans="1:8" ht="15">
      <c r="A262" s="63">
        <v>50081788</v>
      </c>
      <c r="B262" s="64" t="s">
        <v>597</v>
      </c>
      <c r="C262">
        <v>50082184</v>
      </c>
      <c r="D262" t="s">
        <v>517</v>
      </c>
      <c r="F262" s="63">
        <v>50081736</v>
      </c>
      <c r="G262" s="64" t="s">
        <v>587</v>
      </c>
      <c r="H262" s="66">
        <v>2.8365999999999998</v>
      </c>
    </row>
    <row r="263" spans="1:8" ht="15">
      <c r="A263" s="63">
        <v>50081791</v>
      </c>
      <c r="B263" s="64" t="s">
        <v>598</v>
      </c>
      <c r="C263">
        <v>50082184</v>
      </c>
      <c r="D263" t="s">
        <v>517</v>
      </c>
      <c r="F263" s="63">
        <v>50081743</v>
      </c>
      <c r="G263" s="64" t="s">
        <v>588</v>
      </c>
      <c r="H263" s="66">
        <v>3.3075000000000001</v>
      </c>
    </row>
    <row r="264" spans="1:8" ht="15">
      <c r="A264" s="63">
        <v>50081796</v>
      </c>
      <c r="B264" s="64" t="s">
        <v>599</v>
      </c>
      <c r="C264">
        <v>50082184</v>
      </c>
      <c r="D264" t="s">
        <v>517</v>
      </c>
      <c r="F264" s="63">
        <v>50081760</v>
      </c>
      <c r="G264" s="64" t="s">
        <v>590</v>
      </c>
      <c r="H264" s="66">
        <v>2.2309999999999999</v>
      </c>
    </row>
    <row r="265" spans="1:8" ht="15">
      <c r="A265" s="63">
        <v>50081799</v>
      </c>
      <c r="B265" s="64" t="s">
        <v>600</v>
      </c>
      <c r="C265">
        <v>50082200</v>
      </c>
      <c r="D265" t="s">
        <v>521</v>
      </c>
      <c r="F265" s="63">
        <v>50081761</v>
      </c>
      <c r="G265" s="64" t="s">
        <v>591</v>
      </c>
      <c r="H265" s="66">
        <v>2.2080000000000002</v>
      </c>
    </row>
    <row r="266" spans="1:8" ht="15">
      <c r="A266" s="63">
        <v>50081802</v>
      </c>
      <c r="B266" s="64" t="s">
        <v>601</v>
      </c>
      <c r="C266">
        <v>50082200</v>
      </c>
      <c r="D266" t="s">
        <v>521</v>
      </c>
      <c r="F266" s="63">
        <v>50081764</v>
      </c>
      <c r="G266" s="64" t="s">
        <v>592</v>
      </c>
      <c r="H266" s="66">
        <v>2.1619999999999999</v>
      </c>
    </row>
    <row r="267" spans="1:8" ht="15">
      <c r="A267" s="63">
        <v>50081804</v>
      </c>
      <c r="B267" s="64" t="s">
        <v>602</v>
      </c>
      <c r="C267">
        <v>50082200</v>
      </c>
      <c r="D267" t="s">
        <v>521</v>
      </c>
      <c r="F267" s="63">
        <v>50081767</v>
      </c>
      <c r="G267" s="64" t="s">
        <v>593</v>
      </c>
      <c r="H267" s="66">
        <v>2.1110000000000002</v>
      </c>
    </row>
    <row r="268" spans="1:8" ht="15">
      <c r="A268" s="63">
        <v>50081807</v>
      </c>
      <c r="B268" s="64" t="s">
        <v>603</v>
      </c>
      <c r="C268">
        <v>50082200</v>
      </c>
      <c r="D268" t="s">
        <v>521</v>
      </c>
      <c r="F268" s="63">
        <v>50081775</v>
      </c>
      <c r="G268" s="64" t="s">
        <v>595</v>
      </c>
      <c r="H268" s="66">
        <v>1.6659999999999999</v>
      </c>
    </row>
    <row r="269" spans="1:8" ht="15">
      <c r="A269" s="63">
        <v>50081812</v>
      </c>
      <c r="B269" s="64" t="s">
        <v>604</v>
      </c>
      <c r="C269">
        <v>50082200</v>
      </c>
      <c r="D269" t="s">
        <v>521</v>
      </c>
      <c r="F269" s="63">
        <v>50081785</v>
      </c>
      <c r="G269" s="64" t="s">
        <v>596</v>
      </c>
      <c r="H269" s="66">
        <v>2.8714</v>
      </c>
    </row>
    <row r="270" spans="1:8" ht="15">
      <c r="A270" s="63">
        <v>50081815</v>
      </c>
      <c r="B270" s="64" t="s">
        <v>605</v>
      </c>
      <c r="C270">
        <v>50082200</v>
      </c>
      <c r="D270" t="s">
        <v>521</v>
      </c>
      <c r="F270" s="63">
        <v>50081788</v>
      </c>
      <c r="G270" s="64" t="s">
        <v>597</v>
      </c>
      <c r="H270" s="66">
        <v>3.4373999999999998</v>
      </c>
    </row>
    <row r="271" spans="1:8" ht="15">
      <c r="A271" s="63">
        <v>50081818</v>
      </c>
      <c r="B271" s="64" t="s">
        <v>606</v>
      </c>
      <c r="C271">
        <v>50082200</v>
      </c>
      <c r="D271" t="s">
        <v>521</v>
      </c>
      <c r="F271" s="63">
        <v>50081791</v>
      </c>
      <c r="G271" s="64" t="s">
        <v>598</v>
      </c>
      <c r="H271" s="66">
        <v>3.4624999999999999</v>
      </c>
    </row>
    <row r="272" spans="1:8" ht="15">
      <c r="A272" s="63">
        <v>50081821</v>
      </c>
      <c r="B272" s="64" t="s">
        <v>607</v>
      </c>
      <c r="C272">
        <v>50082183</v>
      </c>
      <c r="D272" t="s">
        <v>515</v>
      </c>
      <c r="F272" s="63">
        <v>50081796</v>
      </c>
      <c r="G272" s="64" t="s">
        <v>599</v>
      </c>
      <c r="H272" s="66">
        <v>0.56059999999999999</v>
      </c>
    </row>
    <row r="273" spans="1:8" ht="15">
      <c r="A273" s="63">
        <v>50081824</v>
      </c>
      <c r="B273" s="64" t="s">
        <v>608</v>
      </c>
      <c r="C273">
        <v>50082183</v>
      </c>
      <c r="D273" t="s">
        <v>515</v>
      </c>
      <c r="F273" s="63">
        <v>50081799</v>
      </c>
      <c r="G273" s="64" t="s">
        <v>600</v>
      </c>
      <c r="H273" s="66">
        <v>2.1657999999999999</v>
      </c>
    </row>
    <row r="274" spans="1:8" ht="15">
      <c r="A274" s="63">
        <v>50081827</v>
      </c>
      <c r="B274" s="64" t="s">
        <v>609</v>
      </c>
      <c r="C274">
        <v>50082184</v>
      </c>
      <c r="D274" t="s">
        <v>517</v>
      </c>
      <c r="F274" s="63">
        <v>50081802</v>
      </c>
      <c r="G274" s="64" t="s">
        <v>601</v>
      </c>
      <c r="H274" s="66">
        <v>1.5249999999999999</v>
      </c>
    </row>
    <row r="275" spans="1:8" ht="15">
      <c r="A275" s="63">
        <v>50081830</v>
      </c>
      <c r="B275" s="64" t="s">
        <v>610</v>
      </c>
      <c r="C275">
        <v>50082201</v>
      </c>
      <c r="D275" t="s">
        <v>589</v>
      </c>
      <c r="F275" s="63">
        <v>50081804</v>
      </c>
      <c r="G275" s="64" t="s">
        <v>602</v>
      </c>
      <c r="H275" s="66">
        <v>2.2050000000000001</v>
      </c>
    </row>
    <row r="276" spans="1:8" ht="15">
      <c r="A276" s="63">
        <v>50081831</v>
      </c>
      <c r="B276" s="64" t="s">
        <v>611</v>
      </c>
      <c r="C276">
        <v>50082201</v>
      </c>
      <c r="D276" t="s">
        <v>589</v>
      </c>
      <c r="F276" s="63">
        <v>50081807</v>
      </c>
      <c r="G276" s="64" t="s">
        <v>603</v>
      </c>
      <c r="H276" s="66">
        <v>2.177</v>
      </c>
    </row>
    <row r="277" spans="1:8" ht="15">
      <c r="A277" s="63">
        <v>50081839</v>
      </c>
      <c r="B277" s="64" t="s">
        <v>613</v>
      </c>
      <c r="C277">
        <v>50082183</v>
      </c>
      <c r="D277" t="s">
        <v>515</v>
      </c>
      <c r="F277" s="63">
        <v>50081812</v>
      </c>
      <c r="G277" s="64" t="s">
        <v>604</v>
      </c>
      <c r="H277" s="66">
        <v>1.7430000000000001</v>
      </c>
    </row>
    <row r="278" spans="1:8" ht="15">
      <c r="A278" s="63">
        <v>50081843</v>
      </c>
      <c r="B278" s="64" t="s">
        <v>614</v>
      </c>
      <c r="C278">
        <v>50082200</v>
      </c>
      <c r="D278" t="s">
        <v>521</v>
      </c>
      <c r="F278" s="63">
        <v>50081815</v>
      </c>
      <c r="G278" s="64" t="s">
        <v>605</v>
      </c>
      <c r="H278" s="66">
        <v>1.6970000000000001</v>
      </c>
    </row>
    <row r="279" spans="1:8" ht="15">
      <c r="A279" s="63">
        <v>50081846</v>
      </c>
      <c r="B279" s="64" t="s">
        <v>615</v>
      </c>
      <c r="C279">
        <v>50082199</v>
      </c>
      <c r="D279" t="s">
        <v>616</v>
      </c>
      <c r="F279" s="63">
        <v>50081818</v>
      </c>
      <c r="G279" s="64" t="s">
        <v>606</v>
      </c>
      <c r="H279" s="66">
        <v>1.73</v>
      </c>
    </row>
    <row r="280" spans="1:8" ht="15">
      <c r="A280" s="63">
        <v>50081850</v>
      </c>
      <c r="B280" s="64" t="s">
        <v>617</v>
      </c>
      <c r="C280">
        <v>50082200</v>
      </c>
      <c r="D280" t="s">
        <v>521</v>
      </c>
      <c r="F280" s="63">
        <v>50081821</v>
      </c>
      <c r="G280" s="64" t="s">
        <v>607</v>
      </c>
      <c r="H280" s="66">
        <v>2.8319999999999999</v>
      </c>
    </row>
    <row r="281" spans="1:8" ht="15">
      <c r="A281" s="63">
        <v>50081855</v>
      </c>
      <c r="B281" s="64" t="s">
        <v>618</v>
      </c>
      <c r="C281">
        <v>50082183</v>
      </c>
      <c r="D281" t="s">
        <v>515</v>
      </c>
      <c r="F281" s="63">
        <v>50081824</v>
      </c>
      <c r="G281" s="64" t="s">
        <v>608</v>
      </c>
      <c r="H281" s="66">
        <v>6.4329000000000001</v>
      </c>
    </row>
    <row r="282" spans="1:8" ht="15">
      <c r="A282" s="63">
        <v>50081856</v>
      </c>
      <c r="B282" s="64" t="s">
        <v>619</v>
      </c>
      <c r="C282">
        <v>50082183</v>
      </c>
      <c r="D282" t="s">
        <v>515</v>
      </c>
      <c r="F282" s="63">
        <v>50081827</v>
      </c>
      <c r="G282" s="64" t="s">
        <v>609</v>
      </c>
      <c r="H282" s="66">
        <v>4.41</v>
      </c>
    </row>
    <row r="283" spans="1:8" ht="15">
      <c r="A283" s="63">
        <v>50081859</v>
      </c>
      <c r="B283" s="64" t="s">
        <v>620</v>
      </c>
      <c r="C283">
        <v>50082184</v>
      </c>
      <c r="D283" t="s">
        <v>517</v>
      </c>
      <c r="F283" s="63">
        <v>50081830</v>
      </c>
      <c r="G283" s="64" t="s">
        <v>610</v>
      </c>
      <c r="H283" s="66">
        <v>3.2605</v>
      </c>
    </row>
    <row r="284" spans="1:8" ht="15">
      <c r="A284" s="63">
        <v>50081862</v>
      </c>
      <c r="B284" s="64" t="s">
        <v>621</v>
      </c>
      <c r="C284">
        <v>50082183</v>
      </c>
      <c r="D284" t="s">
        <v>515</v>
      </c>
      <c r="F284" s="63">
        <v>50081831</v>
      </c>
      <c r="G284" s="64" t="s">
        <v>611</v>
      </c>
      <c r="H284" s="66">
        <v>3.9645999999999999</v>
      </c>
    </row>
    <row r="285" spans="1:8" ht="15">
      <c r="A285" s="63">
        <v>50081865</v>
      </c>
      <c r="B285" s="64" t="s">
        <v>622</v>
      </c>
      <c r="C285">
        <v>50082184</v>
      </c>
      <c r="D285" t="s">
        <v>517</v>
      </c>
      <c r="F285" s="63">
        <v>50081839</v>
      </c>
      <c r="G285" s="64" t="s">
        <v>613</v>
      </c>
      <c r="H285" s="66">
        <v>0.48099999999999998</v>
      </c>
    </row>
    <row r="286" spans="1:8" ht="15">
      <c r="A286" s="63">
        <v>50081868</v>
      </c>
      <c r="B286" s="64" t="s">
        <v>623</v>
      </c>
      <c r="C286">
        <v>50082183</v>
      </c>
      <c r="D286" t="s">
        <v>515</v>
      </c>
      <c r="F286" s="63">
        <v>50081843</v>
      </c>
      <c r="G286" s="64" t="s">
        <v>614</v>
      </c>
      <c r="H286" s="66">
        <v>2.177</v>
      </c>
    </row>
    <row r="287" spans="1:8" ht="15">
      <c r="A287" s="63">
        <v>50081869</v>
      </c>
      <c r="B287" s="64" t="s">
        <v>624</v>
      </c>
      <c r="C287">
        <v>50082183</v>
      </c>
      <c r="D287" t="s">
        <v>515</v>
      </c>
      <c r="F287" s="63">
        <v>50081846</v>
      </c>
      <c r="G287" s="64" t="s">
        <v>615</v>
      </c>
      <c r="H287" s="66">
        <v>1.6</v>
      </c>
    </row>
    <row r="288" spans="1:8" ht="15">
      <c r="A288" s="63">
        <v>50081872</v>
      </c>
      <c r="B288" s="64" t="s">
        <v>625</v>
      </c>
      <c r="C288">
        <v>50082183</v>
      </c>
      <c r="D288" t="s">
        <v>515</v>
      </c>
      <c r="F288" s="63">
        <v>50081850</v>
      </c>
      <c r="G288" s="64" t="s">
        <v>617</v>
      </c>
      <c r="H288" s="66">
        <v>1.7638480000000001</v>
      </c>
    </row>
    <row r="289" spans="1:8" ht="15">
      <c r="A289" s="63">
        <v>50081875</v>
      </c>
      <c r="B289" s="64" t="s">
        <v>626</v>
      </c>
      <c r="C289">
        <v>50082183</v>
      </c>
      <c r="D289" t="s">
        <v>515</v>
      </c>
      <c r="F289" s="63">
        <v>50081855</v>
      </c>
      <c r="G289" s="64" t="s">
        <v>618</v>
      </c>
      <c r="H289" s="66">
        <v>1.7150000000000001</v>
      </c>
    </row>
    <row r="290" spans="1:8" ht="15">
      <c r="A290" s="63">
        <v>50081880</v>
      </c>
      <c r="B290" s="64" t="s">
        <v>627</v>
      </c>
      <c r="C290">
        <v>50082184</v>
      </c>
      <c r="D290" t="s">
        <v>517</v>
      </c>
      <c r="F290" s="63">
        <v>50081856</v>
      </c>
      <c r="G290" s="64" t="s">
        <v>619</v>
      </c>
      <c r="H290" s="66">
        <v>1.0780000000000001</v>
      </c>
    </row>
    <row r="291" spans="1:8" ht="15">
      <c r="A291" s="63">
        <v>50081883</v>
      </c>
      <c r="B291" s="64" t="s">
        <v>628</v>
      </c>
      <c r="C291">
        <v>50082201</v>
      </c>
      <c r="D291" t="s">
        <v>589</v>
      </c>
      <c r="F291" s="63">
        <v>50081859</v>
      </c>
      <c r="G291" s="64" t="s">
        <v>620</v>
      </c>
      <c r="H291" s="66">
        <v>2.8812000000000002</v>
      </c>
    </row>
    <row r="292" spans="1:8" ht="15">
      <c r="A292" s="63">
        <v>50081884</v>
      </c>
      <c r="B292" s="64" t="s">
        <v>629</v>
      </c>
      <c r="C292">
        <v>50082184</v>
      </c>
      <c r="D292" t="s">
        <v>517</v>
      </c>
      <c r="F292" s="63">
        <v>50081862</v>
      </c>
      <c r="G292" s="64" t="s">
        <v>621</v>
      </c>
      <c r="H292" s="66">
        <v>2.9</v>
      </c>
    </row>
    <row r="293" spans="1:8" ht="15">
      <c r="A293" s="63">
        <v>50081891</v>
      </c>
      <c r="B293" s="64" t="s">
        <v>631</v>
      </c>
      <c r="C293">
        <v>50082183</v>
      </c>
      <c r="D293" t="s">
        <v>515</v>
      </c>
      <c r="F293" s="63">
        <v>50081865</v>
      </c>
      <c r="G293" s="64" t="s">
        <v>622</v>
      </c>
      <c r="H293" s="66">
        <v>2.8420000000000001</v>
      </c>
    </row>
    <row r="294" spans="1:8" ht="15">
      <c r="A294" s="63">
        <v>50081894</v>
      </c>
      <c r="B294" s="64" t="s">
        <v>632</v>
      </c>
      <c r="C294">
        <v>50082184</v>
      </c>
      <c r="D294" t="s">
        <v>517</v>
      </c>
      <c r="F294" s="63">
        <v>50081868</v>
      </c>
      <c r="G294" s="64" t="s">
        <v>623</v>
      </c>
      <c r="H294" s="66">
        <v>7.8295000000000003</v>
      </c>
    </row>
    <row r="295" spans="1:8" ht="15">
      <c r="A295" s="63">
        <v>50081899</v>
      </c>
      <c r="B295" s="64" t="s">
        <v>633</v>
      </c>
      <c r="C295">
        <v>50082199</v>
      </c>
      <c r="D295" t="s">
        <v>616</v>
      </c>
      <c r="F295" s="63">
        <v>50081869</v>
      </c>
      <c r="G295" s="64" t="s">
        <v>624</v>
      </c>
      <c r="H295" s="66">
        <v>4.51</v>
      </c>
    </row>
    <row r="296" spans="1:8" ht="15">
      <c r="A296" s="63">
        <v>50081902</v>
      </c>
      <c r="B296" s="64" t="s">
        <v>219</v>
      </c>
      <c r="C296">
        <v>50082200</v>
      </c>
      <c r="D296" t="s">
        <v>521</v>
      </c>
      <c r="F296" s="63">
        <v>50081872</v>
      </c>
      <c r="G296" s="64" t="s">
        <v>625</v>
      </c>
      <c r="H296" s="66">
        <v>4.3864999999999998</v>
      </c>
    </row>
    <row r="297" spans="1:8" ht="15">
      <c r="A297" s="63">
        <v>50081905</v>
      </c>
      <c r="B297" s="64" t="s">
        <v>634</v>
      </c>
      <c r="C297">
        <v>50082202</v>
      </c>
      <c r="D297" t="s">
        <v>519</v>
      </c>
      <c r="F297" s="63">
        <v>50081875</v>
      </c>
      <c r="G297" s="64" t="s">
        <v>626</v>
      </c>
      <c r="H297" s="66">
        <v>3.6579999999999999</v>
      </c>
    </row>
    <row r="298" spans="1:8" ht="15">
      <c r="A298" s="63">
        <v>50081908</v>
      </c>
      <c r="B298" s="64" t="s">
        <v>635</v>
      </c>
      <c r="C298">
        <v>50082202</v>
      </c>
      <c r="D298" t="s">
        <v>519</v>
      </c>
      <c r="F298" s="63">
        <v>50081880</v>
      </c>
      <c r="G298" s="64" t="s">
        <v>627</v>
      </c>
      <c r="H298" s="66">
        <v>3.577</v>
      </c>
    </row>
    <row r="299" spans="1:8" ht="15">
      <c r="A299" s="63">
        <v>50081911</v>
      </c>
      <c r="B299" s="64" t="s">
        <v>636</v>
      </c>
      <c r="C299">
        <v>50082200</v>
      </c>
      <c r="D299" t="s">
        <v>521</v>
      </c>
      <c r="F299" s="63">
        <v>50081883</v>
      </c>
      <c r="G299" s="64" t="s">
        <v>628</v>
      </c>
      <c r="H299" s="66">
        <v>3.9645999999999999</v>
      </c>
    </row>
    <row r="300" spans="1:8" ht="15">
      <c r="A300" s="63">
        <v>50081914</v>
      </c>
      <c r="B300" s="64" t="s">
        <v>637</v>
      </c>
      <c r="C300">
        <v>50082199</v>
      </c>
      <c r="D300" t="s">
        <v>616</v>
      </c>
      <c r="F300" s="63">
        <v>50081884</v>
      </c>
      <c r="G300" s="64" t="s">
        <v>629</v>
      </c>
      <c r="H300" s="66">
        <v>3.4706999999999999</v>
      </c>
    </row>
    <row r="301" spans="1:8" ht="15">
      <c r="A301" s="63">
        <v>50081917</v>
      </c>
      <c r="B301" s="64" t="s">
        <v>638</v>
      </c>
      <c r="C301">
        <v>50082199</v>
      </c>
      <c r="D301" t="s">
        <v>616</v>
      </c>
      <c r="F301" s="63">
        <v>50081891</v>
      </c>
      <c r="G301" s="64" t="s">
        <v>631</v>
      </c>
      <c r="H301" s="66">
        <v>0.44879999999999998</v>
      </c>
    </row>
    <row r="302" spans="1:8" ht="15">
      <c r="A302" s="63">
        <v>50081920</v>
      </c>
      <c r="B302" s="64" t="s">
        <v>639</v>
      </c>
      <c r="C302">
        <v>50082199</v>
      </c>
      <c r="D302" t="s">
        <v>616</v>
      </c>
      <c r="F302" s="63">
        <v>50081894</v>
      </c>
      <c r="G302" s="64" t="s">
        <v>632</v>
      </c>
      <c r="H302" s="66">
        <v>0.54400000000000004</v>
      </c>
    </row>
    <row r="303" spans="1:8" ht="15">
      <c r="A303" s="63">
        <v>50081923</v>
      </c>
      <c r="B303" s="64" t="s">
        <v>640</v>
      </c>
      <c r="C303">
        <v>50082200</v>
      </c>
      <c r="D303" t="s">
        <v>521</v>
      </c>
      <c r="F303" s="63">
        <v>50081899</v>
      </c>
      <c r="G303" s="64" t="s">
        <v>633</v>
      </c>
      <c r="H303" s="66">
        <v>1.5778000000000001</v>
      </c>
    </row>
    <row r="304" spans="1:8" ht="15">
      <c r="A304" s="63">
        <v>50081926</v>
      </c>
      <c r="B304" s="64" t="s">
        <v>641</v>
      </c>
      <c r="C304">
        <v>50082200</v>
      </c>
      <c r="D304" t="s">
        <v>521</v>
      </c>
      <c r="F304" s="63">
        <v>50081902</v>
      </c>
      <c r="G304" s="64" t="s">
        <v>219</v>
      </c>
      <c r="H304" s="66">
        <v>1.5249999999999999</v>
      </c>
    </row>
    <row r="305" spans="1:8" ht="15">
      <c r="A305" s="63">
        <v>50081929</v>
      </c>
      <c r="B305" s="64" t="s">
        <v>273</v>
      </c>
      <c r="C305">
        <v>50082200</v>
      </c>
      <c r="D305" t="s">
        <v>521</v>
      </c>
      <c r="F305" s="63">
        <v>50081905</v>
      </c>
      <c r="G305" s="64" t="s">
        <v>634</v>
      </c>
      <c r="H305" s="66">
        <v>2.2309999999999999</v>
      </c>
    </row>
    <row r="306" spans="1:8" ht="15">
      <c r="A306" s="63">
        <v>50081932</v>
      </c>
      <c r="B306" s="64" t="s">
        <v>642</v>
      </c>
      <c r="C306">
        <v>50082183</v>
      </c>
      <c r="D306" t="s">
        <v>515</v>
      </c>
      <c r="F306" s="63">
        <v>50081908</v>
      </c>
      <c r="G306" s="64" t="s">
        <v>635</v>
      </c>
      <c r="H306" s="66">
        <v>2.2080000000000002</v>
      </c>
    </row>
    <row r="307" spans="1:8" ht="15">
      <c r="A307" s="63">
        <v>50081935</v>
      </c>
      <c r="B307" s="64" t="s">
        <v>643</v>
      </c>
      <c r="C307">
        <v>50082183</v>
      </c>
      <c r="D307" t="s">
        <v>515</v>
      </c>
      <c r="F307" s="63">
        <v>50081911</v>
      </c>
      <c r="G307" s="64" t="s">
        <v>636</v>
      </c>
      <c r="H307" s="66">
        <v>2.177</v>
      </c>
    </row>
    <row r="308" spans="1:8" ht="15">
      <c r="A308" s="63">
        <v>50081937</v>
      </c>
      <c r="B308" s="64" t="s">
        <v>644</v>
      </c>
      <c r="C308">
        <v>50082183</v>
      </c>
      <c r="D308" t="s">
        <v>515</v>
      </c>
      <c r="F308" s="63">
        <v>50081914</v>
      </c>
      <c r="G308" s="64" t="s">
        <v>637</v>
      </c>
      <c r="H308" s="66">
        <v>1.5940000000000001</v>
      </c>
    </row>
    <row r="309" spans="1:8" ht="15">
      <c r="A309" s="63">
        <v>50081940</v>
      </c>
      <c r="B309" s="64" t="s">
        <v>645</v>
      </c>
      <c r="C309">
        <v>50082184</v>
      </c>
      <c r="D309" t="s">
        <v>517</v>
      </c>
      <c r="F309" s="63">
        <v>50081917</v>
      </c>
      <c r="G309" s="64" t="s">
        <v>638</v>
      </c>
      <c r="H309" s="66">
        <v>1.6</v>
      </c>
    </row>
    <row r="310" spans="1:8" ht="15">
      <c r="A310" s="63">
        <v>50081943</v>
      </c>
      <c r="B310" s="64" t="s">
        <v>646</v>
      </c>
      <c r="C310">
        <v>50082184</v>
      </c>
      <c r="D310" t="s">
        <v>517</v>
      </c>
      <c r="F310" s="63">
        <v>50081920</v>
      </c>
      <c r="G310" s="64" t="s">
        <v>639</v>
      </c>
      <c r="H310" s="66">
        <v>1.6</v>
      </c>
    </row>
    <row r="311" spans="1:8" ht="15">
      <c r="A311" s="63">
        <v>50081946</v>
      </c>
      <c r="B311" s="64" t="s">
        <v>647</v>
      </c>
      <c r="C311">
        <v>50082183</v>
      </c>
      <c r="D311" t="s">
        <v>515</v>
      </c>
      <c r="F311" s="63">
        <v>50081923</v>
      </c>
      <c r="G311" s="64" t="s">
        <v>640</v>
      </c>
      <c r="H311" s="66">
        <v>1.7090000000000001</v>
      </c>
    </row>
    <row r="312" spans="1:8" ht="15">
      <c r="A312" s="63">
        <v>50081951</v>
      </c>
      <c r="B312" s="64" t="s">
        <v>648</v>
      </c>
      <c r="C312">
        <v>50082183</v>
      </c>
      <c r="D312" t="s">
        <v>515</v>
      </c>
      <c r="F312" s="63">
        <v>50081926</v>
      </c>
      <c r="G312" s="64" t="s">
        <v>641</v>
      </c>
      <c r="H312" s="66">
        <v>1.681</v>
      </c>
    </row>
    <row r="313" spans="1:8" ht="15">
      <c r="A313" s="63">
        <v>50081957</v>
      </c>
      <c r="B313" s="64" t="s">
        <v>650</v>
      </c>
      <c r="C313">
        <v>50082200</v>
      </c>
      <c r="D313" t="s">
        <v>521</v>
      </c>
      <c r="F313" s="63">
        <v>50081929</v>
      </c>
      <c r="G313" s="64" t="s">
        <v>273</v>
      </c>
      <c r="H313" s="66">
        <v>1.6659999999999999</v>
      </c>
    </row>
    <row r="314" spans="1:8" ht="15">
      <c r="A314" s="63">
        <v>50081960</v>
      </c>
      <c r="B314" s="64" t="s">
        <v>651</v>
      </c>
      <c r="C314">
        <v>50082200</v>
      </c>
      <c r="D314" t="s">
        <v>521</v>
      </c>
      <c r="F314" s="63">
        <v>50081932</v>
      </c>
      <c r="G314" s="64" t="s">
        <v>642</v>
      </c>
      <c r="H314" s="66">
        <v>2.972</v>
      </c>
    </row>
    <row r="315" spans="1:8" ht="15">
      <c r="A315" s="63">
        <v>50081963</v>
      </c>
      <c r="B315" s="64" t="s">
        <v>652</v>
      </c>
      <c r="C315">
        <v>50082200</v>
      </c>
      <c r="D315" t="s">
        <v>521</v>
      </c>
      <c r="F315" s="63">
        <v>50081935</v>
      </c>
      <c r="G315" s="64" t="s">
        <v>643</v>
      </c>
      <c r="H315" s="66">
        <v>4.4604999999999997</v>
      </c>
    </row>
    <row r="316" spans="1:8" ht="15">
      <c r="A316" s="63">
        <v>50081969</v>
      </c>
      <c r="B316" s="64" t="s">
        <v>654</v>
      </c>
      <c r="C316">
        <v>50082183</v>
      </c>
      <c r="D316" t="s">
        <v>515</v>
      </c>
      <c r="F316" s="63">
        <v>50081937</v>
      </c>
      <c r="G316" s="64" t="s">
        <v>644</v>
      </c>
      <c r="H316" s="66">
        <v>0.46179999999999999</v>
      </c>
    </row>
    <row r="317" spans="1:8" ht="15">
      <c r="A317" s="63">
        <v>50081972</v>
      </c>
      <c r="B317" s="64" t="s">
        <v>655</v>
      </c>
      <c r="C317">
        <v>50082183</v>
      </c>
      <c r="D317" t="s">
        <v>515</v>
      </c>
      <c r="F317" s="63">
        <v>50081940</v>
      </c>
      <c r="G317" s="64" t="s">
        <v>645</v>
      </c>
      <c r="H317" s="66">
        <v>0.54879999999999995</v>
      </c>
    </row>
    <row r="318" spans="1:8" ht="15">
      <c r="A318" s="63">
        <v>50081975</v>
      </c>
      <c r="B318" s="64" t="s">
        <v>656</v>
      </c>
      <c r="C318">
        <v>50082183</v>
      </c>
      <c r="D318" t="s">
        <v>515</v>
      </c>
      <c r="F318" s="63">
        <v>50081943</v>
      </c>
      <c r="G318" s="64" t="s">
        <v>646</v>
      </c>
      <c r="H318" s="66">
        <v>0.56000000000000005</v>
      </c>
    </row>
    <row r="319" spans="1:8" ht="15">
      <c r="A319" s="63">
        <v>50081977</v>
      </c>
      <c r="B319" s="64" t="s">
        <v>657</v>
      </c>
      <c r="C319">
        <v>50082183</v>
      </c>
      <c r="D319" t="s">
        <v>515</v>
      </c>
      <c r="F319" s="63">
        <v>50081946</v>
      </c>
      <c r="G319" s="64" t="s">
        <v>647</v>
      </c>
      <c r="H319" s="66">
        <v>0.45800000000000002</v>
      </c>
    </row>
    <row r="320" spans="1:8" ht="15">
      <c r="A320" s="63">
        <v>50081982</v>
      </c>
      <c r="B320" s="64" t="s">
        <v>1416</v>
      </c>
      <c r="C320">
        <v>50082198</v>
      </c>
      <c r="D320" t="s">
        <v>1943</v>
      </c>
      <c r="F320" s="63">
        <v>50081951</v>
      </c>
      <c r="G320" s="64" t="s">
        <v>648</v>
      </c>
      <c r="H320" s="66">
        <v>0.46200000000000002</v>
      </c>
    </row>
    <row r="321" spans="1:8" ht="15">
      <c r="A321" s="63">
        <v>50081985</v>
      </c>
      <c r="B321" s="64" t="s">
        <v>658</v>
      </c>
      <c r="C321">
        <v>50082183</v>
      </c>
      <c r="D321" t="s">
        <v>515</v>
      </c>
      <c r="F321" s="63">
        <v>50081957</v>
      </c>
      <c r="G321" s="64" t="s">
        <v>650</v>
      </c>
      <c r="H321" s="66">
        <v>1.679</v>
      </c>
    </row>
    <row r="322" spans="1:8" ht="15">
      <c r="A322" s="63">
        <v>50081990</v>
      </c>
      <c r="B322" s="64" t="s">
        <v>659</v>
      </c>
      <c r="C322">
        <v>50082183</v>
      </c>
      <c r="D322" t="s">
        <v>515</v>
      </c>
      <c r="F322" s="63">
        <v>50081960</v>
      </c>
      <c r="G322" s="64" t="s">
        <v>651</v>
      </c>
      <c r="H322" s="66">
        <v>1.6559999999999999</v>
      </c>
    </row>
    <row r="323" spans="1:8" ht="15">
      <c r="A323" s="63">
        <v>50082000</v>
      </c>
      <c r="B323" s="64" t="s">
        <v>667</v>
      </c>
      <c r="C323">
        <v>50082184</v>
      </c>
      <c r="D323" t="s">
        <v>517</v>
      </c>
      <c r="F323" s="63">
        <v>50081963</v>
      </c>
      <c r="G323" s="64" t="s">
        <v>652</v>
      </c>
      <c r="H323" s="66">
        <v>1.7190000000000001</v>
      </c>
    </row>
    <row r="324" spans="1:8" ht="15">
      <c r="A324" s="63">
        <v>50082003</v>
      </c>
      <c r="B324" s="64" t="s">
        <v>668</v>
      </c>
      <c r="C324">
        <v>50082184</v>
      </c>
      <c r="D324" t="s">
        <v>517</v>
      </c>
      <c r="F324" s="63">
        <v>50081969</v>
      </c>
      <c r="G324" s="64" t="s">
        <v>654</v>
      </c>
      <c r="H324" s="66">
        <v>2.9792000000000001</v>
      </c>
    </row>
    <row r="325" spans="1:8" ht="15">
      <c r="A325" s="63">
        <v>50082006</v>
      </c>
      <c r="B325" s="64" t="s">
        <v>669</v>
      </c>
      <c r="C325">
        <v>50082200</v>
      </c>
      <c r="D325" t="s">
        <v>521</v>
      </c>
      <c r="F325" s="63">
        <v>50081972</v>
      </c>
      <c r="G325" s="64" t="s">
        <v>655</v>
      </c>
      <c r="H325" s="66">
        <v>4.33</v>
      </c>
    </row>
    <row r="326" spans="1:8" ht="15">
      <c r="A326" s="63">
        <v>50082010</v>
      </c>
      <c r="B326" s="64" t="s">
        <v>670</v>
      </c>
      <c r="C326">
        <v>50082200</v>
      </c>
      <c r="D326" t="s">
        <v>521</v>
      </c>
      <c r="F326" s="63">
        <v>50081975</v>
      </c>
      <c r="G326" s="64" t="s">
        <v>656</v>
      </c>
      <c r="H326" s="66">
        <v>4.4219999999999997</v>
      </c>
    </row>
    <row r="327" spans="1:8" ht="15">
      <c r="A327" s="63">
        <v>50082013</v>
      </c>
      <c r="B327" s="64" t="s">
        <v>671</v>
      </c>
      <c r="C327">
        <v>50082200</v>
      </c>
      <c r="D327" t="s">
        <v>521</v>
      </c>
      <c r="F327" s="63">
        <v>50081977</v>
      </c>
      <c r="G327" s="64" t="s">
        <v>657</v>
      </c>
      <c r="H327" s="66">
        <v>3.5308999999999999</v>
      </c>
    </row>
    <row r="328" spans="1:8" ht="15">
      <c r="A328" s="63">
        <v>50082016</v>
      </c>
      <c r="B328" s="64" t="s">
        <v>672</v>
      </c>
      <c r="C328">
        <v>50082200</v>
      </c>
      <c r="D328" t="s">
        <v>521</v>
      </c>
      <c r="F328" s="63">
        <v>50081982</v>
      </c>
      <c r="G328" s="64" t="s">
        <v>1416</v>
      </c>
      <c r="H328" s="66">
        <v>3.65</v>
      </c>
    </row>
    <row r="329" spans="1:8" ht="15">
      <c r="A329" s="63">
        <v>50082021</v>
      </c>
      <c r="B329" s="64" t="s">
        <v>673</v>
      </c>
      <c r="C329">
        <v>50082183</v>
      </c>
      <c r="D329" t="s">
        <v>515</v>
      </c>
      <c r="F329" s="63">
        <v>50081985</v>
      </c>
      <c r="G329" s="64" t="s">
        <v>658</v>
      </c>
      <c r="H329" s="66">
        <v>3.9645999999999999</v>
      </c>
    </row>
    <row r="330" spans="1:8" ht="15">
      <c r="A330" s="63">
        <v>50082024</v>
      </c>
      <c r="B330" s="64" t="s">
        <v>674</v>
      </c>
      <c r="C330">
        <v>50082183</v>
      </c>
      <c r="D330" t="s">
        <v>515</v>
      </c>
      <c r="F330" s="63">
        <v>50081990</v>
      </c>
      <c r="G330" s="64" t="s">
        <v>659</v>
      </c>
      <c r="H330" s="66">
        <v>3.6970000000000001</v>
      </c>
    </row>
    <row r="331" spans="1:8" ht="15">
      <c r="A331" s="63">
        <v>50082027</v>
      </c>
      <c r="B331" s="64" t="s">
        <v>675</v>
      </c>
      <c r="C331">
        <v>50082183</v>
      </c>
      <c r="D331" t="s">
        <v>515</v>
      </c>
      <c r="F331" s="63">
        <v>50082000</v>
      </c>
      <c r="G331" s="64" t="s">
        <v>667</v>
      </c>
      <c r="H331" s="66">
        <v>0.56059999999999999</v>
      </c>
    </row>
    <row r="332" spans="1:8" ht="15">
      <c r="A332" s="63">
        <v>50082035</v>
      </c>
      <c r="B332" s="64" t="s">
        <v>678</v>
      </c>
      <c r="C332">
        <v>50082184</v>
      </c>
      <c r="D332" t="s">
        <v>517</v>
      </c>
      <c r="F332" s="63">
        <v>50082003</v>
      </c>
      <c r="G332" s="64" t="s">
        <v>668</v>
      </c>
      <c r="H332" s="66">
        <v>0.60860000000000003</v>
      </c>
    </row>
    <row r="333" spans="1:8" ht="15">
      <c r="A333" s="63">
        <v>50082038</v>
      </c>
      <c r="B333" s="64" t="s">
        <v>679</v>
      </c>
      <c r="C333">
        <v>50082184</v>
      </c>
      <c r="D333" t="s">
        <v>517</v>
      </c>
      <c r="F333" s="63">
        <v>50082006</v>
      </c>
      <c r="G333" s="64" t="s">
        <v>669</v>
      </c>
      <c r="H333" s="66">
        <v>1.5249999999999999</v>
      </c>
    </row>
    <row r="334" spans="1:8" ht="15">
      <c r="A334" s="63">
        <v>50082041</v>
      </c>
      <c r="B334" s="64" t="s">
        <v>680</v>
      </c>
      <c r="C334">
        <v>50082183</v>
      </c>
      <c r="D334" t="s">
        <v>515</v>
      </c>
      <c r="F334" s="63">
        <v>50082010</v>
      </c>
      <c r="G334" s="64" t="s">
        <v>670</v>
      </c>
      <c r="H334" s="66">
        <v>1.72</v>
      </c>
    </row>
    <row r="335" spans="1:8" ht="15">
      <c r="A335" s="63">
        <v>50082044</v>
      </c>
      <c r="B335" s="64" t="s">
        <v>681</v>
      </c>
      <c r="C335">
        <v>50082183</v>
      </c>
      <c r="D335" t="s">
        <v>515</v>
      </c>
      <c r="F335" s="63">
        <v>50082013</v>
      </c>
      <c r="G335" s="64" t="s">
        <v>671</v>
      </c>
      <c r="H335" s="66">
        <v>1.6950000000000001</v>
      </c>
    </row>
    <row r="336" spans="1:8" ht="15">
      <c r="A336" s="63">
        <v>50082047</v>
      </c>
      <c r="B336" s="64" t="s">
        <v>683</v>
      </c>
      <c r="C336">
        <v>50082184</v>
      </c>
      <c r="D336" t="s">
        <v>517</v>
      </c>
      <c r="F336" s="63">
        <v>50082016</v>
      </c>
      <c r="G336" s="64" t="s">
        <v>672</v>
      </c>
      <c r="H336" s="66">
        <v>1.72</v>
      </c>
    </row>
    <row r="337" spans="1:8" ht="15">
      <c r="A337" s="63">
        <v>50082052</v>
      </c>
      <c r="B337" s="64" t="s">
        <v>684</v>
      </c>
      <c r="C337">
        <v>50082200</v>
      </c>
      <c r="D337" t="s">
        <v>521</v>
      </c>
      <c r="F337" s="63">
        <v>50082021</v>
      </c>
      <c r="G337" s="64" t="s">
        <v>673</v>
      </c>
      <c r="H337" s="66">
        <v>2.8675000000000002</v>
      </c>
    </row>
    <row r="338" spans="1:8" ht="15">
      <c r="A338" s="63">
        <v>50082055</v>
      </c>
      <c r="B338" s="64" t="s">
        <v>685</v>
      </c>
      <c r="C338">
        <v>50082183</v>
      </c>
      <c r="D338" t="s">
        <v>515</v>
      </c>
      <c r="F338" s="63">
        <v>50082024</v>
      </c>
      <c r="G338" s="64" t="s">
        <v>674</v>
      </c>
      <c r="H338" s="66">
        <v>2.9780000000000002</v>
      </c>
    </row>
    <row r="339" spans="1:8" ht="15">
      <c r="A339" s="63">
        <v>50082058</v>
      </c>
      <c r="B339" s="64" t="s">
        <v>686</v>
      </c>
      <c r="C339">
        <v>50082184</v>
      </c>
      <c r="D339" t="s">
        <v>517</v>
      </c>
      <c r="F339" s="63">
        <v>50082027</v>
      </c>
      <c r="G339" s="64" t="s">
        <v>675</v>
      </c>
      <c r="H339" s="66">
        <v>2.5150000000000001</v>
      </c>
    </row>
    <row r="340" spans="1:8" ht="15">
      <c r="A340" s="63">
        <v>50082061</v>
      </c>
      <c r="B340" s="64" t="s">
        <v>687</v>
      </c>
      <c r="C340">
        <v>50082184</v>
      </c>
      <c r="D340" t="s">
        <v>517</v>
      </c>
      <c r="F340" s="63">
        <v>50082035</v>
      </c>
      <c r="G340" s="64" t="s">
        <v>678</v>
      </c>
      <c r="H340" s="66">
        <v>0.57344700000000004</v>
      </c>
    </row>
    <row r="341" spans="1:8" ht="15">
      <c r="A341" s="63">
        <v>50082064</v>
      </c>
      <c r="B341" s="64" t="s">
        <v>688</v>
      </c>
      <c r="C341">
        <v>50082183</v>
      </c>
      <c r="D341" t="s">
        <v>515</v>
      </c>
      <c r="F341" s="63">
        <v>50082038</v>
      </c>
      <c r="G341" s="64" t="s">
        <v>679</v>
      </c>
      <c r="H341" s="66">
        <v>0.57089999999999996</v>
      </c>
    </row>
    <row r="342" spans="1:8" ht="15">
      <c r="A342" s="63">
        <v>50082067</v>
      </c>
      <c r="B342" s="64" t="s">
        <v>689</v>
      </c>
      <c r="C342">
        <v>50082183</v>
      </c>
      <c r="D342" t="s">
        <v>515</v>
      </c>
      <c r="F342" s="63">
        <v>50082041</v>
      </c>
      <c r="G342" s="64" t="s">
        <v>680</v>
      </c>
      <c r="H342" s="66">
        <v>0.44879999999999998</v>
      </c>
    </row>
    <row r="343" spans="1:8" ht="15">
      <c r="A343" s="63">
        <v>50082076</v>
      </c>
      <c r="B343" s="64" t="s">
        <v>79</v>
      </c>
      <c r="C343">
        <v>50082184</v>
      </c>
      <c r="D343" t="s">
        <v>517</v>
      </c>
      <c r="F343" s="63">
        <v>50082044</v>
      </c>
      <c r="G343" s="64" t="s">
        <v>681</v>
      </c>
      <c r="H343" s="66">
        <v>0.45279999999999998</v>
      </c>
    </row>
    <row r="344" spans="1:8" ht="15">
      <c r="A344" s="63">
        <v>50082079</v>
      </c>
      <c r="B344" s="64" t="s">
        <v>690</v>
      </c>
      <c r="C344">
        <v>50082199</v>
      </c>
      <c r="D344" t="s">
        <v>616</v>
      </c>
      <c r="F344" s="63">
        <v>50082047</v>
      </c>
      <c r="G344" s="64" t="s">
        <v>683</v>
      </c>
      <c r="H344" s="66">
        <v>0.56059999999999999</v>
      </c>
    </row>
    <row r="345" spans="1:8" ht="15">
      <c r="A345" s="63">
        <v>50082080</v>
      </c>
      <c r="B345" s="64" t="s">
        <v>691</v>
      </c>
      <c r="C345">
        <v>50082200</v>
      </c>
      <c r="D345" t="s">
        <v>521</v>
      </c>
      <c r="F345" s="63">
        <v>50082052</v>
      </c>
      <c r="G345" s="64" t="s">
        <v>684</v>
      </c>
      <c r="H345" s="66">
        <v>1.718</v>
      </c>
    </row>
    <row r="346" spans="1:8" ht="15">
      <c r="A346" s="63">
        <v>50082083</v>
      </c>
      <c r="B346" s="64" t="s">
        <v>692</v>
      </c>
      <c r="C346">
        <v>50082200</v>
      </c>
      <c r="D346" t="s">
        <v>521</v>
      </c>
      <c r="F346" s="63">
        <v>50082055</v>
      </c>
      <c r="G346" s="64" t="s">
        <v>685</v>
      </c>
      <c r="H346" s="66">
        <v>4.4775999999999998</v>
      </c>
    </row>
    <row r="347" spans="1:8" ht="15">
      <c r="A347" s="63">
        <v>50082086</v>
      </c>
      <c r="B347" s="64" t="s">
        <v>693</v>
      </c>
      <c r="C347">
        <v>50082184</v>
      </c>
      <c r="D347" t="s">
        <v>517</v>
      </c>
      <c r="F347" s="63">
        <v>50082058</v>
      </c>
      <c r="G347" s="64" t="s">
        <v>686</v>
      </c>
      <c r="H347" s="66">
        <v>3.577</v>
      </c>
    </row>
    <row r="348" spans="1:8" ht="15">
      <c r="A348" s="63">
        <v>50082089</v>
      </c>
      <c r="B348" s="64" t="s">
        <v>694</v>
      </c>
      <c r="C348">
        <v>50082183</v>
      </c>
      <c r="D348" t="s">
        <v>515</v>
      </c>
      <c r="F348" s="63">
        <v>50082061</v>
      </c>
      <c r="G348" s="64" t="s">
        <v>687</v>
      </c>
      <c r="H348" s="66">
        <v>3.5529999999999999</v>
      </c>
    </row>
    <row r="349" spans="1:8" ht="15">
      <c r="A349" s="63">
        <v>50082092</v>
      </c>
      <c r="B349" s="64" t="s">
        <v>695</v>
      </c>
      <c r="C349">
        <v>50082183</v>
      </c>
      <c r="D349" t="s">
        <v>515</v>
      </c>
      <c r="F349" s="63">
        <v>50082064</v>
      </c>
      <c r="G349" s="64" t="s">
        <v>688</v>
      </c>
      <c r="H349" s="66">
        <v>3.9645999999999999</v>
      </c>
    </row>
    <row r="350" spans="1:8" ht="15">
      <c r="A350" s="63">
        <v>50082095</v>
      </c>
      <c r="B350" s="64" t="s">
        <v>196</v>
      </c>
      <c r="C350">
        <v>50082184</v>
      </c>
      <c r="D350" t="s">
        <v>517</v>
      </c>
      <c r="F350" s="63">
        <v>50082067</v>
      </c>
      <c r="G350" s="64" t="s">
        <v>689</v>
      </c>
      <c r="H350" s="66">
        <v>3.5720999999999998</v>
      </c>
    </row>
    <row r="351" spans="1:8" ht="15">
      <c r="A351" s="63">
        <v>50082105</v>
      </c>
      <c r="B351" s="64" t="s">
        <v>697</v>
      </c>
      <c r="C351">
        <v>50082181</v>
      </c>
      <c r="D351" t="s">
        <v>566</v>
      </c>
      <c r="F351" s="63">
        <v>50082076</v>
      </c>
      <c r="G351" s="64" t="s">
        <v>79</v>
      </c>
      <c r="H351" s="66">
        <v>0.621</v>
      </c>
    </row>
    <row r="352" spans="1:8" ht="15">
      <c r="A352" s="63">
        <v>50082108</v>
      </c>
      <c r="B352" s="64" t="s">
        <v>698</v>
      </c>
      <c r="C352">
        <v>50082200</v>
      </c>
      <c r="D352" t="s">
        <v>521</v>
      </c>
      <c r="F352" s="63">
        <v>50082079</v>
      </c>
      <c r="G352" s="64" t="s">
        <v>690</v>
      </c>
      <c r="H352" s="66">
        <v>1.5940000000000001</v>
      </c>
    </row>
    <row r="353" spans="1:8" ht="15">
      <c r="A353" s="63">
        <v>50082111</v>
      </c>
      <c r="B353" s="64" t="s">
        <v>699</v>
      </c>
      <c r="C353">
        <v>50082200</v>
      </c>
      <c r="D353" t="s">
        <v>521</v>
      </c>
      <c r="F353" s="63">
        <v>50082080</v>
      </c>
      <c r="G353" s="64" t="s">
        <v>691</v>
      </c>
      <c r="H353" s="66">
        <v>1.7050000000000001</v>
      </c>
    </row>
    <row r="354" spans="1:8" ht="15">
      <c r="A354" s="63">
        <v>50082116</v>
      </c>
      <c r="B354" s="64" t="s">
        <v>700</v>
      </c>
      <c r="C354">
        <v>50082184</v>
      </c>
      <c r="D354" t="s">
        <v>517</v>
      </c>
      <c r="F354" s="63">
        <v>50082083</v>
      </c>
      <c r="G354" s="64" t="s">
        <v>692</v>
      </c>
      <c r="H354" s="66">
        <v>1.7150000000000001</v>
      </c>
    </row>
    <row r="355" spans="1:8" ht="15">
      <c r="A355" s="63">
        <v>50082117</v>
      </c>
      <c r="B355" s="64" t="s">
        <v>701</v>
      </c>
      <c r="C355">
        <v>50082184</v>
      </c>
      <c r="D355" t="s">
        <v>517</v>
      </c>
      <c r="F355" s="63">
        <v>50082086</v>
      </c>
      <c r="G355" s="64" t="s">
        <v>693</v>
      </c>
      <c r="H355" s="66">
        <v>2.7831999999999999</v>
      </c>
    </row>
    <row r="356" spans="1:8" ht="15">
      <c r="A356" s="63">
        <v>50082120</v>
      </c>
      <c r="B356" s="64" t="s">
        <v>702</v>
      </c>
      <c r="C356">
        <v>50082184</v>
      </c>
      <c r="D356" t="s">
        <v>517</v>
      </c>
      <c r="F356" s="63">
        <v>50082089</v>
      </c>
      <c r="G356" s="64" t="s">
        <v>694</v>
      </c>
      <c r="H356" s="66">
        <v>2.9331</v>
      </c>
    </row>
    <row r="357" spans="1:8" ht="15">
      <c r="A357" s="63">
        <v>50082122</v>
      </c>
      <c r="B357" s="64" t="s">
        <v>703</v>
      </c>
      <c r="C357">
        <v>50082184</v>
      </c>
      <c r="D357" t="s">
        <v>517</v>
      </c>
      <c r="F357" s="63">
        <v>50082092</v>
      </c>
      <c r="G357" s="64" t="s">
        <v>695</v>
      </c>
      <c r="H357" s="66">
        <v>2.8288000000000002</v>
      </c>
    </row>
    <row r="358" spans="1:8" ht="15">
      <c r="A358" s="63">
        <v>50082125</v>
      </c>
      <c r="B358" s="64" t="s">
        <v>704</v>
      </c>
      <c r="C358">
        <v>50082184</v>
      </c>
      <c r="D358" t="s">
        <v>517</v>
      </c>
      <c r="F358" s="63">
        <v>50082095</v>
      </c>
      <c r="G358" s="64" t="s">
        <v>196</v>
      </c>
      <c r="H358" s="66">
        <v>0.5595</v>
      </c>
    </row>
    <row r="359" spans="1:8" ht="15">
      <c r="A359" s="63">
        <v>50082128</v>
      </c>
      <c r="B359" s="64" t="s">
        <v>705</v>
      </c>
      <c r="C359">
        <v>50082184</v>
      </c>
      <c r="D359" t="s">
        <v>517</v>
      </c>
      <c r="F359" s="63">
        <v>50082105</v>
      </c>
      <c r="G359" s="64" t="s">
        <v>697</v>
      </c>
      <c r="H359" s="66">
        <v>2.4500000000000002</v>
      </c>
    </row>
    <row r="360" spans="1:8" ht="15">
      <c r="A360" s="63">
        <v>50082132</v>
      </c>
      <c r="B360" s="64" t="s">
        <v>706</v>
      </c>
      <c r="C360">
        <v>50082184</v>
      </c>
      <c r="D360" t="s">
        <v>517</v>
      </c>
      <c r="F360" s="63">
        <v>50082108</v>
      </c>
      <c r="G360" s="64" t="s">
        <v>698</v>
      </c>
      <c r="H360" s="66">
        <v>1.6561999999999999</v>
      </c>
    </row>
    <row r="361" spans="1:8" ht="15">
      <c r="A361" s="63">
        <v>50082138</v>
      </c>
      <c r="B361" s="64" t="s">
        <v>707</v>
      </c>
      <c r="C361">
        <v>50082200</v>
      </c>
      <c r="D361" t="s">
        <v>521</v>
      </c>
      <c r="F361" s="63">
        <v>50082111</v>
      </c>
      <c r="G361" s="64" t="s">
        <v>699</v>
      </c>
      <c r="H361" s="66">
        <v>1.6859999999999999</v>
      </c>
    </row>
    <row r="362" spans="1:8" ht="15">
      <c r="A362" s="63">
        <v>50082141</v>
      </c>
      <c r="B362" s="64" t="s">
        <v>708</v>
      </c>
      <c r="C362">
        <v>50082184</v>
      </c>
      <c r="D362" t="s">
        <v>517</v>
      </c>
      <c r="F362" s="63">
        <v>50082116</v>
      </c>
      <c r="G362" s="64" t="s">
        <v>700</v>
      </c>
      <c r="H362" s="66">
        <v>2.8812000000000002</v>
      </c>
    </row>
    <row r="363" spans="1:8" ht="15">
      <c r="A363" s="63">
        <v>50082147</v>
      </c>
      <c r="B363" s="64" t="s">
        <v>711</v>
      </c>
      <c r="C363">
        <v>50082184</v>
      </c>
      <c r="D363" t="s">
        <v>517</v>
      </c>
      <c r="F363" s="63">
        <v>50082117</v>
      </c>
      <c r="G363" s="64" t="s">
        <v>701</v>
      </c>
      <c r="H363" s="66">
        <v>2.7831999999999999</v>
      </c>
    </row>
    <row r="364" spans="1:8" ht="15">
      <c r="A364" s="63">
        <v>50082154</v>
      </c>
      <c r="B364" s="64" t="s">
        <v>712</v>
      </c>
      <c r="C364">
        <v>50082181</v>
      </c>
      <c r="D364" t="s">
        <v>566</v>
      </c>
      <c r="F364" s="63">
        <v>50082120</v>
      </c>
      <c r="G364" s="64" t="s">
        <v>702</v>
      </c>
      <c r="H364" s="66">
        <v>8</v>
      </c>
    </row>
    <row r="365" spans="1:8" ht="15">
      <c r="A365" s="63">
        <v>50082155</v>
      </c>
      <c r="B365" s="64" t="s">
        <v>78</v>
      </c>
      <c r="C365">
        <v>50082199</v>
      </c>
      <c r="D365" t="s">
        <v>616</v>
      </c>
      <c r="F365" s="63">
        <v>50082122</v>
      </c>
      <c r="G365" s="64" t="s">
        <v>703</v>
      </c>
      <c r="H365" s="66">
        <v>6.6444000000000001</v>
      </c>
    </row>
    <row r="366" spans="1:8" ht="15">
      <c r="A366" s="63">
        <v>50082158</v>
      </c>
      <c r="B366" s="64" t="s">
        <v>713</v>
      </c>
      <c r="C366">
        <v>50082200</v>
      </c>
      <c r="D366" t="s">
        <v>521</v>
      </c>
      <c r="F366" s="63">
        <v>50082125</v>
      </c>
      <c r="G366" s="64" t="s">
        <v>704</v>
      </c>
      <c r="H366" s="66">
        <v>4.3704999999999998</v>
      </c>
    </row>
    <row r="367" spans="1:8" ht="15">
      <c r="A367" s="63">
        <v>50082162</v>
      </c>
      <c r="B367" s="64" t="s">
        <v>321</v>
      </c>
      <c r="C367">
        <v>50082184</v>
      </c>
      <c r="D367" t="s">
        <v>517</v>
      </c>
      <c r="F367" s="63">
        <v>50082128</v>
      </c>
      <c r="G367" s="64" t="s">
        <v>705</v>
      </c>
      <c r="H367" s="66">
        <v>3.552</v>
      </c>
    </row>
    <row r="368" spans="1:8" ht="15">
      <c r="A368" s="63">
        <v>50082165</v>
      </c>
      <c r="B368" s="64" t="s">
        <v>714</v>
      </c>
      <c r="C368">
        <v>50082184</v>
      </c>
      <c r="D368" t="s">
        <v>517</v>
      </c>
      <c r="F368" s="63">
        <v>50082132</v>
      </c>
      <c r="G368" s="64" t="s">
        <v>706</v>
      </c>
      <c r="H368" s="66">
        <v>0.56059999999999999</v>
      </c>
    </row>
    <row r="369" spans="1:8" ht="15">
      <c r="A369" s="63">
        <v>50082168</v>
      </c>
      <c r="B369" s="64" t="s">
        <v>715</v>
      </c>
      <c r="C369">
        <v>50082184</v>
      </c>
      <c r="D369" t="s">
        <v>517</v>
      </c>
      <c r="F369" s="63">
        <v>50082138</v>
      </c>
      <c r="G369" s="64" t="s">
        <v>707</v>
      </c>
      <c r="H369" s="66">
        <v>1.72</v>
      </c>
    </row>
    <row r="370" spans="1:8" ht="15">
      <c r="A370" s="63">
        <v>50082174</v>
      </c>
      <c r="B370" s="64" t="s">
        <v>717</v>
      </c>
      <c r="C370">
        <v>50082184</v>
      </c>
      <c r="D370" t="s">
        <v>517</v>
      </c>
      <c r="F370" s="63">
        <v>50082141</v>
      </c>
      <c r="G370" s="64" t="s">
        <v>708</v>
      </c>
      <c r="H370" s="66">
        <v>2.8239999999999998</v>
      </c>
    </row>
    <row r="371" spans="1:8" ht="15">
      <c r="A371" s="63">
        <v>50082185</v>
      </c>
      <c r="B371" s="64" t="s">
        <v>722</v>
      </c>
      <c r="C371">
        <v>50082199</v>
      </c>
      <c r="D371" t="s">
        <v>616</v>
      </c>
      <c r="F371" s="63">
        <v>50082147</v>
      </c>
      <c r="G371" s="64" t="s">
        <v>711</v>
      </c>
      <c r="H371" s="66">
        <v>0.57089999999999996</v>
      </c>
    </row>
    <row r="372" spans="1:8" ht="15">
      <c r="A372" s="63">
        <v>50082210</v>
      </c>
      <c r="B372" s="64" t="s">
        <v>725</v>
      </c>
      <c r="C372">
        <v>50082200</v>
      </c>
      <c r="D372" t="s">
        <v>521</v>
      </c>
      <c r="F372" s="63">
        <v>50082154</v>
      </c>
      <c r="G372" s="64" t="s">
        <v>712</v>
      </c>
      <c r="H372" s="66">
        <v>1.8129999999999999</v>
      </c>
    </row>
    <row r="373" spans="1:8" ht="15">
      <c r="A373" s="63">
        <v>50082227</v>
      </c>
      <c r="B373" s="64" t="s">
        <v>727</v>
      </c>
      <c r="C373">
        <v>50082183</v>
      </c>
      <c r="D373" t="s">
        <v>515</v>
      </c>
      <c r="F373" s="63">
        <v>50082155</v>
      </c>
      <c r="G373" s="64" t="s">
        <v>78</v>
      </c>
      <c r="H373" s="66">
        <v>1.5940000000000001</v>
      </c>
    </row>
    <row r="374" spans="1:8" ht="15">
      <c r="A374" s="63">
        <v>50082231</v>
      </c>
      <c r="B374" s="64" t="s">
        <v>728</v>
      </c>
      <c r="C374">
        <v>50082183</v>
      </c>
      <c r="D374" t="s">
        <v>515</v>
      </c>
      <c r="F374" s="63">
        <v>50082158</v>
      </c>
      <c r="G374" s="64" t="s">
        <v>713</v>
      </c>
      <c r="H374" s="66">
        <v>1.6850000000000001</v>
      </c>
    </row>
    <row r="375" spans="1:8" ht="15">
      <c r="A375" s="63">
        <v>50082234</v>
      </c>
      <c r="B375" s="64" t="s">
        <v>2723</v>
      </c>
      <c r="C375">
        <v>50082198</v>
      </c>
      <c r="D375" t="s">
        <v>1943</v>
      </c>
      <c r="F375" s="63">
        <v>50082162</v>
      </c>
      <c r="G375" s="64" t="s">
        <v>321</v>
      </c>
      <c r="H375" s="66">
        <v>7.6729000000000003</v>
      </c>
    </row>
    <row r="376" spans="1:8" ht="15">
      <c r="A376" s="63">
        <v>50082241</v>
      </c>
      <c r="B376" s="64" t="s">
        <v>730</v>
      </c>
      <c r="C376">
        <v>50082183</v>
      </c>
      <c r="D376" t="s">
        <v>515</v>
      </c>
      <c r="F376" s="63">
        <v>50082165</v>
      </c>
      <c r="G376" s="64" t="s">
        <v>714</v>
      </c>
      <c r="H376" s="66">
        <v>4.3864999999999998</v>
      </c>
    </row>
    <row r="377" spans="1:8" ht="15">
      <c r="A377" s="63">
        <v>50082245</v>
      </c>
      <c r="B377" s="64" t="s">
        <v>731</v>
      </c>
      <c r="C377">
        <v>50082183</v>
      </c>
      <c r="D377" t="s">
        <v>515</v>
      </c>
      <c r="F377" s="63">
        <v>50082168</v>
      </c>
      <c r="G377" s="64" t="s">
        <v>715</v>
      </c>
      <c r="H377" s="66">
        <v>3.5491000000000001</v>
      </c>
    </row>
    <row r="378" spans="1:8" ht="15">
      <c r="A378" s="63">
        <v>50082246</v>
      </c>
      <c r="B378" s="64" t="s">
        <v>732</v>
      </c>
      <c r="C378">
        <v>50082183</v>
      </c>
      <c r="D378" t="s">
        <v>515</v>
      </c>
      <c r="F378" s="63">
        <v>50082174</v>
      </c>
      <c r="G378" s="64" t="s">
        <v>717</v>
      </c>
      <c r="H378" s="66">
        <v>2.8420000000000001</v>
      </c>
    </row>
    <row r="379" spans="1:8" ht="15">
      <c r="A379" s="63">
        <v>50082249</v>
      </c>
      <c r="B379" s="64" t="s">
        <v>1449</v>
      </c>
      <c r="C379">
        <v>50082198</v>
      </c>
      <c r="D379" t="s">
        <v>1943</v>
      </c>
      <c r="F379" s="63">
        <v>50082185</v>
      </c>
      <c r="G379" s="64" t="s">
        <v>722</v>
      </c>
      <c r="H379" s="66">
        <v>1.5778000000000001</v>
      </c>
    </row>
    <row r="380" spans="1:8" ht="15">
      <c r="A380" s="63">
        <v>50082252</v>
      </c>
      <c r="B380" s="64" t="s">
        <v>1451</v>
      </c>
      <c r="C380">
        <v>50082198</v>
      </c>
      <c r="D380" t="s">
        <v>1943</v>
      </c>
      <c r="F380" s="63">
        <v>50082210</v>
      </c>
      <c r="G380" s="64" t="s">
        <v>725</v>
      </c>
      <c r="H380" s="66">
        <v>1.6659999999999999</v>
      </c>
    </row>
    <row r="381" spans="1:8" ht="15">
      <c r="A381" s="63">
        <v>50082261</v>
      </c>
      <c r="B381" s="64" t="s">
        <v>734</v>
      </c>
      <c r="C381">
        <v>50082202</v>
      </c>
      <c r="D381" t="s">
        <v>519</v>
      </c>
      <c r="F381" s="63">
        <v>50082227</v>
      </c>
      <c r="G381" s="64" t="s">
        <v>727</v>
      </c>
      <c r="H381" s="66">
        <v>0.49299999999999999</v>
      </c>
    </row>
    <row r="382" spans="1:8" ht="15">
      <c r="A382" s="63">
        <v>50082322</v>
      </c>
      <c r="B382" s="64" t="s">
        <v>735</v>
      </c>
      <c r="C382">
        <v>50082200</v>
      </c>
      <c r="D382" t="s">
        <v>521</v>
      </c>
      <c r="F382" s="63">
        <v>50082231</v>
      </c>
      <c r="G382" s="64" t="s">
        <v>728</v>
      </c>
      <c r="H382" s="66">
        <v>3.577</v>
      </c>
    </row>
    <row r="383" spans="1:8" ht="15">
      <c r="A383" s="63">
        <v>50082364</v>
      </c>
      <c r="B383" s="64" t="s">
        <v>737</v>
      </c>
      <c r="C383">
        <v>50082183</v>
      </c>
      <c r="D383" t="s">
        <v>515</v>
      </c>
      <c r="F383" s="63">
        <v>50082234</v>
      </c>
      <c r="G383" s="64" t="s">
        <v>2723</v>
      </c>
      <c r="H383" s="66">
        <v>6.6444000000000001</v>
      </c>
    </row>
    <row r="384" spans="1:8" ht="15">
      <c r="A384" s="63">
        <v>50082367</v>
      </c>
      <c r="B384" s="64" t="s">
        <v>738</v>
      </c>
      <c r="C384">
        <v>50082183</v>
      </c>
      <c r="D384" t="s">
        <v>515</v>
      </c>
      <c r="F384" s="63">
        <v>50082241</v>
      </c>
      <c r="G384" s="64" t="s">
        <v>730</v>
      </c>
      <c r="H384" s="66">
        <v>0.47597899999999999</v>
      </c>
    </row>
    <row r="385" spans="1:8" ht="15">
      <c r="A385" s="63">
        <v>50082372</v>
      </c>
      <c r="B385" s="64" t="s">
        <v>739</v>
      </c>
      <c r="C385">
        <v>50082200</v>
      </c>
      <c r="D385" t="s">
        <v>521</v>
      </c>
      <c r="F385" s="63">
        <v>50082245</v>
      </c>
      <c r="G385" s="64" t="s">
        <v>731</v>
      </c>
      <c r="H385" s="66">
        <v>0.17280000000000001</v>
      </c>
    </row>
    <row r="386" spans="1:8" ht="15">
      <c r="A386" s="63">
        <v>50082374</v>
      </c>
      <c r="B386" s="64" t="s">
        <v>740</v>
      </c>
      <c r="C386">
        <v>50082183</v>
      </c>
      <c r="D386" t="s">
        <v>515</v>
      </c>
      <c r="F386" s="63">
        <v>50082246</v>
      </c>
      <c r="G386" s="64" t="s">
        <v>732</v>
      </c>
      <c r="H386" s="66">
        <v>0.457953</v>
      </c>
    </row>
    <row r="387" spans="1:8" ht="15">
      <c r="A387" s="63">
        <v>50082431</v>
      </c>
      <c r="B387" s="64" t="s">
        <v>741</v>
      </c>
      <c r="C387">
        <v>50082200</v>
      </c>
      <c r="D387" t="s">
        <v>521</v>
      </c>
      <c r="F387" s="63">
        <v>50082249</v>
      </c>
      <c r="G387" s="64" t="s">
        <v>1449</v>
      </c>
      <c r="H387" s="66">
        <v>2.8420000000000001</v>
      </c>
    </row>
    <row r="388" spans="1:8" ht="15">
      <c r="A388" s="63">
        <v>50082447</v>
      </c>
      <c r="B388" s="64" t="s">
        <v>742</v>
      </c>
      <c r="C388">
        <v>50082202</v>
      </c>
      <c r="D388" t="s">
        <v>519</v>
      </c>
      <c r="F388" s="63">
        <v>50082252</v>
      </c>
      <c r="G388" s="64" t="s">
        <v>1451</v>
      </c>
      <c r="H388" s="66">
        <v>3.5486</v>
      </c>
    </row>
    <row r="389" spans="1:8" ht="15">
      <c r="A389" s="63">
        <v>50082449</v>
      </c>
      <c r="B389" s="64" t="s">
        <v>743</v>
      </c>
      <c r="C389">
        <v>50082184</v>
      </c>
      <c r="D389" t="s">
        <v>517</v>
      </c>
      <c r="F389" s="63">
        <v>50082261</v>
      </c>
      <c r="G389" s="64" t="s">
        <v>734</v>
      </c>
      <c r="H389" s="66">
        <v>2.2080000000000002</v>
      </c>
    </row>
    <row r="390" spans="1:8" ht="15">
      <c r="A390" s="63">
        <v>50083049</v>
      </c>
      <c r="B390" s="64" t="s">
        <v>744</v>
      </c>
      <c r="C390">
        <v>50082184</v>
      </c>
      <c r="D390" t="s">
        <v>517</v>
      </c>
      <c r="F390" s="63">
        <v>50082322</v>
      </c>
      <c r="G390" s="64" t="s">
        <v>735</v>
      </c>
      <c r="H390" s="66">
        <v>1.6559999999999999</v>
      </c>
    </row>
    <row r="391" spans="1:8" ht="15">
      <c r="A391" s="63">
        <v>50083105</v>
      </c>
      <c r="B391" s="64" t="s">
        <v>745</v>
      </c>
      <c r="C391">
        <v>50082183</v>
      </c>
      <c r="D391" t="s">
        <v>515</v>
      </c>
      <c r="F391" s="63">
        <v>50082364</v>
      </c>
      <c r="G391" s="64" t="s">
        <v>737</v>
      </c>
      <c r="H391" s="66">
        <v>2.4891999999999999</v>
      </c>
    </row>
    <row r="392" spans="1:8" ht="15">
      <c r="A392" s="63">
        <v>50083109</v>
      </c>
      <c r="B392" s="64" t="s">
        <v>746</v>
      </c>
      <c r="C392">
        <v>50082183</v>
      </c>
      <c r="D392" t="s">
        <v>515</v>
      </c>
      <c r="F392" s="63">
        <v>50082367</v>
      </c>
      <c r="G392" s="64" t="s">
        <v>738</v>
      </c>
      <c r="H392" s="66">
        <v>3.5720999999999998</v>
      </c>
    </row>
    <row r="393" spans="1:8" ht="15">
      <c r="A393" s="63">
        <v>50083166</v>
      </c>
      <c r="B393" s="64" t="s">
        <v>747</v>
      </c>
      <c r="C393">
        <v>50082200</v>
      </c>
      <c r="D393" t="s">
        <v>521</v>
      </c>
      <c r="F393" s="63">
        <v>50082372</v>
      </c>
      <c r="G393" s="64" t="s">
        <v>739</v>
      </c>
      <c r="H393" s="66">
        <v>2.1436999999999999</v>
      </c>
    </row>
    <row r="394" spans="1:8" ht="15">
      <c r="A394" s="63">
        <v>50083253</v>
      </c>
      <c r="B394" s="64" t="s">
        <v>748</v>
      </c>
      <c r="C394">
        <v>50082184</v>
      </c>
      <c r="D394" t="s">
        <v>517</v>
      </c>
      <c r="F394" s="63">
        <v>50082374</v>
      </c>
      <c r="G394" s="64" t="s">
        <v>740</v>
      </c>
      <c r="H394" s="66">
        <v>0.45279999999999998</v>
      </c>
    </row>
    <row r="395" spans="1:8" ht="15">
      <c r="A395" s="63">
        <v>50083254</v>
      </c>
      <c r="B395" s="64" t="s">
        <v>749</v>
      </c>
      <c r="C395">
        <v>50082184</v>
      </c>
      <c r="D395" t="s">
        <v>517</v>
      </c>
      <c r="F395" s="63">
        <v>50082431</v>
      </c>
      <c r="G395" s="64" t="s">
        <v>741</v>
      </c>
      <c r="H395" s="66">
        <v>1.679</v>
      </c>
    </row>
    <row r="396" spans="1:8" ht="15">
      <c r="A396" s="63">
        <v>50083262</v>
      </c>
      <c r="B396" s="64" t="s">
        <v>750</v>
      </c>
      <c r="C396">
        <v>50082184</v>
      </c>
      <c r="D396" t="s">
        <v>517</v>
      </c>
      <c r="F396" s="63">
        <v>50082447</v>
      </c>
      <c r="G396" s="64" t="s">
        <v>742</v>
      </c>
      <c r="H396" s="66">
        <v>2.2080000000000002</v>
      </c>
    </row>
    <row r="397" spans="1:8" ht="15">
      <c r="A397" s="63">
        <v>50083265</v>
      </c>
      <c r="B397" s="64" t="s">
        <v>320</v>
      </c>
      <c r="C397">
        <v>50082184</v>
      </c>
      <c r="D397" t="s">
        <v>517</v>
      </c>
      <c r="F397" s="63">
        <v>50082449</v>
      </c>
      <c r="G397" s="64" t="s">
        <v>743</v>
      </c>
      <c r="H397" s="66">
        <v>2.8319999999999999</v>
      </c>
    </row>
    <row r="398" spans="1:8" ht="15">
      <c r="A398" s="63">
        <v>50083268</v>
      </c>
      <c r="B398" s="64" t="s">
        <v>751</v>
      </c>
      <c r="C398">
        <v>50082183</v>
      </c>
      <c r="D398" t="s">
        <v>515</v>
      </c>
      <c r="F398" s="63">
        <v>50083049</v>
      </c>
      <c r="G398" s="64" t="s">
        <v>744</v>
      </c>
      <c r="H398" s="66">
        <v>2.8319999999999999</v>
      </c>
    </row>
    <row r="399" spans="1:8" ht="15">
      <c r="A399" s="63">
        <v>50083269</v>
      </c>
      <c r="B399" s="64" t="s">
        <v>752</v>
      </c>
      <c r="C399">
        <v>50082183</v>
      </c>
      <c r="D399" t="s">
        <v>515</v>
      </c>
      <c r="F399" s="63">
        <v>50083105</v>
      </c>
      <c r="G399" s="64" t="s">
        <v>745</v>
      </c>
      <c r="H399" s="66">
        <v>3.492</v>
      </c>
    </row>
    <row r="400" spans="1:8" ht="15">
      <c r="A400" s="63">
        <v>50083286</v>
      </c>
      <c r="B400" s="64" t="s">
        <v>753</v>
      </c>
      <c r="C400">
        <v>50082183</v>
      </c>
      <c r="D400" t="s">
        <v>515</v>
      </c>
      <c r="F400" s="63">
        <v>50083109</v>
      </c>
      <c r="G400" s="64" t="s">
        <v>746</v>
      </c>
      <c r="H400" s="66">
        <v>0.45590000000000003</v>
      </c>
    </row>
    <row r="401" spans="1:8" ht="15">
      <c r="A401" s="63">
        <v>50083293</v>
      </c>
      <c r="B401" s="64" t="s">
        <v>754</v>
      </c>
      <c r="C401">
        <v>50082202</v>
      </c>
      <c r="D401" t="s">
        <v>519</v>
      </c>
      <c r="F401" s="63">
        <v>50083166</v>
      </c>
      <c r="G401" s="64" t="s">
        <v>747</v>
      </c>
      <c r="H401" s="66">
        <v>1.821</v>
      </c>
    </row>
    <row r="402" spans="1:8" ht="15">
      <c r="A402" s="63">
        <v>50083298</v>
      </c>
      <c r="B402" s="64" t="s">
        <v>755</v>
      </c>
      <c r="C402">
        <v>50082183</v>
      </c>
      <c r="D402" t="s">
        <v>515</v>
      </c>
      <c r="F402" s="63">
        <v>50083253</v>
      </c>
      <c r="G402" s="64" t="s">
        <v>748</v>
      </c>
      <c r="H402" s="66">
        <v>3.577</v>
      </c>
    </row>
    <row r="403" spans="1:8" ht="15">
      <c r="A403" s="63">
        <v>50083313</v>
      </c>
      <c r="B403" s="64" t="s">
        <v>756</v>
      </c>
      <c r="C403">
        <v>50082184</v>
      </c>
      <c r="D403" t="s">
        <v>517</v>
      </c>
      <c r="F403" s="63">
        <v>50083254</v>
      </c>
      <c r="G403" s="64" t="s">
        <v>749</v>
      </c>
      <c r="H403" s="66">
        <v>3.577</v>
      </c>
    </row>
    <row r="404" spans="1:8" ht="15">
      <c r="A404" s="63">
        <v>50083321</v>
      </c>
      <c r="B404" s="64" t="s">
        <v>757</v>
      </c>
      <c r="C404">
        <v>50082183</v>
      </c>
      <c r="D404" t="s">
        <v>515</v>
      </c>
      <c r="F404" s="63">
        <v>50083262</v>
      </c>
      <c r="G404" s="64" t="s">
        <v>750</v>
      </c>
      <c r="H404" s="66">
        <v>2.8239999999999998</v>
      </c>
    </row>
    <row r="405" spans="1:8" ht="15">
      <c r="A405" s="63">
        <v>50083324</v>
      </c>
      <c r="B405" s="64" t="s">
        <v>758</v>
      </c>
      <c r="C405">
        <v>50082183</v>
      </c>
      <c r="D405" t="s">
        <v>515</v>
      </c>
      <c r="F405" s="63">
        <v>50083265</v>
      </c>
      <c r="G405" s="64" t="s">
        <v>320</v>
      </c>
      <c r="H405" s="66">
        <v>2.8420000000000001</v>
      </c>
    </row>
    <row r="406" spans="1:8" ht="15">
      <c r="A406" s="63">
        <v>50083336</v>
      </c>
      <c r="B406" s="64" t="s">
        <v>759</v>
      </c>
      <c r="C406">
        <v>50082183</v>
      </c>
      <c r="D406" t="s">
        <v>515</v>
      </c>
      <c r="F406" s="63">
        <v>50083268</v>
      </c>
      <c r="G406" s="64" t="s">
        <v>751</v>
      </c>
      <c r="H406" s="66">
        <v>2.99</v>
      </c>
    </row>
    <row r="407" spans="1:8" ht="15">
      <c r="A407" s="63">
        <v>50091630</v>
      </c>
      <c r="B407" s="64" t="s">
        <v>760</v>
      </c>
      <c r="C407">
        <v>50082183</v>
      </c>
      <c r="D407" t="s">
        <v>515</v>
      </c>
      <c r="F407" s="63">
        <v>50083269</v>
      </c>
      <c r="G407" s="64" t="s">
        <v>752</v>
      </c>
      <c r="H407" s="66">
        <v>2.8319999999999999</v>
      </c>
    </row>
    <row r="408" spans="1:8" ht="15">
      <c r="A408" s="63">
        <v>50091633</v>
      </c>
      <c r="B408" s="64" t="s">
        <v>761</v>
      </c>
      <c r="C408">
        <v>50082183</v>
      </c>
      <c r="D408" t="s">
        <v>515</v>
      </c>
      <c r="F408" s="63">
        <v>50083286</v>
      </c>
      <c r="G408" s="64" t="s">
        <v>753</v>
      </c>
      <c r="H408" s="66">
        <v>2.9331</v>
      </c>
    </row>
    <row r="409" spans="1:8" ht="15">
      <c r="A409" s="63">
        <v>50091634</v>
      </c>
      <c r="B409" s="64" t="s">
        <v>762</v>
      </c>
      <c r="C409">
        <v>50082202</v>
      </c>
      <c r="D409" t="s">
        <v>519</v>
      </c>
      <c r="F409" s="63">
        <v>50083293</v>
      </c>
      <c r="G409" s="64" t="s">
        <v>754</v>
      </c>
      <c r="H409" s="66">
        <v>2.2080000000000002</v>
      </c>
    </row>
    <row r="410" spans="1:8" ht="15">
      <c r="A410" s="63">
        <v>50091635</v>
      </c>
      <c r="B410" s="64" t="s">
        <v>763</v>
      </c>
      <c r="C410">
        <v>50082202</v>
      </c>
      <c r="D410" t="s">
        <v>519</v>
      </c>
      <c r="F410" s="63">
        <v>50083298</v>
      </c>
      <c r="G410" s="64" t="s">
        <v>755</v>
      </c>
      <c r="H410" s="66">
        <v>2.8420000000000001</v>
      </c>
    </row>
    <row r="411" spans="1:8" ht="15">
      <c r="A411" s="63">
        <v>50091636</v>
      </c>
      <c r="B411" s="64" t="s">
        <v>764</v>
      </c>
      <c r="C411">
        <v>50082202</v>
      </c>
      <c r="D411" t="s">
        <v>519</v>
      </c>
      <c r="F411" s="63">
        <v>50083313</v>
      </c>
      <c r="G411" s="64" t="s">
        <v>756</v>
      </c>
      <c r="H411" s="66">
        <v>4.5999999999999996</v>
      </c>
    </row>
    <row r="412" spans="1:8" ht="15">
      <c r="A412" s="63">
        <v>50091686</v>
      </c>
      <c r="B412" s="64" t="s">
        <v>766</v>
      </c>
      <c r="C412">
        <v>50082184</v>
      </c>
      <c r="D412" t="s">
        <v>517</v>
      </c>
      <c r="F412" s="63">
        <v>50083321</v>
      </c>
      <c r="G412" s="64" t="s">
        <v>757</v>
      </c>
      <c r="H412" s="66">
        <v>0.47499999999999998</v>
      </c>
    </row>
    <row r="413" spans="1:8" ht="15">
      <c r="A413" s="63">
        <v>50091694</v>
      </c>
      <c r="B413" s="64" t="s">
        <v>767</v>
      </c>
      <c r="C413">
        <v>50082184</v>
      </c>
      <c r="D413" t="s">
        <v>517</v>
      </c>
      <c r="F413" s="63">
        <v>50083324</v>
      </c>
      <c r="G413" s="64" t="s">
        <v>758</v>
      </c>
      <c r="H413" s="66">
        <v>0.46550000000000002</v>
      </c>
    </row>
    <row r="414" spans="1:8" ht="15">
      <c r="A414" s="63">
        <v>50091771</v>
      </c>
      <c r="B414" s="64" t="s">
        <v>768</v>
      </c>
      <c r="C414">
        <v>50082200</v>
      </c>
      <c r="D414" t="s">
        <v>521</v>
      </c>
      <c r="F414" s="63">
        <v>50083336</v>
      </c>
      <c r="G414" s="64" t="s">
        <v>759</v>
      </c>
      <c r="H414" s="66">
        <v>0.45</v>
      </c>
    </row>
    <row r="415" spans="1:8" ht="15">
      <c r="A415" s="63">
        <v>50092027</v>
      </c>
      <c r="B415" s="64" t="s">
        <v>770</v>
      </c>
      <c r="C415">
        <v>50082202</v>
      </c>
      <c r="D415" t="s">
        <v>519</v>
      </c>
      <c r="F415" s="63">
        <v>50091630</v>
      </c>
      <c r="G415" s="64" t="s">
        <v>760</v>
      </c>
      <c r="H415" s="66">
        <v>3.6579999999999999</v>
      </c>
    </row>
    <row r="416" spans="1:8" ht="15">
      <c r="A416" s="63">
        <v>50092042</v>
      </c>
      <c r="B416" s="64" t="s">
        <v>771</v>
      </c>
      <c r="C416">
        <v>50082183</v>
      </c>
      <c r="D416" t="s">
        <v>515</v>
      </c>
      <c r="F416" s="63">
        <v>50091633</v>
      </c>
      <c r="G416" s="64" t="s">
        <v>761</v>
      </c>
      <c r="H416" s="66">
        <v>3.5308999999999999</v>
      </c>
    </row>
    <row r="417" spans="1:8" ht="15">
      <c r="A417" s="63">
        <v>50092045</v>
      </c>
      <c r="B417" s="64" t="s">
        <v>772</v>
      </c>
      <c r="C417">
        <v>50082183</v>
      </c>
      <c r="D417" t="s">
        <v>515</v>
      </c>
      <c r="F417" s="63">
        <v>50091634</v>
      </c>
      <c r="G417" s="64" t="s">
        <v>762</v>
      </c>
      <c r="H417" s="66">
        <v>2.1619999999999999</v>
      </c>
    </row>
    <row r="418" spans="1:8" ht="15">
      <c r="A418" s="63">
        <v>50092185</v>
      </c>
      <c r="B418" s="64" t="s">
        <v>773</v>
      </c>
      <c r="C418">
        <v>50082183</v>
      </c>
      <c r="D418" t="s">
        <v>515</v>
      </c>
      <c r="F418" s="63">
        <v>50091635</v>
      </c>
      <c r="G418" s="64" t="s">
        <v>763</v>
      </c>
      <c r="H418" s="66">
        <v>2.1619999999999999</v>
      </c>
    </row>
    <row r="419" spans="1:8" ht="15">
      <c r="A419" s="63">
        <v>50092188</v>
      </c>
      <c r="B419" s="64" t="s">
        <v>774</v>
      </c>
      <c r="C419">
        <v>50082183</v>
      </c>
      <c r="D419" t="s">
        <v>515</v>
      </c>
      <c r="F419" s="63">
        <v>50091636</v>
      </c>
      <c r="G419" s="64" t="s">
        <v>764</v>
      </c>
      <c r="H419" s="66">
        <v>2.1619999999999999</v>
      </c>
    </row>
    <row r="420" spans="1:8" ht="15">
      <c r="A420" s="63">
        <v>50092254</v>
      </c>
      <c r="B420" s="64" t="s">
        <v>775</v>
      </c>
      <c r="C420">
        <v>50082200</v>
      </c>
      <c r="D420" t="s">
        <v>521</v>
      </c>
      <c r="F420" s="63">
        <v>50091686</v>
      </c>
      <c r="G420" s="64" t="s">
        <v>766</v>
      </c>
      <c r="H420" s="66">
        <v>3.552</v>
      </c>
    </row>
    <row r="421" spans="1:8" ht="15">
      <c r="A421" s="63">
        <v>50092288</v>
      </c>
      <c r="B421" s="64" t="s">
        <v>776</v>
      </c>
      <c r="C421">
        <v>50082184</v>
      </c>
      <c r="D421" t="s">
        <v>517</v>
      </c>
      <c r="F421" s="63">
        <v>50091694</v>
      </c>
      <c r="G421" s="64" t="s">
        <v>767</v>
      </c>
      <c r="H421" s="66">
        <v>3.5491000000000001</v>
      </c>
    </row>
    <row r="422" spans="1:8" ht="15">
      <c r="A422" s="63">
        <v>50092421</v>
      </c>
      <c r="B422" s="64" t="s">
        <v>777</v>
      </c>
      <c r="C422">
        <v>50082183</v>
      </c>
      <c r="D422" t="s">
        <v>515</v>
      </c>
      <c r="F422" s="63">
        <v>50091771</v>
      </c>
      <c r="G422" s="64" t="s">
        <v>768</v>
      </c>
      <c r="H422" s="66">
        <v>1.6561999999999999</v>
      </c>
    </row>
    <row r="423" spans="1:8" ht="15">
      <c r="A423" s="63">
        <v>50092445</v>
      </c>
      <c r="B423" s="64" t="s">
        <v>778</v>
      </c>
      <c r="C423">
        <v>50082183</v>
      </c>
      <c r="D423" t="s">
        <v>515</v>
      </c>
      <c r="F423" s="63">
        <v>50092027</v>
      </c>
      <c r="G423" s="64" t="s">
        <v>770</v>
      </c>
      <c r="H423" s="66">
        <v>2.1619999999999999</v>
      </c>
    </row>
    <row r="424" spans="1:8" ht="15">
      <c r="A424" s="63">
        <v>50092553</v>
      </c>
      <c r="B424" s="64" t="s">
        <v>781</v>
      </c>
      <c r="C424">
        <v>50082183</v>
      </c>
      <c r="D424" t="s">
        <v>515</v>
      </c>
      <c r="F424" s="63">
        <v>50092042</v>
      </c>
      <c r="G424" s="64" t="s">
        <v>771</v>
      </c>
      <c r="H424" s="66">
        <v>3.7</v>
      </c>
    </row>
    <row r="425" spans="1:8" ht="15">
      <c r="A425" s="63">
        <v>50092961</v>
      </c>
      <c r="B425" s="64" t="s">
        <v>782</v>
      </c>
      <c r="C425">
        <v>50082184</v>
      </c>
      <c r="D425" t="s">
        <v>517</v>
      </c>
      <c r="F425" s="63">
        <v>50092045</v>
      </c>
      <c r="G425" s="64" t="s">
        <v>772</v>
      </c>
      <c r="H425" s="66">
        <v>3.5720999999999998</v>
      </c>
    </row>
    <row r="426" spans="1:8" ht="15">
      <c r="A426" s="63">
        <v>50093027</v>
      </c>
      <c r="B426" s="64" t="s">
        <v>783</v>
      </c>
      <c r="C426">
        <v>50082202</v>
      </c>
      <c r="D426" t="s">
        <v>519</v>
      </c>
      <c r="F426" s="63">
        <v>50092185</v>
      </c>
      <c r="G426" s="64" t="s">
        <v>773</v>
      </c>
      <c r="H426" s="66">
        <v>0.17280000000000001</v>
      </c>
    </row>
    <row r="427" spans="1:8" ht="15">
      <c r="A427" s="63">
        <v>50093240</v>
      </c>
      <c r="B427" s="64" t="s">
        <v>785</v>
      </c>
      <c r="C427">
        <v>50082184</v>
      </c>
      <c r="D427" t="s">
        <v>517</v>
      </c>
      <c r="F427" s="63">
        <v>50092188</v>
      </c>
      <c r="G427" s="64" t="s">
        <v>774</v>
      </c>
      <c r="H427" s="66">
        <v>0.4128</v>
      </c>
    </row>
    <row r="428" spans="1:8" ht="15">
      <c r="A428" s="63">
        <v>50093376</v>
      </c>
      <c r="B428" s="64" t="s">
        <v>786</v>
      </c>
      <c r="C428">
        <v>50082202</v>
      </c>
      <c r="D428" t="s">
        <v>519</v>
      </c>
      <c r="F428" s="63">
        <v>50092254</v>
      </c>
      <c r="G428" s="64" t="s">
        <v>775</v>
      </c>
      <c r="H428" s="66">
        <v>1.6970000000000001</v>
      </c>
    </row>
    <row r="429" spans="1:8" ht="15">
      <c r="A429" s="63">
        <v>50093377</v>
      </c>
      <c r="B429" s="64" t="s">
        <v>787</v>
      </c>
      <c r="C429">
        <v>50082202</v>
      </c>
      <c r="D429" t="s">
        <v>519</v>
      </c>
      <c r="F429" s="63">
        <v>50092288</v>
      </c>
      <c r="G429" s="64" t="s">
        <v>776</v>
      </c>
      <c r="H429" s="66">
        <v>2.8812000000000002</v>
      </c>
    </row>
    <row r="430" spans="1:8" ht="15">
      <c r="A430" s="63">
        <v>50093512</v>
      </c>
      <c r="B430" s="64" t="s">
        <v>788</v>
      </c>
      <c r="C430">
        <v>50082201</v>
      </c>
      <c r="D430" t="s">
        <v>589</v>
      </c>
      <c r="F430" s="63">
        <v>50092421</v>
      </c>
      <c r="G430" s="64" t="s">
        <v>777</v>
      </c>
      <c r="H430" s="66">
        <v>4.51</v>
      </c>
    </row>
    <row r="431" spans="1:8" ht="15">
      <c r="A431" s="63">
        <v>50093513</v>
      </c>
      <c r="B431" s="64" t="s">
        <v>789</v>
      </c>
      <c r="C431">
        <v>50082203</v>
      </c>
      <c r="D431" t="s">
        <v>547</v>
      </c>
      <c r="F431" s="63">
        <v>50092445</v>
      </c>
      <c r="G431" s="64" t="s">
        <v>778</v>
      </c>
      <c r="H431" s="66">
        <v>3.5720999999999998</v>
      </c>
    </row>
    <row r="432" spans="1:8" ht="15">
      <c r="A432" s="63">
        <v>50093514</v>
      </c>
      <c r="B432" s="64" t="s">
        <v>790</v>
      </c>
      <c r="C432">
        <v>50082203</v>
      </c>
      <c r="D432" t="s">
        <v>547</v>
      </c>
      <c r="F432" s="63">
        <v>50092553</v>
      </c>
      <c r="G432" s="64" t="s">
        <v>781</v>
      </c>
      <c r="H432" s="66">
        <v>4.33</v>
      </c>
    </row>
    <row r="433" spans="1:8" ht="15">
      <c r="A433" s="63">
        <v>50093548</v>
      </c>
      <c r="B433" s="64" t="s">
        <v>791</v>
      </c>
      <c r="C433">
        <v>50082183</v>
      </c>
      <c r="D433" t="s">
        <v>515</v>
      </c>
      <c r="F433" s="63">
        <v>50092961</v>
      </c>
      <c r="G433" s="64" t="s">
        <v>782</v>
      </c>
      <c r="H433" s="66">
        <v>4.9000000000000004</v>
      </c>
    </row>
    <row r="434" spans="1:8" ht="15">
      <c r="A434" s="63">
        <v>50093556</v>
      </c>
      <c r="B434" s="64" t="s">
        <v>792</v>
      </c>
      <c r="C434">
        <v>50082183</v>
      </c>
      <c r="D434" t="s">
        <v>515</v>
      </c>
      <c r="F434" s="63">
        <v>50093027</v>
      </c>
      <c r="G434" s="64" t="s">
        <v>783</v>
      </c>
      <c r="H434" s="66">
        <v>2.2080000000000002</v>
      </c>
    </row>
    <row r="435" spans="1:8" ht="15">
      <c r="A435" s="63">
        <v>50096917</v>
      </c>
      <c r="B435" s="64" t="s">
        <v>793</v>
      </c>
      <c r="C435">
        <v>50082202</v>
      </c>
      <c r="D435" t="s">
        <v>519</v>
      </c>
      <c r="F435" s="63">
        <v>50093240</v>
      </c>
      <c r="G435" s="64" t="s">
        <v>785</v>
      </c>
      <c r="H435" s="66">
        <v>2.972</v>
      </c>
    </row>
    <row r="436" spans="1:8" ht="15">
      <c r="A436" s="63">
        <v>50096918</v>
      </c>
      <c r="B436" s="64" t="s">
        <v>794</v>
      </c>
      <c r="C436">
        <v>50082202</v>
      </c>
      <c r="D436" t="s">
        <v>519</v>
      </c>
      <c r="F436" s="63">
        <v>50093376</v>
      </c>
      <c r="G436" s="64" t="s">
        <v>786</v>
      </c>
      <c r="H436" s="66">
        <v>2.1619999999999999</v>
      </c>
    </row>
    <row r="437" spans="1:8" ht="15">
      <c r="A437" s="63">
        <v>50096919</v>
      </c>
      <c r="B437" s="64" t="s">
        <v>795</v>
      </c>
      <c r="C437">
        <v>50082202</v>
      </c>
      <c r="D437" t="s">
        <v>519</v>
      </c>
      <c r="F437" s="63">
        <v>50093377</v>
      </c>
      <c r="G437" s="64" t="s">
        <v>787</v>
      </c>
      <c r="H437" s="66">
        <v>2.21</v>
      </c>
    </row>
    <row r="438" spans="1:8" ht="15">
      <c r="A438" s="63">
        <v>50096920</v>
      </c>
      <c r="B438" s="64" t="s">
        <v>796</v>
      </c>
      <c r="C438">
        <v>50082202</v>
      </c>
      <c r="D438" t="s">
        <v>519</v>
      </c>
      <c r="F438" s="63">
        <v>50093512</v>
      </c>
      <c r="G438" s="64" t="s">
        <v>788</v>
      </c>
      <c r="H438" s="66">
        <v>2.496</v>
      </c>
    </row>
    <row r="439" spans="1:8" ht="15">
      <c r="A439" s="63">
        <v>50096938</v>
      </c>
      <c r="B439" s="64" t="s">
        <v>797</v>
      </c>
      <c r="C439">
        <v>50082201</v>
      </c>
      <c r="D439" t="s">
        <v>589</v>
      </c>
      <c r="F439" s="63">
        <v>50093513</v>
      </c>
      <c r="G439" s="64" t="s">
        <v>789</v>
      </c>
      <c r="H439" s="66">
        <v>1.056</v>
      </c>
    </row>
    <row r="440" spans="1:8" ht="15">
      <c r="A440" s="63">
        <v>50096941</v>
      </c>
      <c r="B440" s="64" t="s">
        <v>798</v>
      </c>
      <c r="C440">
        <v>50082184</v>
      </c>
      <c r="D440" t="s">
        <v>517</v>
      </c>
      <c r="F440" s="63">
        <v>50093514</v>
      </c>
      <c r="G440" s="64" t="s">
        <v>790</v>
      </c>
      <c r="H440" s="66">
        <v>0.624</v>
      </c>
    </row>
    <row r="441" spans="1:8" ht="15">
      <c r="A441" s="63">
        <v>50096944</v>
      </c>
      <c r="B441" s="64" t="s">
        <v>799</v>
      </c>
      <c r="C441">
        <v>50082184</v>
      </c>
      <c r="D441" t="s">
        <v>517</v>
      </c>
      <c r="F441" s="63">
        <v>50093548</v>
      </c>
      <c r="G441" s="64" t="s">
        <v>791</v>
      </c>
      <c r="H441" s="66">
        <v>2.8319999999999999</v>
      </c>
    </row>
    <row r="442" spans="1:8" ht="15">
      <c r="A442" s="63">
        <v>50096957</v>
      </c>
      <c r="B442" s="64" t="s">
        <v>800</v>
      </c>
      <c r="C442">
        <v>50082183</v>
      </c>
      <c r="D442" t="s">
        <v>515</v>
      </c>
      <c r="F442" s="63">
        <v>50093556</v>
      </c>
      <c r="G442" s="64" t="s">
        <v>792</v>
      </c>
      <c r="H442" s="66">
        <v>0.46179999999999999</v>
      </c>
    </row>
    <row r="443" spans="1:8" ht="15">
      <c r="A443" s="63">
        <v>50096971</v>
      </c>
      <c r="B443" s="64" t="s">
        <v>801</v>
      </c>
      <c r="C443">
        <v>50082184</v>
      </c>
      <c r="D443" t="s">
        <v>517</v>
      </c>
      <c r="F443" s="63">
        <v>50096917</v>
      </c>
      <c r="G443" s="64" t="s">
        <v>793</v>
      </c>
      <c r="H443" s="66">
        <v>2.1619999999999999</v>
      </c>
    </row>
    <row r="444" spans="1:8" ht="15">
      <c r="A444" s="63">
        <v>50096972</v>
      </c>
      <c r="B444" s="64" t="s">
        <v>802</v>
      </c>
      <c r="C444">
        <v>50082184</v>
      </c>
      <c r="D444" t="s">
        <v>517</v>
      </c>
      <c r="F444" s="63">
        <v>50096918</v>
      </c>
      <c r="G444" s="64" t="s">
        <v>794</v>
      </c>
      <c r="H444" s="66">
        <v>2.1619999999999999</v>
      </c>
    </row>
    <row r="445" spans="1:8" ht="15">
      <c r="A445" s="63">
        <v>50096973</v>
      </c>
      <c r="B445" s="64" t="s">
        <v>803</v>
      </c>
      <c r="C445">
        <v>50082202</v>
      </c>
      <c r="D445" t="s">
        <v>519</v>
      </c>
      <c r="F445" s="63">
        <v>50096919</v>
      </c>
      <c r="G445" s="64" t="s">
        <v>795</v>
      </c>
      <c r="H445" s="66">
        <v>2.1619999999999999</v>
      </c>
    </row>
    <row r="446" spans="1:8" ht="15">
      <c r="A446" s="63">
        <v>50096974</v>
      </c>
      <c r="B446" s="64" t="s">
        <v>804</v>
      </c>
      <c r="C446">
        <v>50082202</v>
      </c>
      <c r="D446" t="s">
        <v>519</v>
      </c>
      <c r="F446" s="63">
        <v>50096920</v>
      </c>
      <c r="G446" s="64" t="s">
        <v>796</v>
      </c>
      <c r="H446" s="66">
        <v>2.1696</v>
      </c>
    </row>
    <row r="447" spans="1:8" ht="15">
      <c r="A447" s="63">
        <v>50096976</v>
      </c>
      <c r="B447" s="64" t="s">
        <v>805</v>
      </c>
      <c r="C447">
        <v>50082184</v>
      </c>
      <c r="D447" t="s">
        <v>517</v>
      </c>
      <c r="F447" s="63">
        <v>50096938</v>
      </c>
      <c r="G447" s="64" t="s">
        <v>797</v>
      </c>
      <c r="H447" s="66">
        <v>3.2605</v>
      </c>
    </row>
    <row r="448" spans="1:8" ht="15">
      <c r="A448" s="63">
        <v>50096977</v>
      </c>
      <c r="B448" s="64" t="s">
        <v>806</v>
      </c>
      <c r="C448">
        <v>50082183</v>
      </c>
      <c r="D448" t="s">
        <v>515</v>
      </c>
      <c r="F448" s="63">
        <v>50096941</v>
      </c>
      <c r="G448" s="64" t="s">
        <v>798</v>
      </c>
      <c r="H448" s="66">
        <v>3.5308999999999999</v>
      </c>
    </row>
    <row r="449" spans="1:8" ht="15">
      <c r="A449" s="63">
        <v>50096979</v>
      </c>
      <c r="B449" s="64" t="s">
        <v>807</v>
      </c>
      <c r="C449">
        <v>50082184</v>
      </c>
      <c r="D449" t="s">
        <v>517</v>
      </c>
      <c r="F449" s="63">
        <v>50096944</v>
      </c>
      <c r="G449" s="64" t="s">
        <v>799</v>
      </c>
      <c r="H449" s="66">
        <v>3.6579999999999999</v>
      </c>
    </row>
    <row r="450" spans="1:8" ht="15">
      <c r="A450" s="63">
        <v>50096980</v>
      </c>
      <c r="B450" s="64" t="s">
        <v>808</v>
      </c>
      <c r="C450">
        <v>50082202</v>
      </c>
      <c r="D450" t="s">
        <v>519</v>
      </c>
      <c r="F450" s="63">
        <v>50096957</v>
      </c>
      <c r="G450" s="64" t="s">
        <v>800</v>
      </c>
      <c r="H450" s="66">
        <v>3.6970000000000001</v>
      </c>
    </row>
    <row r="451" spans="1:8" ht="15">
      <c r="A451" s="63">
        <v>50096981</v>
      </c>
      <c r="B451" s="64" t="s">
        <v>809</v>
      </c>
      <c r="C451">
        <v>50097522</v>
      </c>
      <c r="D451" t="s">
        <v>810</v>
      </c>
      <c r="F451" s="63">
        <v>50096971</v>
      </c>
      <c r="G451" s="64" t="s">
        <v>801</v>
      </c>
      <c r="H451" s="66">
        <v>2.8319999999999999</v>
      </c>
    </row>
    <row r="452" spans="1:8" ht="15">
      <c r="A452" s="63">
        <v>50096982</v>
      </c>
      <c r="B452" s="64" t="s">
        <v>811</v>
      </c>
      <c r="C452">
        <v>50082184</v>
      </c>
      <c r="D452" t="s">
        <v>517</v>
      </c>
      <c r="F452" s="63">
        <v>50096972</v>
      </c>
      <c r="G452" s="64" t="s">
        <v>802</v>
      </c>
      <c r="H452" s="66">
        <v>2.8319999999999999</v>
      </c>
    </row>
    <row r="453" spans="1:8" ht="15">
      <c r="A453" s="63">
        <v>50097174</v>
      </c>
      <c r="B453" s="64" t="s">
        <v>814</v>
      </c>
      <c r="C453">
        <v>50082183</v>
      </c>
      <c r="D453" t="s">
        <v>515</v>
      </c>
      <c r="F453" s="63">
        <v>50096973</v>
      </c>
      <c r="G453" s="64" t="s">
        <v>803</v>
      </c>
      <c r="H453" s="66">
        <v>2.2080000000000002</v>
      </c>
    </row>
    <row r="454" spans="1:8" ht="15">
      <c r="A454" s="63">
        <v>50097175</v>
      </c>
      <c r="B454" s="64" t="s">
        <v>815</v>
      </c>
      <c r="C454">
        <v>50082183</v>
      </c>
      <c r="D454" t="s">
        <v>515</v>
      </c>
      <c r="F454" s="63">
        <v>50096974</v>
      </c>
      <c r="G454" s="64" t="s">
        <v>804</v>
      </c>
      <c r="H454" s="66">
        <v>2.2080000000000002</v>
      </c>
    </row>
    <row r="455" spans="1:8" ht="15">
      <c r="A455" s="63">
        <v>50097207</v>
      </c>
      <c r="B455" s="64" t="s">
        <v>816</v>
      </c>
      <c r="C455">
        <v>50082200</v>
      </c>
      <c r="D455" t="s">
        <v>521</v>
      </c>
      <c r="F455" s="63">
        <v>50096976</v>
      </c>
      <c r="G455" s="64" t="s">
        <v>805</v>
      </c>
      <c r="H455" s="66">
        <v>4.33</v>
      </c>
    </row>
    <row r="456" spans="1:8" ht="15">
      <c r="A456" s="63">
        <v>50097255</v>
      </c>
      <c r="B456" s="64" t="s">
        <v>817</v>
      </c>
      <c r="C456">
        <v>50082184</v>
      </c>
      <c r="D456" t="s">
        <v>517</v>
      </c>
      <c r="F456" s="63">
        <v>50096977</v>
      </c>
      <c r="G456" s="64" t="s">
        <v>806</v>
      </c>
      <c r="H456" s="66">
        <v>0.46179999999999999</v>
      </c>
    </row>
    <row r="457" spans="1:8" ht="15">
      <c r="A457" s="63">
        <v>50097316</v>
      </c>
      <c r="B457" s="64" t="s">
        <v>818</v>
      </c>
      <c r="C457">
        <v>50082202</v>
      </c>
      <c r="D457" t="s">
        <v>519</v>
      </c>
      <c r="F457" s="63">
        <v>50096979</v>
      </c>
      <c r="G457" s="64" t="s">
        <v>807</v>
      </c>
      <c r="H457" s="66">
        <v>4.51</v>
      </c>
    </row>
    <row r="458" spans="1:8" ht="15">
      <c r="A458" s="63">
        <v>50097330</v>
      </c>
      <c r="B458" s="64" t="s">
        <v>819</v>
      </c>
      <c r="C458">
        <v>50082183</v>
      </c>
      <c r="D458" t="s">
        <v>515</v>
      </c>
      <c r="F458" s="63">
        <v>50096980</v>
      </c>
      <c r="G458" s="64" t="s">
        <v>808</v>
      </c>
      <c r="H458" s="66">
        <v>2.2080000000000002</v>
      </c>
    </row>
    <row r="459" spans="1:8" ht="15">
      <c r="A459" s="63">
        <v>50097331</v>
      </c>
      <c r="B459" s="64" t="s">
        <v>820</v>
      </c>
      <c r="C459">
        <v>50082183</v>
      </c>
      <c r="D459" t="s">
        <v>515</v>
      </c>
      <c r="F459" s="63">
        <v>50096981</v>
      </c>
      <c r="G459" s="64" t="s">
        <v>809</v>
      </c>
      <c r="H459" s="66">
        <v>1.6319999999999999</v>
      </c>
    </row>
    <row r="460" spans="1:8" ht="15">
      <c r="A460" s="63">
        <v>50097332</v>
      </c>
      <c r="B460" s="64" t="s">
        <v>821</v>
      </c>
      <c r="C460">
        <v>50082184</v>
      </c>
      <c r="D460" t="s">
        <v>517</v>
      </c>
      <c r="F460" s="63">
        <v>50096982</v>
      </c>
      <c r="G460" s="64" t="s">
        <v>811</v>
      </c>
      <c r="H460" s="66">
        <v>0.57599999999999996</v>
      </c>
    </row>
    <row r="461" spans="1:8" ht="15">
      <c r="A461" s="63">
        <v>50097444</v>
      </c>
      <c r="B461" s="64" t="s">
        <v>822</v>
      </c>
      <c r="C461">
        <v>50082184</v>
      </c>
      <c r="D461" t="s">
        <v>517</v>
      </c>
      <c r="F461" s="63">
        <v>50097174</v>
      </c>
      <c r="G461" s="64" t="s">
        <v>814</v>
      </c>
      <c r="H461" s="66">
        <v>0.45</v>
      </c>
    </row>
    <row r="462" spans="1:8" ht="15">
      <c r="A462" s="63">
        <v>50097476</v>
      </c>
      <c r="B462" s="64" t="s">
        <v>823</v>
      </c>
      <c r="C462">
        <v>50082184</v>
      </c>
      <c r="D462" t="s">
        <v>517</v>
      </c>
      <c r="F462" s="63">
        <v>50097175</v>
      </c>
      <c r="G462" s="64" t="s">
        <v>815</v>
      </c>
      <c r="H462" s="66">
        <v>2.97</v>
      </c>
    </row>
    <row r="463" spans="1:8" ht="15">
      <c r="A463" s="63">
        <v>50097556</v>
      </c>
      <c r="B463" s="64" t="s">
        <v>824</v>
      </c>
      <c r="C463">
        <v>50082202</v>
      </c>
      <c r="D463" t="s">
        <v>519</v>
      </c>
      <c r="F463" s="63">
        <v>50097207</v>
      </c>
      <c r="G463" s="64" t="s">
        <v>816</v>
      </c>
      <c r="H463" s="66">
        <v>1.885</v>
      </c>
    </row>
    <row r="464" spans="1:8" ht="15">
      <c r="A464" s="63">
        <v>50097600</v>
      </c>
      <c r="B464" s="64" t="s">
        <v>825</v>
      </c>
      <c r="C464">
        <v>50082201</v>
      </c>
      <c r="D464" t="s">
        <v>589</v>
      </c>
      <c r="F464" s="63">
        <v>50097255</v>
      </c>
      <c r="G464" s="64" t="s">
        <v>817</v>
      </c>
      <c r="H464" s="66">
        <v>3.5308999999999999</v>
      </c>
    </row>
    <row r="465" spans="1:8" ht="15">
      <c r="A465" s="63">
        <v>50097617</v>
      </c>
      <c r="B465" s="64" t="s">
        <v>826</v>
      </c>
      <c r="C465">
        <v>50082184</v>
      </c>
      <c r="D465" t="s">
        <v>517</v>
      </c>
      <c r="F465" s="63">
        <v>50097316</v>
      </c>
      <c r="G465" s="64" t="s">
        <v>818</v>
      </c>
      <c r="H465" s="66">
        <v>2.2080000000000002</v>
      </c>
    </row>
    <row r="466" spans="1:8" ht="15">
      <c r="A466" s="63">
        <v>50097926</v>
      </c>
      <c r="B466" s="64" t="s">
        <v>829</v>
      </c>
      <c r="C466">
        <v>50082183</v>
      </c>
      <c r="D466" t="s">
        <v>515</v>
      </c>
      <c r="F466" s="63">
        <v>50097330</v>
      </c>
      <c r="G466" s="64" t="s">
        <v>819</v>
      </c>
      <c r="H466" s="66">
        <v>3.5720999999999998</v>
      </c>
    </row>
    <row r="467" spans="1:8" ht="15">
      <c r="A467" s="63">
        <v>50097929</v>
      </c>
      <c r="B467" s="64" t="s">
        <v>830</v>
      </c>
      <c r="C467">
        <v>50082183</v>
      </c>
      <c r="D467" t="s">
        <v>515</v>
      </c>
      <c r="F467" s="63">
        <v>50097331</v>
      </c>
      <c r="G467" s="64" t="s">
        <v>820</v>
      </c>
      <c r="H467" s="66">
        <v>2.8288000000000002</v>
      </c>
    </row>
    <row r="468" spans="1:8" ht="15">
      <c r="A468" s="63">
        <v>50097931</v>
      </c>
      <c r="B468" s="64" t="s">
        <v>831</v>
      </c>
      <c r="C468">
        <v>50082183</v>
      </c>
      <c r="D468" t="s">
        <v>515</v>
      </c>
      <c r="F468" s="63">
        <v>50097332</v>
      </c>
      <c r="G468" s="64" t="s">
        <v>821</v>
      </c>
      <c r="H468" s="66">
        <v>2.99</v>
      </c>
    </row>
    <row r="469" spans="1:8" ht="15">
      <c r="A469" s="63">
        <v>50097934</v>
      </c>
      <c r="B469" s="64" t="s">
        <v>832</v>
      </c>
      <c r="C469">
        <v>50082183</v>
      </c>
      <c r="D469" t="s">
        <v>515</v>
      </c>
      <c r="F469" s="63">
        <v>50097444</v>
      </c>
      <c r="G469" s="64" t="s">
        <v>822</v>
      </c>
      <c r="H469" s="66">
        <v>3.5308999999999999</v>
      </c>
    </row>
    <row r="470" spans="1:8" ht="15">
      <c r="A470" s="63">
        <v>50097936</v>
      </c>
      <c r="B470" s="64" t="s">
        <v>833</v>
      </c>
      <c r="C470">
        <v>50082202</v>
      </c>
      <c r="D470" t="s">
        <v>519</v>
      </c>
      <c r="F470" s="63">
        <v>50097476</v>
      </c>
      <c r="G470" s="64" t="s">
        <v>823</v>
      </c>
      <c r="H470" s="66">
        <v>2.8675000000000002</v>
      </c>
    </row>
    <row r="471" spans="1:8" ht="15">
      <c r="A471" s="63">
        <v>50098073</v>
      </c>
      <c r="B471" s="64" t="s">
        <v>834</v>
      </c>
      <c r="C471">
        <v>50082202</v>
      </c>
      <c r="D471" t="s">
        <v>519</v>
      </c>
      <c r="F471" s="63">
        <v>50097556</v>
      </c>
      <c r="G471" s="64" t="s">
        <v>824</v>
      </c>
      <c r="H471" s="66">
        <v>2.23</v>
      </c>
    </row>
    <row r="472" spans="1:8" ht="15">
      <c r="A472" s="63">
        <v>50098147</v>
      </c>
      <c r="B472" s="64" t="s">
        <v>835</v>
      </c>
      <c r="C472">
        <v>50082183</v>
      </c>
      <c r="D472" t="s">
        <v>515</v>
      </c>
      <c r="F472" s="63">
        <v>50097600</v>
      </c>
      <c r="G472" s="64" t="s">
        <v>825</v>
      </c>
      <c r="H472" s="66">
        <v>3.15</v>
      </c>
    </row>
    <row r="473" spans="1:8" ht="15">
      <c r="A473" s="63">
        <v>50098256</v>
      </c>
      <c r="B473" s="64" t="s">
        <v>836</v>
      </c>
      <c r="C473">
        <v>50082184</v>
      </c>
      <c r="D473" t="s">
        <v>517</v>
      </c>
      <c r="F473" s="63">
        <v>50097617</v>
      </c>
      <c r="G473" s="64" t="s">
        <v>826</v>
      </c>
      <c r="H473" s="66">
        <v>3.5491000000000001</v>
      </c>
    </row>
    <row r="474" spans="1:8" ht="15">
      <c r="A474" s="63">
        <v>50098294</v>
      </c>
      <c r="B474" s="64" t="s">
        <v>837</v>
      </c>
      <c r="C474">
        <v>50082184</v>
      </c>
      <c r="D474" t="s">
        <v>517</v>
      </c>
      <c r="F474" s="63">
        <v>50097926</v>
      </c>
      <c r="G474" s="64" t="s">
        <v>829</v>
      </c>
      <c r="H474" s="66">
        <v>2.8319999999999999</v>
      </c>
    </row>
    <row r="475" spans="1:8" ht="15">
      <c r="A475" s="63">
        <v>50098386</v>
      </c>
      <c r="B475" s="64" t="s">
        <v>838</v>
      </c>
      <c r="C475">
        <v>50082183</v>
      </c>
      <c r="D475" t="s">
        <v>515</v>
      </c>
      <c r="F475" s="63">
        <v>50097929</v>
      </c>
      <c r="G475" s="64" t="s">
        <v>830</v>
      </c>
      <c r="H475" s="66">
        <v>3.5308999999999999</v>
      </c>
    </row>
    <row r="476" spans="1:8" ht="15">
      <c r="A476" s="63">
        <v>50098661</v>
      </c>
      <c r="B476" s="64" t="s">
        <v>840</v>
      </c>
      <c r="C476">
        <v>50082184</v>
      </c>
      <c r="D476" t="s">
        <v>517</v>
      </c>
      <c r="F476" s="63">
        <v>50097931</v>
      </c>
      <c r="G476" s="64" t="s">
        <v>831</v>
      </c>
      <c r="H476" s="66">
        <v>4.33</v>
      </c>
    </row>
    <row r="477" spans="1:8" ht="15">
      <c r="A477" s="63">
        <v>50098899</v>
      </c>
      <c r="B477" s="64" t="s">
        <v>842</v>
      </c>
      <c r="C477">
        <v>50082200</v>
      </c>
      <c r="D477" t="s">
        <v>521</v>
      </c>
      <c r="F477" s="63">
        <v>50097934</v>
      </c>
      <c r="G477" s="64" t="s">
        <v>832</v>
      </c>
      <c r="H477" s="66">
        <v>0.47699200000000003</v>
      </c>
    </row>
    <row r="478" spans="1:8" ht="15">
      <c r="A478" s="63">
        <v>50098989</v>
      </c>
      <c r="B478" s="64" t="s">
        <v>843</v>
      </c>
      <c r="C478">
        <v>50082183</v>
      </c>
      <c r="D478" t="s">
        <v>515</v>
      </c>
      <c r="F478" s="63">
        <v>50097936</v>
      </c>
      <c r="G478" s="64" t="s">
        <v>833</v>
      </c>
      <c r="H478" s="66">
        <v>2.2080000000000002</v>
      </c>
    </row>
    <row r="479" spans="1:8" ht="15">
      <c r="A479" s="63">
        <v>50098992</v>
      </c>
      <c r="B479" s="64" t="s">
        <v>844</v>
      </c>
      <c r="C479">
        <v>50082200</v>
      </c>
      <c r="D479" t="s">
        <v>521</v>
      </c>
      <c r="F479" s="63">
        <v>50098073</v>
      </c>
      <c r="G479" s="64" t="s">
        <v>834</v>
      </c>
      <c r="H479" s="66">
        <v>2.2080000000000002</v>
      </c>
    </row>
    <row r="480" spans="1:8" ht="15">
      <c r="A480" s="63">
        <v>50099023</v>
      </c>
      <c r="B480" s="64" t="s">
        <v>845</v>
      </c>
      <c r="C480">
        <v>50082200</v>
      </c>
      <c r="D480" t="s">
        <v>521</v>
      </c>
      <c r="F480" s="63">
        <v>50098147</v>
      </c>
      <c r="G480" s="64" t="s">
        <v>835</v>
      </c>
      <c r="H480" s="66">
        <v>3.5308999999999999</v>
      </c>
    </row>
    <row r="481" spans="1:8" ht="15">
      <c r="A481" s="63">
        <v>50099120</v>
      </c>
      <c r="B481" s="64" t="s">
        <v>846</v>
      </c>
      <c r="C481">
        <v>50082184</v>
      </c>
      <c r="D481" t="s">
        <v>517</v>
      </c>
      <c r="F481" s="63">
        <v>50098256</v>
      </c>
      <c r="G481" s="64" t="s">
        <v>836</v>
      </c>
      <c r="H481" s="66">
        <v>4.3864999999999998</v>
      </c>
    </row>
    <row r="482" spans="1:8" ht="15">
      <c r="A482" s="63">
        <v>50099311</v>
      </c>
      <c r="B482" s="64" t="s">
        <v>849</v>
      </c>
      <c r="C482">
        <v>50082184</v>
      </c>
      <c r="D482" t="s">
        <v>517</v>
      </c>
      <c r="F482" s="63">
        <v>50098294</v>
      </c>
      <c r="G482" s="64" t="s">
        <v>837</v>
      </c>
      <c r="H482" s="66">
        <v>2.8</v>
      </c>
    </row>
    <row r="483" spans="1:8" ht="15">
      <c r="A483" s="63">
        <v>50099315</v>
      </c>
      <c r="B483" s="64" t="s">
        <v>850</v>
      </c>
      <c r="C483">
        <v>50082184</v>
      </c>
      <c r="D483" t="s">
        <v>517</v>
      </c>
      <c r="F483" s="63">
        <v>50098386</v>
      </c>
      <c r="G483" s="64" t="s">
        <v>838</v>
      </c>
      <c r="H483" s="66">
        <v>0.49919999999999998</v>
      </c>
    </row>
    <row r="484" spans="1:8" ht="15">
      <c r="A484" s="63">
        <v>50099318</v>
      </c>
      <c r="B484" s="64" t="s">
        <v>851</v>
      </c>
      <c r="C484">
        <v>50082184</v>
      </c>
      <c r="D484" t="s">
        <v>517</v>
      </c>
      <c r="F484" s="63">
        <v>50098661</v>
      </c>
      <c r="G484" s="64" t="s">
        <v>840</v>
      </c>
      <c r="H484" s="66">
        <v>3.9645999999999999</v>
      </c>
    </row>
    <row r="485" spans="1:8" ht="15">
      <c r="A485" s="63">
        <v>50099594</v>
      </c>
      <c r="B485" s="64" t="s">
        <v>855</v>
      </c>
      <c r="C485">
        <v>50082183</v>
      </c>
      <c r="D485" t="s">
        <v>515</v>
      </c>
      <c r="F485" s="63">
        <v>50098899</v>
      </c>
      <c r="G485" s="64" t="s">
        <v>842</v>
      </c>
      <c r="H485" s="66">
        <v>1.7150000000000001</v>
      </c>
    </row>
    <row r="486" spans="1:8" ht="15">
      <c r="A486" s="63">
        <v>50099823</v>
      </c>
      <c r="B486" s="64" t="s">
        <v>856</v>
      </c>
      <c r="C486">
        <v>50082183</v>
      </c>
      <c r="D486" t="s">
        <v>515</v>
      </c>
      <c r="F486" s="63">
        <v>50098989</v>
      </c>
      <c r="G486" s="64" t="s">
        <v>843</v>
      </c>
      <c r="H486" s="66">
        <v>0.56000000000000005</v>
      </c>
    </row>
    <row r="487" spans="1:8" ht="15">
      <c r="A487" s="63">
        <v>50099833</v>
      </c>
      <c r="B487" s="64" t="s">
        <v>857</v>
      </c>
      <c r="C487">
        <v>50082202</v>
      </c>
      <c r="D487" t="s">
        <v>519</v>
      </c>
      <c r="F487" s="63">
        <v>50098992</v>
      </c>
      <c r="G487" s="64" t="s">
        <v>844</v>
      </c>
      <c r="H487" s="66">
        <v>1.764</v>
      </c>
    </row>
    <row r="488" spans="1:8" ht="15">
      <c r="A488" s="63">
        <v>50099858</v>
      </c>
      <c r="B488" s="64" t="s">
        <v>858</v>
      </c>
      <c r="C488">
        <v>50082202</v>
      </c>
      <c r="D488" t="s">
        <v>519</v>
      </c>
      <c r="F488" s="63">
        <v>50099023</v>
      </c>
      <c r="G488" s="64" t="s">
        <v>845</v>
      </c>
      <c r="H488" s="66">
        <v>1.8</v>
      </c>
    </row>
    <row r="489" spans="1:8" ht="15">
      <c r="A489" s="63">
        <v>50100018</v>
      </c>
      <c r="B489" s="64" t="s">
        <v>860</v>
      </c>
      <c r="C489">
        <v>50082183</v>
      </c>
      <c r="D489" t="s">
        <v>515</v>
      </c>
      <c r="F489" s="63">
        <v>50099120</v>
      </c>
      <c r="G489" s="64" t="s">
        <v>846</v>
      </c>
      <c r="H489" s="66">
        <v>0.54879999999999995</v>
      </c>
    </row>
    <row r="490" spans="1:8" ht="15">
      <c r="A490" s="63">
        <v>50100021</v>
      </c>
      <c r="B490" s="64" t="s">
        <v>861</v>
      </c>
      <c r="C490">
        <v>50082183</v>
      </c>
      <c r="D490" t="s">
        <v>515</v>
      </c>
      <c r="F490" s="63">
        <v>50099311</v>
      </c>
      <c r="G490" s="64" t="s">
        <v>849</v>
      </c>
      <c r="H490" s="66">
        <v>3.577</v>
      </c>
    </row>
    <row r="491" spans="1:8" ht="15">
      <c r="A491" s="63">
        <v>50100024</v>
      </c>
      <c r="B491" s="64" t="s">
        <v>862</v>
      </c>
      <c r="C491">
        <v>50082200</v>
      </c>
      <c r="D491" t="s">
        <v>521</v>
      </c>
      <c r="F491" s="63">
        <v>50099315</v>
      </c>
      <c r="G491" s="64" t="s">
        <v>850</v>
      </c>
      <c r="H491" s="66">
        <v>3.65</v>
      </c>
    </row>
    <row r="492" spans="1:8" ht="15">
      <c r="A492" s="63">
        <v>50100066</v>
      </c>
      <c r="B492" s="64" t="s">
        <v>863</v>
      </c>
      <c r="C492">
        <v>50082183</v>
      </c>
      <c r="D492" t="s">
        <v>515</v>
      </c>
      <c r="F492" s="63">
        <v>50099318</v>
      </c>
      <c r="G492" s="64" t="s">
        <v>851</v>
      </c>
      <c r="H492" s="66">
        <v>3.577</v>
      </c>
    </row>
    <row r="493" spans="1:8" ht="15">
      <c r="A493" s="63">
        <v>50100127</v>
      </c>
      <c r="B493" s="64" t="s">
        <v>864</v>
      </c>
      <c r="C493">
        <v>50082200</v>
      </c>
      <c r="D493" t="s">
        <v>521</v>
      </c>
      <c r="F493" s="63">
        <v>50099594</v>
      </c>
      <c r="G493" s="64" t="s">
        <v>855</v>
      </c>
      <c r="H493" s="66">
        <v>3.5491000000000001</v>
      </c>
    </row>
    <row r="494" spans="1:8" ht="15">
      <c r="A494" s="63">
        <v>50100211</v>
      </c>
      <c r="B494" s="64" t="s">
        <v>865</v>
      </c>
      <c r="C494">
        <v>50082200</v>
      </c>
      <c r="D494" t="s">
        <v>521</v>
      </c>
      <c r="F494" s="63">
        <v>50099823</v>
      </c>
      <c r="G494" s="64" t="s">
        <v>856</v>
      </c>
      <c r="H494" s="66">
        <v>3.5491000000000001</v>
      </c>
    </row>
    <row r="495" spans="1:8" ht="15">
      <c r="A495" s="63">
        <v>50100254</v>
      </c>
      <c r="B495" s="64" t="s">
        <v>866</v>
      </c>
      <c r="C495">
        <v>50082202</v>
      </c>
      <c r="D495" t="s">
        <v>519</v>
      </c>
      <c r="F495" s="63">
        <v>50099833</v>
      </c>
      <c r="G495" s="64" t="s">
        <v>857</v>
      </c>
      <c r="H495" s="66">
        <v>2.254</v>
      </c>
    </row>
    <row r="496" spans="1:8" ht="15">
      <c r="A496" s="63">
        <v>50100259</v>
      </c>
      <c r="B496" s="64" t="s">
        <v>867</v>
      </c>
      <c r="C496">
        <v>50082183</v>
      </c>
      <c r="D496" t="s">
        <v>515</v>
      </c>
      <c r="F496" s="63">
        <v>50099858</v>
      </c>
      <c r="G496" s="64" t="s">
        <v>858</v>
      </c>
      <c r="H496" s="66">
        <v>2.2309999999999999</v>
      </c>
    </row>
    <row r="497" spans="1:8" ht="15">
      <c r="A497" s="63">
        <v>50100509</v>
      </c>
      <c r="B497" s="64" t="s">
        <v>868</v>
      </c>
      <c r="C497">
        <v>50082200</v>
      </c>
      <c r="D497" t="s">
        <v>521</v>
      </c>
      <c r="F497" s="63">
        <v>50100018</v>
      </c>
      <c r="G497" s="64" t="s">
        <v>860</v>
      </c>
      <c r="H497" s="66">
        <v>2.8319999999999999</v>
      </c>
    </row>
    <row r="498" spans="1:8" ht="15">
      <c r="A498" s="63">
        <v>50100514</v>
      </c>
      <c r="B498" s="64" t="s">
        <v>869</v>
      </c>
      <c r="C498">
        <v>50082200</v>
      </c>
      <c r="D498" t="s">
        <v>521</v>
      </c>
      <c r="F498" s="63">
        <v>50100021</v>
      </c>
      <c r="G498" s="64" t="s">
        <v>861</v>
      </c>
      <c r="H498" s="66">
        <v>0.45590000000000003</v>
      </c>
    </row>
    <row r="499" spans="1:8" ht="15">
      <c r="A499" s="63">
        <v>50100730</v>
      </c>
      <c r="B499" s="64" t="s">
        <v>870</v>
      </c>
      <c r="C499">
        <v>50082202</v>
      </c>
      <c r="D499" t="s">
        <v>519</v>
      </c>
      <c r="F499" s="63">
        <v>50100024</v>
      </c>
      <c r="G499" s="64" t="s">
        <v>862</v>
      </c>
      <c r="H499" s="66">
        <v>1.5249999999999999</v>
      </c>
    </row>
    <row r="500" spans="1:8" ht="15">
      <c r="A500" s="63">
        <v>50100862</v>
      </c>
      <c r="B500" s="64" t="s">
        <v>871</v>
      </c>
      <c r="C500">
        <v>50082200</v>
      </c>
      <c r="D500" t="s">
        <v>521</v>
      </c>
      <c r="F500" s="63">
        <v>50100066</v>
      </c>
      <c r="G500" s="64" t="s">
        <v>863</v>
      </c>
      <c r="H500" s="66">
        <v>0.45590000000000003</v>
      </c>
    </row>
    <row r="501" spans="1:8" ht="15">
      <c r="A501" s="63">
        <v>50100911</v>
      </c>
      <c r="B501" s="64" t="s">
        <v>872</v>
      </c>
      <c r="C501">
        <v>50082183</v>
      </c>
      <c r="D501" t="s">
        <v>515</v>
      </c>
      <c r="F501" s="63">
        <v>50100127</v>
      </c>
      <c r="G501" s="64" t="s">
        <v>864</v>
      </c>
      <c r="H501" s="66">
        <v>1.72</v>
      </c>
    </row>
    <row r="502" spans="1:8" ht="15">
      <c r="A502" s="63">
        <v>50100914</v>
      </c>
      <c r="B502" s="64" t="s">
        <v>873</v>
      </c>
      <c r="C502">
        <v>50082183</v>
      </c>
      <c r="D502" t="s">
        <v>515</v>
      </c>
      <c r="F502" s="63">
        <v>50100211</v>
      </c>
      <c r="G502" s="64" t="s">
        <v>865</v>
      </c>
      <c r="H502" s="66">
        <v>1.72</v>
      </c>
    </row>
    <row r="503" spans="1:8" ht="15">
      <c r="A503" s="63">
        <v>50100997</v>
      </c>
      <c r="B503" s="64" t="s">
        <v>874</v>
      </c>
      <c r="C503">
        <v>50108558</v>
      </c>
      <c r="D503" t="s">
        <v>875</v>
      </c>
      <c r="F503" s="63">
        <v>50100254</v>
      </c>
      <c r="G503" s="64" t="s">
        <v>866</v>
      </c>
      <c r="H503" s="66">
        <v>2.1619999999999999</v>
      </c>
    </row>
    <row r="504" spans="1:8" ht="15">
      <c r="A504" s="63">
        <v>50101054</v>
      </c>
      <c r="B504" s="64" t="s">
        <v>876</v>
      </c>
      <c r="C504">
        <v>50082183</v>
      </c>
      <c r="D504" t="s">
        <v>515</v>
      </c>
      <c r="F504" s="63">
        <v>50100259</v>
      </c>
      <c r="G504" s="64" t="s">
        <v>867</v>
      </c>
      <c r="H504" s="66">
        <v>0.45</v>
      </c>
    </row>
    <row r="505" spans="1:8" ht="15">
      <c r="A505" s="63">
        <v>50101364</v>
      </c>
      <c r="B505" s="64" t="s">
        <v>877</v>
      </c>
      <c r="C505">
        <v>50082200</v>
      </c>
      <c r="D505" t="s">
        <v>521</v>
      </c>
      <c r="F505" s="63">
        <v>50100509</v>
      </c>
      <c r="G505" s="64" t="s">
        <v>868</v>
      </c>
      <c r="H505" s="66">
        <v>1.5249999999999999</v>
      </c>
    </row>
    <row r="506" spans="1:8" ht="15">
      <c r="A506" s="63">
        <v>50101368</v>
      </c>
      <c r="B506" s="64" t="s">
        <v>878</v>
      </c>
      <c r="C506">
        <v>50082183</v>
      </c>
      <c r="D506" t="s">
        <v>515</v>
      </c>
      <c r="F506" s="63">
        <v>50100514</v>
      </c>
      <c r="G506" s="64" t="s">
        <v>869</v>
      </c>
      <c r="H506" s="66">
        <v>1.5249999999999999</v>
      </c>
    </row>
    <row r="507" spans="1:8" ht="15">
      <c r="A507" s="63">
        <v>50101487</v>
      </c>
      <c r="B507" s="64" t="s">
        <v>879</v>
      </c>
      <c r="C507">
        <v>50082183</v>
      </c>
      <c r="D507" t="s">
        <v>515</v>
      </c>
      <c r="F507" s="63">
        <v>50100730</v>
      </c>
      <c r="G507" s="64" t="s">
        <v>870</v>
      </c>
      <c r="H507" s="66">
        <v>2.1619999999999999</v>
      </c>
    </row>
    <row r="508" spans="1:8" ht="15">
      <c r="A508" s="63">
        <v>50101616</v>
      </c>
      <c r="B508" s="64" t="s">
        <v>880</v>
      </c>
      <c r="C508">
        <v>50108558</v>
      </c>
      <c r="D508" t="s">
        <v>875</v>
      </c>
      <c r="F508" s="63">
        <v>50100862</v>
      </c>
      <c r="G508" s="64" t="s">
        <v>871</v>
      </c>
      <c r="H508" s="66">
        <v>1.5249999999999999</v>
      </c>
    </row>
    <row r="509" spans="1:8" ht="15">
      <c r="A509" s="63">
        <v>50101619</v>
      </c>
      <c r="B509" s="64" t="s">
        <v>881</v>
      </c>
      <c r="C509">
        <v>50108558</v>
      </c>
      <c r="D509" t="s">
        <v>875</v>
      </c>
      <c r="F509" s="63">
        <v>50100911</v>
      </c>
      <c r="G509" s="64" t="s">
        <v>872</v>
      </c>
      <c r="H509" s="66">
        <v>2.8675000000000002</v>
      </c>
    </row>
    <row r="510" spans="1:8" ht="15">
      <c r="A510" s="63">
        <v>50101625</v>
      </c>
      <c r="B510" s="64" t="s">
        <v>2319</v>
      </c>
      <c r="C510">
        <v>50108558</v>
      </c>
      <c r="D510" t="s">
        <v>875</v>
      </c>
      <c r="F510" s="63">
        <v>50100914</v>
      </c>
      <c r="G510" s="64" t="s">
        <v>873</v>
      </c>
      <c r="H510" s="66">
        <v>0.46179999999999999</v>
      </c>
    </row>
    <row r="511" spans="1:8" ht="15">
      <c r="A511" s="63">
        <v>50101628</v>
      </c>
      <c r="B511" s="64" t="s">
        <v>882</v>
      </c>
      <c r="C511">
        <v>50108558</v>
      </c>
      <c r="D511" t="s">
        <v>875</v>
      </c>
      <c r="F511" s="63">
        <v>50100997</v>
      </c>
      <c r="G511" s="64" t="s">
        <v>874</v>
      </c>
      <c r="H511" s="66">
        <v>0.48099999999999998</v>
      </c>
    </row>
    <row r="512" spans="1:8" ht="15">
      <c r="A512" s="63">
        <v>50101631</v>
      </c>
      <c r="B512" s="64" t="s">
        <v>883</v>
      </c>
      <c r="C512">
        <v>50108558</v>
      </c>
      <c r="D512" t="s">
        <v>875</v>
      </c>
      <c r="F512" s="63">
        <v>50101054</v>
      </c>
      <c r="G512" s="64" t="s">
        <v>876</v>
      </c>
      <c r="H512" s="66">
        <v>2.8319999999999999</v>
      </c>
    </row>
    <row r="513" spans="1:8" ht="15">
      <c r="A513" s="63">
        <v>50101634</v>
      </c>
      <c r="B513" s="64" t="s">
        <v>884</v>
      </c>
      <c r="C513">
        <v>50108558</v>
      </c>
      <c r="D513" t="s">
        <v>875</v>
      </c>
      <c r="F513" s="63">
        <v>50101364</v>
      </c>
      <c r="G513" s="64" t="s">
        <v>877</v>
      </c>
      <c r="H513" s="66">
        <v>1.728</v>
      </c>
    </row>
    <row r="514" spans="1:8" ht="15">
      <c r="A514" s="63">
        <v>50101712</v>
      </c>
      <c r="B514" s="64" t="s">
        <v>885</v>
      </c>
      <c r="C514">
        <v>50082200</v>
      </c>
      <c r="D514" t="s">
        <v>521</v>
      </c>
      <c r="F514" s="63">
        <v>50101368</v>
      </c>
      <c r="G514" s="64" t="s">
        <v>878</v>
      </c>
      <c r="H514" s="66">
        <v>0.52</v>
      </c>
    </row>
    <row r="515" spans="1:8" ht="15">
      <c r="A515" s="63">
        <v>50101719</v>
      </c>
      <c r="B515" s="64" t="s">
        <v>886</v>
      </c>
      <c r="C515">
        <v>50082183</v>
      </c>
      <c r="D515" t="s">
        <v>515</v>
      </c>
      <c r="F515" s="63">
        <v>50101487</v>
      </c>
      <c r="G515" s="64" t="s">
        <v>879</v>
      </c>
      <c r="H515" s="66">
        <v>3.5308999999999999</v>
      </c>
    </row>
    <row r="516" spans="1:8" ht="15">
      <c r="A516" s="63">
        <v>50101725</v>
      </c>
      <c r="B516" s="64" t="s">
        <v>887</v>
      </c>
      <c r="C516">
        <v>50082184</v>
      </c>
      <c r="D516" t="s">
        <v>517</v>
      </c>
      <c r="F516" s="63">
        <v>50101616</v>
      </c>
      <c r="G516" s="64" t="s">
        <v>880</v>
      </c>
      <c r="H516" s="66">
        <v>4.4775999999999998</v>
      </c>
    </row>
    <row r="517" spans="1:8" ht="15">
      <c r="A517" s="63">
        <v>50101732</v>
      </c>
      <c r="B517" s="64" t="s">
        <v>888</v>
      </c>
      <c r="C517">
        <v>50082184</v>
      </c>
      <c r="D517" t="s">
        <v>517</v>
      </c>
      <c r="F517" s="63">
        <v>50101619</v>
      </c>
      <c r="G517" s="64" t="s">
        <v>881</v>
      </c>
      <c r="H517" s="66">
        <v>0.45800000000000002</v>
      </c>
    </row>
    <row r="518" spans="1:8" ht="15">
      <c r="A518" s="63">
        <v>50101920</v>
      </c>
      <c r="B518" s="64" t="s">
        <v>889</v>
      </c>
      <c r="C518">
        <v>50108558</v>
      </c>
      <c r="D518" t="s">
        <v>875</v>
      </c>
      <c r="F518" s="63">
        <v>50101625</v>
      </c>
      <c r="G518" s="64" t="s">
        <v>2319</v>
      </c>
      <c r="H518" s="66">
        <v>3.6970000000000001</v>
      </c>
    </row>
    <row r="519" spans="1:8" ht="15">
      <c r="A519" s="63">
        <v>50101943</v>
      </c>
      <c r="B519" s="64" t="s">
        <v>891</v>
      </c>
      <c r="C519">
        <v>50082200</v>
      </c>
      <c r="D519" t="s">
        <v>521</v>
      </c>
      <c r="F519" s="63">
        <v>50101628</v>
      </c>
      <c r="G519" s="64" t="s">
        <v>882</v>
      </c>
      <c r="H519" s="66">
        <v>3.5720999999999998</v>
      </c>
    </row>
    <row r="520" spans="1:8" ht="15">
      <c r="A520" s="63">
        <v>50101976</v>
      </c>
      <c r="B520" s="64" t="s">
        <v>1449</v>
      </c>
      <c r="C520">
        <v>50082198</v>
      </c>
      <c r="D520" t="s">
        <v>1943</v>
      </c>
      <c r="F520" s="63">
        <v>50101631</v>
      </c>
      <c r="G520" s="64" t="s">
        <v>883</v>
      </c>
      <c r="H520" s="66">
        <v>0.48199999999999998</v>
      </c>
    </row>
    <row r="521" spans="1:8" ht="15">
      <c r="A521" s="63">
        <v>50101979</v>
      </c>
      <c r="B521" s="64" t="s">
        <v>892</v>
      </c>
      <c r="C521">
        <v>50082200</v>
      </c>
      <c r="D521" t="s">
        <v>521</v>
      </c>
      <c r="F521" s="63">
        <v>50101634</v>
      </c>
      <c r="G521" s="64" t="s">
        <v>884</v>
      </c>
      <c r="H521" s="66">
        <v>0.46550000000000002</v>
      </c>
    </row>
    <row r="522" spans="1:8" ht="15">
      <c r="A522" s="63">
        <v>50101982</v>
      </c>
      <c r="B522" s="64" t="s">
        <v>1492</v>
      </c>
      <c r="C522">
        <v>50108558</v>
      </c>
      <c r="D522" t="s">
        <v>875</v>
      </c>
      <c r="F522" s="63">
        <v>50101712</v>
      </c>
      <c r="G522" s="64" t="s">
        <v>885</v>
      </c>
      <c r="H522" s="66">
        <v>1.72</v>
      </c>
    </row>
    <row r="523" spans="1:8" ht="15">
      <c r="A523" s="63">
        <v>50101991</v>
      </c>
      <c r="B523" s="64" t="s">
        <v>893</v>
      </c>
      <c r="C523">
        <v>50082202</v>
      </c>
      <c r="D523" t="s">
        <v>519</v>
      </c>
      <c r="F523" s="63">
        <v>50101719</v>
      </c>
      <c r="G523" s="64" t="s">
        <v>886</v>
      </c>
      <c r="H523" s="66">
        <v>0.49919999999999998</v>
      </c>
    </row>
    <row r="524" spans="1:8" ht="15">
      <c r="A524" s="63">
        <v>50102080</v>
      </c>
      <c r="B524" s="64" t="s">
        <v>894</v>
      </c>
      <c r="C524">
        <v>50082200</v>
      </c>
      <c r="D524" t="s">
        <v>521</v>
      </c>
      <c r="F524" s="63">
        <v>50101725</v>
      </c>
      <c r="G524" s="64" t="s">
        <v>887</v>
      </c>
      <c r="H524" s="66">
        <v>2.8714</v>
      </c>
    </row>
    <row r="525" spans="1:8" ht="15">
      <c r="A525" s="63">
        <v>50102092</v>
      </c>
      <c r="B525" s="64" t="s">
        <v>895</v>
      </c>
      <c r="C525">
        <v>50082200</v>
      </c>
      <c r="D525" t="s">
        <v>521</v>
      </c>
      <c r="F525" s="63">
        <v>50101732</v>
      </c>
      <c r="G525" s="64" t="s">
        <v>888</v>
      </c>
      <c r="H525" s="66">
        <v>0.60860000000000003</v>
      </c>
    </row>
    <row r="526" spans="1:8" ht="15">
      <c r="A526" s="63">
        <v>50102393</v>
      </c>
      <c r="B526" s="64" t="s">
        <v>2340</v>
      </c>
      <c r="C526">
        <v>50108558</v>
      </c>
      <c r="D526" t="s">
        <v>875</v>
      </c>
      <c r="F526" s="63">
        <v>50101920</v>
      </c>
      <c r="G526" s="64" t="s">
        <v>889</v>
      </c>
      <c r="H526" s="66">
        <v>6.3383000000000003</v>
      </c>
    </row>
    <row r="527" spans="1:8" ht="15">
      <c r="A527" s="63">
        <v>50102396</v>
      </c>
      <c r="B527" s="64" t="s">
        <v>906</v>
      </c>
      <c r="C527">
        <v>50108558</v>
      </c>
      <c r="D527" t="s">
        <v>875</v>
      </c>
      <c r="F527" s="63">
        <v>50101943</v>
      </c>
      <c r="G527" s="64" t="s">
        <v>891</v>
      </c>
      <c r="H527" s="66">
        <v>1.5249999999999999</v>
      </c>
    </row>
    <row r="528" spans="1:8" ht="15">
      <c r="A528" s="63">
        <v>50102431</v>
      </c>
      <c r="B528" s="64" t="s">
        <v>310</v>
      </c>
      <c r="C528">
        <v>50108558</v>
      </c>
      <c r="D528" t="s">
        <v>875</v>
      </c>
      <c r="F528" s="63">
        <v>50101976</v>
      </c>
      <c r="G528" s="64" t="s">
        <v>1449</v>
      </c>
      <c r="H528" s="66">
        <v>2.8420000000000001</v>
      </c>
    </row>
    <row r="529" spans="1:8" ht="15">
      <c r="A529" s="63">
        <v>50102486</v>
      </c>
      <c r="B529" s="64" t="s">
        <v>271</v>
      </c>
      <c r="C529">
        <v>50082198</v>
      </c>
      <c r="D529" t="s">
        <v>1943</v>
      </c>
      <c r="F529" s="63">
        <v>50101979</v>
      </c>
      <c r="G529" s="64" t="s">
        <v>892</v>
      </c>
      <c r="H529" s="66">
        <v>1.5940000000000001</v>
      </c>
    </row>
    <row r="530" spans="1:8" ht="15">
      <c r="A530" s="63">
        <v>50102489</v>
      </c>
      <c r="B530" s="64" t="s">
        <v>1546</v>
      </c>
      <c r="C530">
        <v>50082198</v>
      </c>
      <c r="D530" t="s">
        <v>1943</v>
      </c>
      <c r="F530" s="63">
        <v>50101982</v>
      </c>
      <c r="G530" s="64" t="s">
        <v>1492</v>
      </c>
      <c r="H530" s="66">
        <v>0.621</v>
      </c>
    </row>
    <row r="531" spans="1:8" ht="15">
      <c r="A531" s="63">
        <v>50102575</v>
      </c>
      <c r="B531" s="64" t="s">
        <v>1549</v>
      </c>
      <c r="C531">
        <v>50082198</v>
      </c>
      <c r="D531" t="s">
        <v>1943</v>
      </c>
      <c r="F531" s="63">
        <v>50101991</v>
      </c>
      <c r="G531" s="64" t="s">
        <v>893</v>
      </c>
      <c r="H531" s="66">
        <v>2.2080000000000002</v>
      </c>
    </row>
    <row r="532" spans="1:8" ht="15">
      <c r="A532" s="63">
        <v>50102609</v>
      </c>
      <c r="B532" s="64" t="s">
        <v>910</v>
      </c>
      <c r="C532">
        <v>50082183</v>
      </c>
      <c r="D532" t="s">
        <v>515</v>
      </c>
      <c r="F532" s="63">
        <v>50102080</v>
      </c>
      <c r="G532" s="64" t="s">
        <v>894</v>
      </c>
      <c r="H532" s="66">
        <v>1.6970000000000001</v>
      </c>
    </row>
    <row r="533" spans="1:8" ht="15">
      <c r="A533" s="63">
        <v>50102765</v>
      </c>
      <c r="B533" s="64" t="s">
        <v>1552</v>
      </c>
      <c r="C533">
        <v>50082198</v>
      </c>
      <c r="D533" t="s">
        <v>1943</v>
      </c>
      <c r="F533" s="63">
        <v>50102092</v>
      </c>
      <c r="G533" s="64" t="s">
        <v>895</v>
      </c>
      <c r="H533" s="66">
        <v>1.6970000000000001</v>
      </c>
    </row>
    <row r="534" spans="1:8" ht="15">
      <c r="A534" s="63">
        <v>50102864</v>
      </c>
      <c r="B534" s="64" t="s">
        <v>911</v>
      </c>
      <c r="C534">
        <v>50082183</v>
      </c>
      <c r="D534" t="s">
        <v>515</v>
      </c>
      <c r="F534" s="63">
        <v>50102393</v>
      </c>
      <c r="G534" s="64" t="s">
        <v>2340</v>
      </c>
      <c r="H534" s="66">
        <v>2.4500000000000002</v>
      </c>
    </row>
    <row r="535" spans="1:8" ht="15">
      <c r="A535" s="63">
        <v>50102867</v>
      </c>
      <c r="B535" s="64" t="s">
        <v>912</v>
      </c>
      <c r="C535">
        <v>50082183</v>
      </c>
      <c r="D535" t="s">
        <v>515</v>
      </c>
      <c r="F535" s="63">
        <v>50102396</v>
      </c>
      <c r="G535" s="64" t="s">
        <v>906</v>
      </c>
      <c r="H535" s="66">
        <v>2.8288000000000002</v>
      </c>
    </row>
    <row r="536" spans="1:8" ht="15">
      <c r="A536" s="63">
        <v>50102908</v>
      </c>
      <c r="B536" s="64" t="s">
        <v>1555</v>
      </c>
      <c r="C536">
        <v>50082198</v>
      </c>
      <c r="D536" t="s">
        <v>1943</v>
      </c>
      <c r="F536" s="63">
        <v>50102431</v>
      </c>
      <c r="G536" s="64" t="s">
        <v>310</v>
      </c>
      <c r="H536" s="66">
        <v>6.6444000000000001</v>
      </c>
    </row>
    <row r="537" spans="1:8" ht="15">
      <c r="A537" s="63">
        <v>50102918</v>
      </c>
      <c r="B537" s="64" t="s">
        <v>913</v>
      </c>
      <c r="C537">
        <v>50082183</v>
      </c>
      <c r="D537" t="s">
        <v>515</v>
      </c>
      <c r="F537" s="63">
        <v>50102486</v>
      </c>
      <c r="G537" s="64" t="s">
        <v>271</v>
      </c>
      <c r="H537" s="66">
        <v>3.4373999999999998</v>
      </c>
    </row>
    <row r="538" spans="1:8" ht="15">
      <c r="A538" s="63">
        <v>50102921</v>
      </c>
      <c r="B538" s="64" t="s">
        <v>914</v>
      </c>
      <c r="C538">
        <v>50082202</v>
      </c>
      <c r="D538" t="s">
        <v>519</v>
      </c>
      <c r="F538" s="63">
        <v>50102489</v>
      </c>
      <c r="G538" s="64" t="s">
        <v>1546</v>
      </c>
      <c r="H538" s="66">
        <v>0.60860000000000003</v>
      </c>
    </row>
    <row r="539" spans="1:8" ht="15">
      <c r="A539" s="63">
        <v>50103020</v>
      </c>
      <c r="B539" s="64" t="s">
        <v>1560</v>
      </c>
      <c r="C539">
        <v>50082198</v>
      </c>
      <c r="D539" t="s">
        <v>1943</v>
      </c>
      <c r="F539" s="63">
        <v>50102575</v>
      </c>
      <c r="G539" s="64" t="s">
        <v>1549</v>
      </c>
      <c r="H539" s="66">
        <v>0.54879999999999995</v>
      </c>
    </row>
    <row r="540" spans="1:8" ht="15">
      <c r="A540" s="63">
        <v>50103048</v>
      </c>
      <c r="B540" s="64" t="s">
        <v>915</v>
      </c>
      <c r="C540">
        <v>50082200</v>
      </c>
      <c r="D540" t="s">
        <v>521</v>
      </c>
      <c r="F540" s="63">
        <v>50102609</v>
      </c>
      <c r="G540" s="64" t="s">
        <v>910</v>
      </c>
      <c r="H540" s="66">
        <v>0.48</v>
      </c>
    </row>
    <row r="541" spans="1:8" ht="15">
      <c r="A541" s="63">
        <v>50103051</v>
      </c>
      <c r="B541" s="64" t="s">
        <v>916</v>
      </c>
      <c r="C541">
        <v>50082202</v>
      </c>
      <c r="D541" t="s">
        <v>519</v>
      </c>
      <c r="F541" s="63">
        <v>50102765</v>
      </c>
      <c r="G541" s="64" t="s">
        <v>1552</v>
      </c>
      <c r="H541" s="66">
        <v>0.57089999999999996</v>
      </c>
    </row>
    <row r="542" spans="1:8" ht="15">
      <c r="A542" s="63">
        <v>50103085</v>
      </c>
      <c r="B542" s="64" t="s">
        <v>1563</v>
      </c>
      <c r="C542">
        <v>50082198</v>
      </c>
      <c r="D542" t="s">
        <v>1943</v>
      </c>
      <c r="F542" s="63">
        <v>50102864</v>
      </c>
      <c r="G542" s="64" t="s">
        <v>911</v>
      </c>
      <c r="H542" s="66">
        <v>2.95</v>
      </c>
    </row>
    <row r="543" spans="1:8" ht="15">
      <c r="A543" s="63">
        <v>50103121</v>
      </c>
      <c r="B543" s="64" t="s">
        <v>917</v>
      </c>
      <c r="C543">
        <v>50082183</v>
      </c>
      <c r="D543" t="s">
        <v>515</v>
      </c>
      <c r="F543" s="63">
        <v>50102867</v>
      </c>
      <c r="G543" s="64" t="s">
        <v>912</v>
      </c>
      <c r="H543" s="66">
        <v>2.9792000000000001</v>
      </c>
    </row>
    <row r="544" spans="1:8" ht="15">
      <c r="A544" s="63">
        <v>50103230</v>
      </c>
      <c r="B544" s="64" t="s">
        <v>918</v>
      </c>
      <c r="C544">
        <v>50082200</v>
      </c>
      <c r="D544" t="s">
        <v>521</v>
      </c>
      <c r="F544" s="63">
        <v>50102908</v>
      </c>
      <c r="G544" s="64" t="s">
        <v>1555</v>
      </c>
      <c r="H544" s="66">
        <v>0.54879999999999995</v>
      </c>
    </row>
    <row r="545" spans="1:8" ht="15">
      <c r="A545" s="63">
        <v>50103371</v>
      </c>
      <c r="B545" s="64" t="s">
        <v>919</v>
      </c>
      <c r="C545">
        <v>50082183</v>
      </c>
      <c r="D545" t="s">
        <v>515</v>
      </c>
      <c r="F545" s="63">
        <v>50102918</v>
      </c>
      <c r="G545" s="64" t="s">
        <v>913</v>
      </c>
      <c r="H545" s="66">
        <v>3.552</v>
      </c>
    </row>
    <row r="546" spans="1:8" ht="15">
      <c r="A546" s="63">
        <v>50103557</v>
      </c>
      <c r="B546" s="64" t="s">
        <v>1568</v>
      </c>
      <c r="C546">
        <v>50082198</v>
      </c>
      <c r="D546" t="s">
        <v>1943</v>
      </c>
      <c r="F546" s="63">
        <v>50102921</v>
      </c>
      <c r="G546" s="64" t="s">
        <v>914</v>
      </c>
      <c r="H546" s="66">
        <v>2.2080000000000002</v>
      </c>
    </row>
    <row r="547" spans="1:8" ht="15">
      <c r="A547" s="63">
        <v>50104154</v>
      </c>
      <c r="B547" s="64" t="s">
        <v>920</v>
      </c>
      <c r="C547">
        <v>50082183</v>
      </c>
      <c r="D547" t="s">
        <v>515</v>
      </c>
      <c r="F547" s="63">
        <v>50103020</v>
      </c>
      <c r="G547" s="64" t="s">
        <v>1560</v>
      </c>
      <c r="H547" s="66">
        <v>0.57089999999999996</v>
      </c>
    </row>
    <row r="548" spans="1:8" ht="15">
      <c r="A548" s="63">
        <v>50104226</v>
      </c>
      <c r="B548" s="64" t="s">
        <v>921</v>
      </c>
      <c r="C548">
        <v>50082202</v>
      </c>
      <c r="D548" t="s">
        <v>519</v>
      </c>
      <c r="F548" s="63">
        <v>50103048</v>
      </c>
      <c r="G548" s="64" t="s">
        <v>915</v>
      </c>
      <c r="H548" s="66">
        <v>2.2050000000000001</v>
      </c>
    </row>
    <row r="549" spans="1:8" ht="15">
      <c r="A549" s="63">
        <v>50104511</v>
      </c>
      <c r="B549" s="64" t="s">
        <v>922</v>
      </c>
      <c r="C549">
        <v>50082202</v>
      </c>
      <c r="D549" t="s">
        <v>519</v>
      </c>
      <c r="F549" s="63">
        <v>50103051</v>
      </c>
      <c r="G549" s="64" t="s">
        <v>916</v>
      </c>
      <c r="H549" s="66">
        <v>2.2080000000000002</v>
      </c>
    </row>
    <row r="550" spans="1:8" ht="15">
      <c r="A550" s="63">
        <v>50104514</v>
      </c>
      <c r="B550" s="64" t="s">
        <v>923</v>
      </c>
      <c r="C550">
        <v>50082202</v>
      </c>
      <c r="D550" t="s">
        <v>519</v>
      </c>
      <c r="F550" s="63">
        <v>50103085</v>
      </c>
      <c r="G550" s="64" t="s">
        <v>1563</v>
      </c>
      <c r="H550" s="66">
        <v>4.41</v>
      </c>
    </row>
    <row r="551" spans="1:8" ht="15">
      <c r="A551" s="63">
        <v>50104630</v>
      </c>
      <c r="B551" s="64" t="s">
        <v>929</v>
      </c>
      <c r="C551">
        <v>50103870</v>
      </c>
      <c r="D551" t="s">
        <v>930</v>
      </c>
      <c r="F551" s="63">
        <v>50103121</v>
      </c>
      <c r="G551" s="64" t="s">
        <v>917</v>
      </c>
      <c r="H551" s="66">
        <v>3.552</v>
      </c>
    </row>
    <row r="552" spans="1:8" ht="15">
      <c r="A552" s="63">
        <v>50104746</v>
      </c>
      <c r="B552" s="64" t="s">
        <v>272</v>
      </c>
      <c r="C552">
        <v>50082198</v>
      </c>
      <c r="D552" t="s">
        <v>1943</v>
      </c>
      <c r="F552" s="63">
        <v>50103230</v>
      </c>
      <c r="G552" s="64" t="s">
        <v>918</v>
      </c>
      <c r="H552" s="66">
        <v>1.5249999999999999</v>
      </c>
    </row>
    <row r="553" spans="1:8" ht="15">
      <c r="A553" s="63">
        <v>50104783</v>
      </c>
      <c r="B553" s="64" t="s">
        <v>931</v>
      </c>
      <c r="C553">
        <v>50103870</v>
      </c>
      <c r="D553" t="s">
        <v>930</v>
      </c>
      <c r="F553" s="63">
        <v>50103371</v>
      </c>
      <c r="G553" s="64" t="s">
        <v>919</v>
      </c>
      <c r="H553" s="66">
        <v>3.5720999999999998</v>
      </c>
    </row>
    <row r="554" spans="1:8" ht="15">
      <c r="A554" s="63">
        <v>50104910</v>
      </c>
      <c r="B554" s="64" t="s">
        <v>935</v>
      </c>
      <c r="C554">
        <v>50082183</v>
      </c>
      <c r="D554" t="s">
        <v>515</v>
      </c>
      <c r="F554" s="63">
        <v>50103557</v>
      </c>
      <c r="G554" s="64" t="s">
        <v>1568</v>
      </c>
      <c r="H554" s="66">
        <v>2.8239999999999998</v>
      </c>
    </row>
    <row r="555" spans="1:8" ht="15">
      <c r="A555" s="63">
        <v>50104924</v>
      </c>
      <c r="B555" s="64" t="s">
        <v>936</v>
      </c>
      <c r="C555">
        <v>50082184</v>
      </c>
      <c r="D555" t="s">
        <v>517</v>
      </c>
      <c r="F555" s="63">
        <v>50104154</v>
      </c>
      <c r="G555" s="64" t="s">
        <v>920</v>
      </c>
      <c r="H555" s="66">
        <v>0.47583199999999998</v>
      </c>
    </row>
    <row r="556" spans="1:8" ht="15">
      <c r="A556" s="63">
        <v>50104989</v>
      </c>
      <c r="B556" s="64" t="s">
        <v>937</v>
      </c>
      <c r="C556">
        <v>50082202</v>
      </c>
      <c r="D556" t="s">
        <v>519</v>
      </c>
      <c r="F556" s="63">
        <v>50104226</v>
      </c>
      <c r="G556" s="64" t="s">
        <v>921</v>
      </c>
      <c r="H556" s="66">
        <v>2.2080000000000002</v>
      </c>
    </row>
    <row r="557" spans="1:8" ht="15">
      <c r="A557" s="63">
        <v>50104992</v>
      </c>
      <c r="B557" s="64" t="s">
        <v>938</v>
      </c>
      <c r="C557">
        <v>50082202</v>
      </c>
      <c r="D557" t="s">
        <v>519</v>
      </c>
      <c r="F557" s="63">
        <v>50104511</v>
      </c>
      <c r="G557" s="64" t="s">
        <v>922</v>
      </c>
      <c r="H557" s="66">
        <v>2.2080000000000002</v>
      </c>
    </row>
    <row r="558" spans="1:8" ht="15">
      <c r="A558" s="63">
        <v>50104995</v>
      </c>
      <c r="B558" s="64" t="s">
        <v>939</v>
      </c>
      <c r="C558">
        <v>50082202</v>
      </c>
      <c r="D558" t="s">
        <v>519</v>
      </c>
      <c r="F558" s="63">
        <v>50104514</v>
      </c>
      <c r="G558" s="64" t="s">
        <v>923</v>
      </c>
      <c r="H558" s="66">
        <v>2.1619999999999999</v>
      </c>
    </row>
    <row r="559" spans="1:8" ht="15">
      <c r="A559" s="63">
        <v>50105003</v>
      </c>
      <c r="B559" s="64" t="s">
        <v>940</v>
      </c>
      <c r="C559">
        <v>50082202</v>
      </c>
      <c r="D559" t="s">
        <v>519</v>
      </c>
      <c r="F559" s="63">
        <v>50104630</v>
      </c>
      <c r="G559" s="64" t="s">
        <v>929</v>
      </c>
      <c r="H559" s="66">
        <v>2.4500000000000002</v>
      </c>
    </row>
    <row r="560" spans="1:8" ht="15">
      <c r="A560" s="63">
        <v>50105006</v>
      </c>
      <c r="B560" s="64" t="s">
        <v>941</v>
      </c>
      <c r="C560">
        <v>50082202</v>
      </c>
      <c r="D560" t="s">
        <v>519</v>
      </c>
      <c r="F560" s="63">
        <v>50104746</v>
      </c>
      <c r="G560" s="64" t="s">
        <v>272</v>
      </c>
      <c r="H560" s="66">
        <v>2.8714</v>
      </c>
    </row>
    <row r="561" spans="1:8" ht="15">
      <c r="A561" s="63">
        <v>50105009</v>
      </c>
      <c r="B561" s="64" t="s">
        <v>942</v>
      </c>
      <c r="C561">
        <v>50082184</v>
      </c>
      <c r="D561" t="s">
        <v>517</v>
      </c>
      <c r="F561" s="63">
        <v>50104783</v>
      </c>
      <c r="G561" s="64" t="s">
        <v>931</v>
      </c>
      <c r="H561" s="66">
        <v>2.3765000000000001</v>
      </c>
    </row>
    <row r="562" spans="1:8" ht="15">
      <c r="A562" s="63">
        <v>50105023</v>
      </c>
      <c r="B562" s="64" t="s">
        <v>943</v>
      </c>
      <c r="C562">
        <v>50082202</v>
      </c>
      <c r="D562" t="s">
        <v>519</v>
      </c>
      <c r="F562" s="63">
        <v>50104910</v>
      </c>
      <c r="G562" s="64" t="s">
        <v>935</v>
      </c>
      <c r="H562" s="66">
        <v>0.5</v>
      </c>
    </row>
    <row r="563" spans="1:8" ht="15">
      <c r="A563" s="63">
        <v>50105034</v>
      </c>
      <c r="B563" s="64" t="s">
        <v>945</v>
      </c>
      <c r="C563">
        <v>50082202</v>
      </c>
      <c r="D563" t="s">
        <v>519</v>
      </c>
      <c r="F563" s="63">
        <v>50104924</v>
      </c>
      <c r="G563" s="64" t="s">
        <v>936</v>
      </c>
      <c r="H563" s="66">
        <v>0.621</v>
      </c>
    </row>
    <row r="564" spans="1:8" ht="15">
      <c r="A564" s="63">
        <v>50105067</v>
      </c>
      <c r="B564" s="64" t="s">
        <v>947</v>
      </c>
      <c r="C564">
        <v>50082202</v>
      </c>
      <c r="D564" t="s">
        <v>519</v>
      </c>
      <c r="F564" s="63">
        <v>50104989</v>
      </c>
      <c r="G564" s="64" t="s">
        <v>937</v>
      </c>
      <c r="H564" s="66">
        <v>2.1619999999999999</v>
      </c>
    </row>
    <row r="565" spans="1:8" ht="15">
      <c r="A565" s="63">
        <v>50105111</v>
      </c>
      <c r="B565" s="64" t="s">
        <v>950</v>
      </c>
      <c r="C565">
        <v>50082183</v>
      </c>
      <c r="D565" t="s">
        <v>515</v>
      </c>
      <c r="F565" s="63">
        <v>50104992</v>
      </c>
      <c r="G565" s="64" t="s">
        <v>938</v>
      </c>
      <c r="H565" s="66">
        <v>2.2080000000000002</v>
      </c>
    </row>
    <row r="566" spans="1:8" ht="15">
      <c r="A566" s="63">
        <v>50105115</v>
      </c>
      <c r="B566" s="64" t="s">
        <v>951</v>
      </c>
      <c r="C566">
        <v>50082183</v>
      </c>
      <c r="D566" t="s">
        <v>515</v>
      </c>
      <c r="F566" s="63">
        <v>50104995</v>
      </c>
      <c r="G566" s="64" t="s">
        <v>939</v>
      </c>
      <c r="H566" s="66">
        <v>2.254</v>
      </c>
    </row>
    <row r="567" spans="1:8" ht="15">
      <c r="A567" s="63">
        <v>50105118</v>
      </c>
      <c r="B567" s="64" t="s">
        <v>952</v>
      </c>
      <c r="C567">
        <v>50082183</v>
      </c>
      <c r="D567" t="s">
        <v>515</v>
      </c>
      <c r="F567" s="63">
        <v>50105003</v>
      </c>
      <c r="G567" s="64" t="s">
        <v>940</v>
      </c>
      <c r="H567" s="66">
        <v>2.1619999999999999</v>
      </c>
    </row>
    <row r="568" spans="1:8" ht="15">
      <c r="A568" s="63">
        <v>50105134</v>
      </c>
      <c r="B568" s="64" t="s">
        <v>953</v>
      </c>
      <c r="C568">
        <v>50082200</v>
      </c>
      <c r="D568" t="s">
        <v>521</v>
      </c>
      <c r="F568" s="63">
        <v>50105006</v>
      </c>
      <c r="G568" s="64" t="s">
        <v>941</v>
      </c>
      <c r="H568" s="66">
        <v>2.1696</v>
      </c>
    </row>
    <row r="569" spans="1:8" ht="15">
      <c r="A569" s="63">
        <v>50105278</v>
      </c>
      <c r="B569" s="64" t="s">
        <v>960</v>
      </c>
      <c r="C569">
        <v>50082183</v>
      </c>
      <c r="D569" t="s">
        <v>515</v>
      </c>
      <c r="F569" s="63">
        <v>50105009</v>
      </c>
      <c r="G569" s="64" t="s">
        <v>942</v>
      </c>
      <c r="H569" s="66">
        <v>0.52923799999999999</v>
      </c>
    </row>
    <row r="570" spans="1:8" ht="15">
      <c r="A570" s="63">
        <v>50105279</v>
      </c>
      <c r="B570" s="64" t="s">
        <v>961</v>
      </c>
      <c r="C570">
        <v>50082183</v>
      </c>
      <c r="D570" t="s">
        <v>515</v>
      </c>
      <c r="F570" s="63">
        <v>50105023</v>
      </c>
      <c r="G570" s="64" t="s">
        <v>943</v>
      </c>
      <c r="H570" s="66">
        <v>2.1619999999999999</v>
      </c>
    </row>
    <row r="571" spans="1:8" ht="15">
      <c r="A571" s="63">
        <v>50105280</v>
      </c>
      <c r="B571" s="64" t="s">
        <v>962</v>
      </c>
      <c r="C571">
        <v>50082183</v>
      </c>
      <c r="D571" t="s">
        <v>515</v>
      </c>
      <c r="F571" s="63">
        <v>50105034</v>
      </c>
      <c r="G571" s="64" t="s">
        <v>945</v>
      </c>
      <c r="H571" s="66">
        <v>2.1619999999999999</v>
      </c>
    </row>
    <row r="572" spans="1:8" ht="15">
      <c r="A572" s="63">
        <v>50105281</v>
      </c>
      <c r="B572" s="64" t="s">
        <v>963</v>
      </c>
      <c r="C572">
        <v>50082183</v>
      </c>
      <c r="D572" t="s">
        <v>515</v>
      </c>
      <c r="F572" s="63">
        <v>50105067</v>
      </c>
      <c r="G572" s="64" t="s">
        <v>947</v>
      </c>
      <c r="H572" s="66">
        <v>2.1619999999999999</v>
      </c>
    </row>
    <row r="573" spans="1:8" ht="15">
      <c r="A573" s="63">
        <v>50105282</v>
      </c>
      <c r="B573" s="64" t="s">
        <v>964</v>
      </c>
      <c r="C573">
        <v>50082202</v>
      </c>
      <c r="D573" t="s">
        <v>519</v>
      </c>
      <c r="F573" s="63">
        <v>50105111</v>
      </c>
      <c r="G573" s="64" t="s">
        <v>950</v>
      </c>
      <c r="H573" s="66">
        <v>0.56059999999999999</v>
      </c>
    </row>
    <row r="574" spans="1:8" ht="15">
      <c r="A574" s="63">
        <v>50105283</v>
      </c>
      <c r="B574" s="64" t="s">
        <v>965</v>
      </c>
      <c r="C574">
        <v>50082202</v>
      </c>
      <c r="D574" t="s">
        <v>519</v>
      </c>
      <c r="F574" s="63">
        <v>50105115</v>
      </c>
      <c r="G574" s="64" t="s">
        <v>951</v>
      </c>
      <c r="H574" s="66">
        <v>2.8420000000000001</v>
      </c>
    </row>
    <row r="575" spans="1:8" ht="15">
      <c r="A575" s="63">
        <v>50105284</v>
      </c>
      <c r="B575" s="64" t="s">
        <v>966</v>
      </c>
      <c r="C575">
        <v>50082183</v>
      </c>
      <c r="D575" t="s">
        <v>515</v>
      </c>
      <c r="F575" s="63">
        <v>50105118</v>
      </c>
      <c r="G575" s="64" t="s">
        <v>952</v>
      </c>
      <c r="H575" s="66">
        <v>4.41</v>
      </c>
    </row>
    <row r="576" spans="1:8" ht="15">
      <c r="A576" s="63">
        <v>50105285</v>
      </c>
      <c r="B576" s="64" t="s">
        <v>967</v>
      </c>
      <c r="C576">
        <v>50082183</v>
      </c>
      <c r="D576" t="s">
        <v>515</v>
      </c>
      <c r="F576" s="63">
        <v>50105134</v>
      </c>
      <c r="G576" s="64" t="s">
        <v>953</v>
      </c>
      <c r="H576" s="66">
        <v>2.2050000000000001</v>
      </c>
    </row>
    <row r="577" spans="1:8" ht="15">
      <c r="A577" s="63">
        <v>50105391</v>
      </c>
      <c r="B577" s="64" t="s">
        <v>968</v>
      </c>
      <c r="C577">
        <v>50082200</v>
      </c>
      <c r="D577" t="s">
        <v>521</v>
      </c>
      <c r="F577" s="63">
        <v>50105278</v>
      </c>
      <c r="G577" s="64" t="s">
        <v>960</v>
      </c>
      <c r="H577" s="66">
        <v>2.99</v>
      </c>
    </row>
    <row r="578" spans="1:8" ht="15">
      <c r="A578" s="63">
        <v>50105506</v>
      </c>
      <c r="B578" s="64" t="s">
        <v>973</v>
      </c>
      <c r="C578">
        <v>50082199</v>
      </c>
      <c r="D578" t="s">
        <v>616</v>
      </c>
      <c r="F578" s="63">
        <v>50105279</v>
      </c>
      <c r="G578" s="64" t="s">
        <v>961</v>
      </c>
      <c r="H578" s="66">
        <v>2.8319999999999999</v>
      </c>
    </row>
    <row r="579" spans="1:8" ht="15">
      <c r="A579" s="63">
        <v>50105509</v>
      </c>
      <c r="B579" s="64" t="s">
        <v>974</v>
      </c>
      <c r="C579">
        <v>50082199</v>
      </c>
      <c r="D579" t="s">
        <v>616</v>
      </c>
      <c r="F579" s="63">
        <v>50105280</v>
      </c>
      <c r="G579" s="64" t="s">
        <v>962</v>
      </c>
      <c r="H579" s="66">
        <v>3.6579999999999999</v>
      </c>
    </row>
    <row r="580" spans="1:8" ht="15">
      <c r="A580" s="63">
        <v>50105708</v>
      </c>
      <c r="B580" s="64" t="s">
        <v>975</v>
      </c>
      <c r="C580">
        <v>50082183</v>
      </c>
      <c r="D580" t="s">
        <v>515</v>
      </c>
      <c r="F580" s="63">
        <v>50105281</v>
      </c>
      <c r="G580" s="64" t="s">
        <v>963</v>
      </c>
      <c r="H580" s="66">
        <v>3.5308999999999999</v>
      </c>
    </row>
    <row r="581" spans="1:8" ht="15">
      <c r="A581" s="63">
        <v>50105710</v>
      </c>
      <c r="B581" s="64" t="s">
        <v>976</v>
      </c>
      <c r="C581">
        <v>50082183</v>
      </c>
      <c r="D581" t="s">
        <v>515</v>
      </c>
      <c r="F581" s="63">
        <v>50105282</v>
      </c>
      <c r="G581" s="64" t="s">
        <v>964</v>
      </c>
      <c r="H581" s="66">
        <v>2.2080000000000002</v>
      </c>
    </row>
    <row r="582" spans="1:8" ht="15">
      <c r="A582" s="63">
        <v>50105781</v>
      </c>
      <c r="B582" s="64" t="s">
        <v>977</v>
      </c>
      <c r="C582">
        <v>50082183</v>
      </c>
      <c r="D582" t="s">
        <v>515</v>
      </c>
      <c r="F582" s="63">
        <v>50105283</v>
      </c>
      <c r="G582" s="64" t="s">
        <v>965</v>
      </c>
      <c r="H582" s="66">
        <v>2.1619999999999999</v>
      </c>
    </row>
    <row r="583" spans="1:8" ht="15">
      <c r="A583" s="63">
        <v>50105784</v>
      </c>
      <c r="B583" s="64" t="s">
        <v>978</v>
      </c>
      <c r="C583">
        <v>50082183</v>
      </c>
      <c r="D583" t="s">
        <v>515</v>
      </c>
      <c r="F583" s="63">
        <v>50105284</v>
      </c>
      <c r="G583" s="64" t="s">
        <v>966</v>
      </c>
      <c r="H583" s="66">
        <v>0.48099999999999998</v>
      </c>
    </row>
    <row r="584" spans="1:8" ht="15">
      <c r="A584" s="63">
        <v>50106154</v>
      </c>
      <c r="B584" s="64" t="s">
        <v>983</v>
      </c>
      <c r="C584">
        <v>50082202</v>
      </c>
      <c r="D584" t="s">
        <v>519</v>
      </c>
      <c r="F584" s="63">
        <v>50105285</v>
      </c>
      <c r="G584" s="64" t="s">
        <v>967</v>
      </c>
      <c r="H584" s="66">
        <v>1</v>
      </c>
    </row>
    <row r="585" spans="1:8" ht="15">
      <c r="A585" s="63">
        <v>50106204</v>
      </c>
      <c r="B585" s="64" t="s">
        <v>984</v>
      </c>
      <c r="C585">
        <v>50082183</v>
      </c>
      <c r="D585" t="s">
        <v>515</v>
      </c>
      <c r="F585" s="63">
        <v>50105391</v>
      </c>
      <c r="G585" s="64" t="s">
        <v>968</v>
      </c>
      <c r="H585" s="66">
        <v>2.2050000000000001</v>
      </c>
    </row>
    <row r="586" spans="1:8" ht="15">
      <c r="A586" s="63">
        <v>50106295</v>
      </c>
      <c r="B586" s="64" t="s">
        <v>985</v>
      </c>
      <c r="C586">
        <v>50082202</v>
      </c>
      <c r="D586" t="s">
        <v>519</v>
      </c>
      <c r="F586" s="63">
        <v>50105506</v>
      </c>
      <c r="G586" s="64" t="s">
        <v>973</v>
      </c>
      <c r="H586" s="66">
        <v>2.2050000000000001</v>
      </c>
    </row>
    <row r="587" spans="1:8" ht="15">
      <c r="A587" s="63">
        <v>50106303</v>
      </c>
      <c r="B587" s="64" t="s">
        <v>986</v>
      </c>
      <c r="C587">
        <v>50082202</v>
      </c>
      <c r="D587" t="s">
        <v>519</v>
      </c>
      <c r="F587" s="63">
        <v>50105509</v>
      </c>
      <c r="G587" s="64" t="s">
        <v>974</v>
      </c>
      <c r="H587" s="66">
        <v>2.2050000000000001</v>
      </c>
    </row>
    <row r="588" spans="1:8" ht="15">
      <c r="A588" s="63">
        <v>50106309</v>
      </c>
      <c r="B588" s="64" t="s">
        <v>987</v>
      </c>
      <c r="C588">
        <v>50082183</v>
      </c>
      <c r="D588" t="s">
        <v>515</v>
      </c>
      <c r="F588" s="63">
        <v>50105708</v>
      </c>
      <c r="G588" s="64" t="s">
        <v>975</v>
      </c>
      <c r="H588" s="66">
        <v>4.51</v>
      </c>
    </row>
    <row r="589" spans="1:8" ht="15">
      <c r="A589" s="63">
        <v>50107075</v>
      </c>
      <c r="B589" s="64" t="s">
        <v>992</v>
      </c>
      <c r="C589">
        <v>50082202</v>
      </c>
      <c r="D589" t="s">
        <v>519</v>
      </c>
      <c r="F589" s="63">
        <v>50105710</v>
      </c>
      <c r="G589" s="64" t="s">
        <v>976</v>
      </c>
      <c r="H589" s="66">
        <v>4.33</v>
      </c>
    </row>
    <row r="590" spans="1:8" ht="15">
      <c r="A590" s="63">
        <v>50107078</v>
      </c>
      <c r="B590" s="64" t="s">
        <v>993</v>
      </c>
      <c r="C590">
        <v>50082183</v>
      </c>
      <c r="D590" t="s">
        <v>515</v>
      </c>
      <c r="F590" s="63">
        <v>50105781</v>
      </c>
      <c r="G590" s="64" t="s">
        <v>977</v>
      </c>
      <c r="H590" s="66">
        <v>3.9645999999999999</v>
      </c>
    </row>
    <row r="591" spans="1:8" ht="15">
      <c r="A591" s="63">
        <v>50107105</v>
      </c>
      <c r="B591" s="64" t="s">
        <v>994</v>
      </c>
      <c r="C591">
        <v>50082183</v>
      </c>
      <c r="D591" t="s">
        <v>515</v>
      </c>
      <c r="F591" s="63">
        <v>50105784</v>
      </c>
      <c r="G591" s="64" t="s">
        <v>978</v>
      </c>
      <c r="H591" s="66">
        <v>0.44879999999999998</v>
      </c>
    </row>
    <row r="592" spans="1:8" ht="15">
      <c r="A592" s="63">
        <v>50107108</v>
      </c>
      <c r="B592" s="64" t="s">
        <v>995</v>
      </c>
      <c r="C592">
        <v>50082183</v>
      </c>
      <c r="D592" t="s">
        <v>515</v>
      </c>
      <c r="F592" s="63">
        <v>50106154</v>
      </c>
      <c r="G592" s="64" t="s">
        <v>983</v>
      </c>
      <c r="H592" s="66">
        <v>2.1619999999999999</v>
      </c>
    </row>
    <row r="593" spans="1:8" ht="15">
      <c r="A593" s="63">
        <v>50107285</v>
      </c>
      <c r="B593" s="64" t="s">
        <v>998</v>
      </c>
      <c r="C593">
        <v>50082202</v>
      </c>
      <c r="D593" t="s">
        <v>519</v>
      </c>
      <c r="F593" s="63">
        <v>50106204</v>
      </c>
      <c r="G593" s="64" t="s">
        <v>984</v>
      </c>
      <c r="H593" s="66">
        <v>0.48</v>
      </c>
    </row>
    <row r="594" spans="1:8" ht="15">
      <c r="A594" s="63">
        <v>50107462</v>
      </c>
      <c r="B594" s="64" t="s">
        <v>999</v>
      </c>
      <c r="C594">
        <v>50082183</v>
      </c>
      <c r="D594" t="s">
        <v>515</v>
      </c>
      <c r="F594" s="63">
        <v>50106295</v>
      </c>
      <c r="G594" s="64" t="s">
        <v>985</v>
      </c>
      <c r="H594" s="66">
        <v>2.2080000000000002</v>
      </c>
    </row>
    <row r="595" spans="1:8" ht="15">
      <c r="A595" s="63">
        <v>50107465</v>
      </c>
      <c r="B595" s="64" t="s">
        <v>1000</v>
      </c>
      <c r="C595">
        <v>50082183</v>
      </c>
      <c r="D595" t="s">
        <v>515</v>
      </c>
      <c r="F595" s="63">
        <v>50106303</v>
      </c>
      <c r="G595" s="64" t="s">
        <v>986</v>
      </c>
      <c r="H595" s="66">
        <v>2.1619999999999999</v>
      </c>
    </row>
    <row r="596" spans="1:8" ht="15">
      <c r="A596" s="63">
        <v>50107551</v>
      </c>
      <c r="B596" s="64" t="s">
        <v>1001</v>
      </c>
      <c r="C596">
        <v>50082200</v>
      </c>
      <c r="D596" t="s">
        <v>521</v>
      </c>
      <c r="F596" s="63">
        <v>50106309</v>
      </c>
      <c r="G596" s="64" t="s">
        <v>987</v>
      </c>
      <c r="H596" s="66">
        <v>0.46</v>
      </c>
    </row>
    <row r="597" spans="1:8" ht="15">
      <c r="A597" s="63">
        <v>50107765</v>
      </c>
      <c r="B597" s="64" t="s">
        <v>1002</v>
      </c>
      <c r="C597">
        <v>50082183</v>
      </c>
      <c r="D597" t="s">
        <v>515</v>
      </c>
      <c r="F597" s="63">
        <v>50107075</v>
      </c>
      <c r="G597" s="64" t="s">
        <v>992</v>
      </c>
      <c r="H597" s="66">
        <v>2.2080000000000002</v>
      </c>
    </row>
    <row r="598" spans="1:8" ht="15">
      <c r="A598" s="63">
        <v>50108005</v>
      </c>
      <c r="B598" s="64" t="s">
        <v>1004</v>
      </c>
      <c r="C598">
        <v>50082200</v>
      </c>
      <c r="D598" t="s">
        <v>521</v>
      </c>
      <c r="F598" s="63">
        <v>50107078</v>
      </c>
      <c r="G598" s="64" t="s">
        <v>993</v>
      </c>
      <c r="H598" s="66">
        <v>2.9331</v>
      </c>
    </row>
    <row r="599" spans="1:8" ht="15">
      <c r="A599" s="63">
        <v>50108008</v>
      </c>
      <c r="B599" s="64" t="s">
        <v>1005</v>
      </c>
      <c r="C599">
        <v>50082200</v>
      </c>
      <c r="D599" t="s">
        <v>521</v>
      </c>
      <c r="F599" s="63">
        <v>50107105</v>
      </c>
      <c r="G599" s="64" t="s">
        <v>994</v>
      </c>
      <c r="H599" s="66">
        <v>2.544</v>
      </c>
    </row>
    <row r="600" spans="1:8" ht="15">
      <c r="A600" s="63">
        <v>50108011</v>
      </c>
      <c r="B600" s="64" t="s">
        <v>1006</v>
      </c>
      <c r="C600">
        <v>50082200</v>
      </c>
      <c r="D600" t="s">
        <v>521</v>
      </c>
      <c r="F600" s="63">
        <v>50107108</v>
      </c>
      <c r="G600" s="64" t="s">
        <v>995</v>
      </c>
      <c r="H600" s="66">
        <v>3.25</v>
      </c>
    </row>
    <row r="601" spans="1:8" ht="15">
      <c r="A601" s="63">
        <v>50108250</v>
      </c>
      <c r="B601" s="64" t="s">
        <v>1008</v>
      </c>
      <c r="C601">
        <v>50082200</v>
      </c>
      <c r="D601" t="s">
        <v>521</v>
      </c>
      <c r="F601" s="63">
        <v>50107285</v>
      </c>
      <c r="G601" s="64" t="s">
        <v>998</v>
      </c>
      <c r="H601" s="66">
        <v>2.2080000000000002</v>
      </c>
    </row>
    <row r="602" spans="1:8" ht="15">
      <c r="A602" s="63">
        <v>50108253</v>
      </c>
      <c r="B602" s="64" t="s">
        <v>1009</v>
      </c>
      <c r="C602">
        <v>50082200</v>
      </c>
      <c r="D602" t="s">
        <v>521</v>
      </c>
      <c r="F602" s="63">
        <v>50107462</v>
      </c>
      <c r="G602" s="64" t="s">
        <v>999</v>
      </c>
      <c r="H602" s="66">
        <v>0.47</v>
      </c>
    </row>
    <row r="603" spans="1:8" ht="15">
      <c r="A603" s="63">
        <v>50108256</v>
      </c>
      <c r="B603" s="64" t="s">
        <v>1010</v>
      </c>
      <c r="C603">
        <v>50082200</v>
      </c>
      <c r="D603" t="s">
        <v>521</v>
      </c>
      <c r="F603" s="63">
        <v>50107465</v>
      </c>
      <c r="G603" s="64" t="s">
        <v>1000</v>
      </c>
      <c r="H603" s="66">
        <v>0.45119999999999999</v>
      </c>
    </row>
    <row r="604" spans="1:8" ht="15">
      <c r="A604" s="63">
        <v>50108851</v>
      </c>
      <c r="B604" s="64" t="s">
        <v>1025</v>
      </c>
      <c r="C604">
        <v>50082183</v>
      </c>
      <c r="D604" t="s">
        <v>515</v>
      </c>
      <c r="F604" s="63">
        <v>50107551</v>
      </c>
      <c r="G604" s="64" t="s">
        <v>1001</v>
      </c>
      <c r="H604" s="66">
        <v>2.177</v>
      </c>
    </row>
    <row r="605" spans="1:8" ht="15">
      <c r="A605" s="63">
        <v>50108853</v>
      </c>
      <c r="B605" s="64" t="s">
        <v>1026</v>
      </c>
      <c r="C605">
        <v>50082200</v>
      </c>
      <c r="D605" t="s">
        <v>521</v>
      </c>
      <c r="F605" s="63">
        <v>50107765</v>
      </c>
      <c r="G605" s="64" t="s">
        <v>1002</v>
      </c>
      <c r="H605" s="66">
        <v>3.6579999999999999</v>
      </c>
    </row>
    <row r="606" spans="1:8" ht="15">
      <c r="A606" s="63">
        <v>50108855</v>
      </c>
      <c r="B606" s="64" t="s">
        <v>1027</v>
      </c>
      <c r="C606">
        <v>50082183</v>
      </c>
      <c r="D606" t="s">
        <v>515</v>
      </c>
      <c r="F606" s="63">
        <v>50108005</v>
      </c>
      <c r="G606" s="64" t="s">
        <v>1004</v>
      </c>
      <c r="H606" s="66">
        <v>2.177</v>
      </c>
    </row>
    <row r="607" spans="1:8" ht="15">
      <c r="A607" s="63">
        <v>50108857</v>
      </c>
      <c r="B607" s="64" t="s">
        <v>1028</v>
      </c>
      <c r="C607">
        <v>50082183</v>
      </c>
      <c r="D607" t="s">
        <v>515</v>
      </c>
      <c r="F607" s="63">
        <v>50108008</v>
      </c>
      <c r="G607" s="64" t="s">
        <v>1005</v>
      </c>
      <c r="H607" s="66">
        <v>2.1547580000000002</v>
      </c>
    </row>
    <row r="608" spans="1:8" ht="15">
      <c r="A608" s="63">
        <v>50108860</v>
      </c>
      <c r="B608" s="64" t="s">
        <v>1029</v>
      </c>
      <c r="C608">
        <v>50082200</v>
      </c>
      <c r="D608" t="s">
        <v>521</v>
      </c>
      <c r="F608" s="63">
        <v>50108011</v>
      </c>
      <c r="G608" s="64" t="s">
        <v>1006</v>
      </c>
      <c r="H608" s="66">
        <v>2.177</v>
      </c>
    </row>
    <row r="609" spans="1:8" ht="15">
      <c r="A609" s="63">
        <v>50108863</v>
      </c>
      <c r="B609" s="64" t="s">
        <v>1030</v>
      </c>
      <c r="C609">
        <v>50082183</v>
      </c>
      <c r="D609" t="s">
        <v>515</v>
      </c>
      <c r="F609" s="63">
        <v>50108250</v>
      </c>
      <c r="G609" s="64" t="s">
        <v>1008</v>
      </c>
      <c r="H609" s="66">
        <v>2.1325440000000002</v>
      </c>
    </row>
    <row r="610" spans="1:8" ht="15">
      <c r="A610" s="63">
        <v>50108866</v>
      </c>
      <c r="B610" s="64" t="s">
        <v>1031</v>
      </c>
      <c r="C610">
        <v>50082183</v>
      </c>
      <c r="D610" t="s">
        <v>515</v>
      </c>
      <c r="F610" s="63">
        <v>50108253</v>
      </c>
      <c r="G610" s="64" t="s">
        <v>1009</v>
      </c>
      <c r="H610" s="66">
        <v>2.1547580000000002</v>
      </c>
    </row>
    <row r="611" spans="1:8" ht="15">
      <c r="A611" s="63">
        <v>50108869</v>
      </c>
      <c r="B611" s="64" t="s">
        <v>1032</v>
      </c>
      <c r="C611">
        <v>50082183</v>
      </c>
      <c r="D611" t="s">
        <v>515</v>
      </c>
      <c r="F611" s="63">
        <v>50108256</v>
      </c>
      <c r="G611" s="64" t="s">
        <v>1010</v>
      </c>
      <c r="H611" s="66">
        <v>2.1769720000000001</v>
      </c>
    </row>
    <row r="612" spans="1:8" ht="15">
      <c r="A612" s="63">
        <v>50108917</v>
      </c>
      <c r="B612" s="64" t="s">
        <v>1033</v>
      </c>
      <c r="C612">
        <v>50082183</v>
      </c>
      <c r="D612" t="s">
        <v>515</v>
      </c>
      <c r="F612" s="63">
        <v>50108851</v>
      </c>
      <c r="G612" s="64" t="s">
        <v>1025</v>
      </c>
      <c r="H612" s="66">
        <v>4.4604999999999997</v>
      </c>
    </row>
    <row r="613" spans="1:8" ht="15">
      <c r="A613" s="63">
        <v>50108938</v>
      </c>
      <c r="B613" s="64" t="s">
        <v>1036</v>
      </c>
      <c r="C613">
        <v>50082183</v>
      </c>
      <c r="D613" t="s">
        <v>515</v>
      </c>
      <c r="F613" s="63">
        <v>50108853</v>
      </c>
      <c r="G613" s="64" t="s">
        <v>1026</v>
      </c>
      <c r="H613" s="66">
        <v>2.2050000000000001</v>
      </c>
    </row>
    <row r="614" spans="1:8" ht="15">
      <c r="A614" s="63">
        <v>50108993</v>
      </c>
      <c r="B614" s="64" t="s">
        <v>1038</v>
      </c>
      <c r="C614">
        <v>50082183</v>
      </c>
      <c r="D614" t="s">
        <v>515</v>
      </c>
      <c r="F614" s="63">
        <v>50108855</v>
      </c>
      <c r="G614" s="64" t="s">
        <v>1027</v>
      </c>
      <c r="H614" s="66">
        <v>0.44879999999999998</v>
      </c>
    </row>
    <row r="615" spans="1:8" ht="15">
      <c r="A615" s="63">
        <v>50109225</v>
      </c>
      <c r="B615" s="64" t="s">
        <v>1044</v>
      </c>
      <c r="C615">
        <v>50082202</v>
      </c>
      <c r="D615" t="s">
        <v>519</v>
      </c>
      <c r="F615" s="63">
        <v>50108857</v>
      </c>
      <c r="G615" s="64" t="s">
        <v>1028</v>
      </c>
      <c r="H615" s="66">
        <v>2.9331</v>
      </c>
    </row>
    <row r="616" spans="1:8" ht="15">
      <c r="A616" s="63">
        <v>50109735</v>
      </c>
      <c r="B616" s="64" t="s">
        <v>464</v>
      </c>
      <c r="C616">
        <v>50082183</v>
      </c>
      <c r="D616" t="s">
        <v>515</v>
      </c>
      <c r="F616" s="63">
        <v>50108860</v>
      </c>
      <c r="G616" s="64" t="s">
        <v>1029</v>
      </c>
      <c r="H616" s="66">
        <v>2.2050000000000001</v>
      </c>
    </row>
    <row r="617" spans="1:8" ht="15">
      <c r="A617" s="63">
        <v>50110138</v>
      </c>
      <c r="B617" s="64" t="s">
        <v>1053</v>
      </c>
      <c r="C617">
        <v>50082184</v>
      </c>
      <c r="D617" t="s">
        <v>517</v>
      </c>
      <c r="F617" s="63">
        <v>50108863</v>
      </c>
      <c r="G617" s="64" t="s">
        <v>1030</v>
      </c>
      <c r="H617" s="66">
        <v>0.45800000000000002</v>
      </c>
    </row>
    <row r="618" spans="1:8" ht="15">
      <c r="A618" s="63">
        <v>50110174</v>
      </c>
      <c r="B618" s="64" t="s">
        <v>1054</v>
      </c>
      <c r="C618">
        <v>50103870</v>
      </c>
      <c r="D618" t="s">
        <v>930</v>
      </c>
      <c r="F618" s="63">
        <v>50108866</v>
      </c>
      <c r="G618" s="64" t="s">
        <v>1031</v>
      </c>
      <c r="H618" s="66">
        <v>2.9780000000000002</v>
      </c>
    </row>
    <row r="619" spans="1:8" ht="15">
      <c r="A619" s="63">
        <v>50110381</v>
      </c>
      <c r="B619" s="64" t="s">
        <v>1055</v>
      </c>
      <c r="C619">
        <v>50107854</v>
      </c>
      <c r="D619" t="s">
        <v>1003</v>
      </c>
      <c r="F619" s="63">
        <v>50108869</v>
      </c>
      <c r="G619" s="64" t="s">
        <v>1032</v>
      </c>
      <c r="H619" s="66">
        <v>4.4219999999999997</v>
      </c>
    </row>
    <row r="620" spans="1:8" ht="15">
      <c r="A620" s="63">
        <v>50110390</v>
      </c>
      <c r="B620" s="64" t="s">
        <v>1056</v>
      </c>
      <c r="C620">
        <v>50082183</v>
      </c>
      <c r="D620" t="s">
        <v>515</v>
      </c>
      <c r="F620" s="63">
        <v>50108917</v>
      </c>
      <c r="G620" s="64" t="s">
        <v>1033</v>
      </c>
      <c r="H620" s="66">
        <v>3.492</v>
      </c>
    </row>
    <row r="621" spans="1:8" ht="15">
      <c r="A621" s="63">
        <v>50110393</v>
      </c>
      <c r="B621" s="64" t="s">
        <v>1057</v>
      </c>
      <c r="C621">
        <v>50082202</v>
      </c>
      <c r="D621" t="s">
        <v>519</v>
      </c>
      <c r="F621" s="63">
        <v>50108938</v>
      </c>
      <c r="G621" s="64" t="s">
        <v>1036</v>
      </c>
      <c r="H621" s="66">
        <v>3.5308999999999999</v>
      </c>
    </row>
    <row r="622" spans="1:8" ht="15">
      <c r="A622" s="63">
        <v>50110454</v>
      </c>
      <c r="B622" s="64" t="s">
        <v>1058</v>
      </c>
      <c r="C622">
        <v>50082183</v>
      </c>
      <c r="D622" t="s">
        <v>515</v>
      </c>
      <c r="F622" s="63">
        <v>50108993</v>
      </c>
      <c r="G622" s="64" t="s">
        <v>1038</v>
      </c>
      <c r="H622" s="66">
        <v>4.33</v>
      </c>
    </row>
    <row r="623" spans="1:8" ht="15">
      <c r="A623" s="63">
        <v>50110476</v>
      </c>
      <c r="B623" s="64" t="s">
        <v>1059</v>
      </c>
      <c r="C623">
        <v>50082201</v>
      </c>
      <c r="D623" t="s">
        <v>589</v>
      </c>
      <c r="F623" s="63">
        <v>50109225</v>
      </c>
      <c r="G623" s="64" t="s">
        <v>1044</v>
      </c>
      <c r="H623" s="66">
        <v>2.2080000000000002</v>
      </c>
    </row>
    <row r="624" spans="1:8" ht="15">
      <c r="A624" s="63">
        <v>50110675</v>
      </c>
      <c r="B624" s="64" t="s">
        <v>218</v>
      </c>
      <c r="C624">
        <v>50082184</v>
      </c>
      <c r="D624" t="s">
        <v>517</v>
      </c>
      <c r="F624" s="63">
        <v>50109735</v>
      </c>
      <c r="G624" s="64" t="s">
        <v>464</v>
      </c>
      <c r="H624" s="66">
        <v>2.891</v>
      </c>
    </row>
    <row r="625" spans="1:8" ht="15">
      <c r="A625" s="63">
        <v>50110678</v>
      </c>
      <c r="B625" s="64" t="s">
        <v>194</v>
      </c>
      <c r="C625">
        <v>50082184</v>
      </c>
      <c r="D625" t="s">
        <v>517</v>
      </c>
      <c r="F625" s="63">
        <v>50110138</v>
      </c>
      <c r="G625" s="64" t="s">
        <v>1053</v>
      </c>
      <c r="H625" s="66">
        <v>4.9000000000000004</v>
      </c>
    </row>
    <row r="626" spans="1:8" ht="15">
      <c r="A626" s="63">
        <v>50110682</v>
      </c>
      <c r="B626" s="64" t="s">
        <v>1060</v>
      </c>
      <c r="C626">
        <v>50082184</v>
      </c>
      <c r="D626" t="s">
        <v>517</v>
      </c>
      <c r="F626" s="63">
        <v>50110174</v>
      </c>
      <c r="G626" s="64" t="s">
        <v>1054</v>
      </c>
      <c r="H626" s="66">
        <v>0.48</v>
      </c>
    </row>
    <row r="627" spans="1:8" ht="15">
      <c r="A627" s="63">
        <v>50110685</v>
      </c>
      <c r="B627" s="64" t="s">
        <v>1061</v>
      </c>
      <c r="C627">
        <v>50082183</v>
      </c>
      <c r="D627" t="s">
        <v>515</v>
      </c>
      <c r="F627" s="63">
        <v>50110381</v>
      </c>
      <c r="G627" s="64" t="s">
        <v>1055</v>
      </c>
      <c r="H627" s="66">
        <v>0.621</v>
      </c>
    </row>
    <row r="628" spans="1:8" ht="15">
      <c r="A628" s="63">
        <v>50110688</v>
      </c>
      <c r="B628" s="64" t="s">
        <v>913</v>
      </c>
      <c r="C628">
        <v>50082183</v>
      </c>
      <c r="D628" t="s">
        <v>515</v>
      </c>
      <c r="F628" s="63">
        <v>50110390</v>
      </c>
      <c r="G628" s="64" t="s">
        <v>1056</v>
      </c>
      <c r="H628" s="66">
        <v>0.457953</v>
      </c>
    </row>
    <row r="629" spans="1:8" ht="15">
      <c r="A629" s="63">
        <v>50110840</v>
      </c>
      <c r="B629" s="64" t="s">
        <v>1062</v>
      </c>
      <c r="C629">
        <v>50082183</v>
      </c>
      <c r="D629" t="s">
        <v>515</v>
      </c>
      <c r="F629" s="63">
        <v>50110393</v>
      </c>
      <c r="G629" s="64" t="s">
        <v>1057</v>
      </c>
      <c r="H629" s="66">
        <v>2.2080000000000002</v>
      </c>
    </row>
    <row r="630" spans="1:8" ht="15">
      <c r="A630" s="63">
        <v>50110866</v>
      </c>
      <c r="B630" s="64" t="s">
        <v>1063</v>
      </c>
      <c r="C630">
        <v>50082202</v>
      </c>
      <c r="D630" t="s">
        <v>519</v>
      </c>
      <c r="F630" s="63">
        <v>50110454</v>
      </c>
      <c r="G630" s="64" t="s">
        <v>1058</v>
      </c>
      <c r="H630" s="66">
        <v>2.8319999999999999</v>
      </c>
    </row>
    <row r="631" spans="1:8" ht="15">
      <c r="A631" s="63">
        <v>50110869</v>
      </c>
      <c r="B631" s="64" t="s">
        <v>1064</v>
      </c>
      <c r="C631">
        <v>50082202</v>
      </c>
      <c r="D631" t="s">
        <v>519</v>
      </c>
      <c r="F631" s="63">
        <v>50110476</v>
      </c>
      <c r="G631" s="64" t="s">
        <v>1059</v>
      </c>
      <c r="H631" s="66">
        <v>4.41</v>
      </c>
    </row>
    <row r="632" spans="1:8" ht="15">
      <c r="A632" s="63">
        <v>50110872</v>
      </c>
      <c r="B632" s="64" t="s">
        <v>1065</v>
      </c>
      <c r="C632">
        <v>50082202</v>
      </c>
      <c r="D632" t="s">
        <v>519</v>
      </c>
      <c r="F632" s="63">
        <v>50110675</v>
      </c>
      <c r="G632" s="64" t="s">
        <v>218</v>
      </c>
      <c r="H632" s="66">
        <v>3.552</v>
      </c>
    </row>
    <row r="633" spans="1:8" ht="15">
      <c r="A633" s="63">
        <v>50110883</v>
      </c>
      <c r="B633" s="64" t="s">
        <v>1066</v>
      </c>
      <c r="C633">
        <v>50082200</v>
      </c>
      <c r="D633" t="s">
        <v>521</v>
      </c>
      <c r="F633" s="63">
        <v>50110678</v>
      </c>
      <c r="G633" s="64" t="s">
        <v>194</v>
      </c>
      <c r="H633" s="66">
        <v>3.5491000000000001</v>
      </c>
    </row>
    <row r="634" spans="1:8" ht="15">
      <c r="A634" s="63">
        <v>50111052</v>
      </c>
      <c r="B634" s="64" t="s">
        <v>1067</v>
      </c>
      <c r="C634">
        <v>50082183</v>
      </c>
      <c r="D634" t="s">
        <v>515</v>
      </c>
      <c r="F634" s="63">
        <v>50110682</v>
      </c>
      <c r="G634" s="64" t="s">
        <v>1060</v>
      </c>
      <c r="H634" s="66">
        <v>3.5491000000000001</v>
      </c>
    </row>
    <row r="635" spans="1:8" ht="15">
      <c r="A635" s="63">
        <v>50111055</v>
      </c>
      <c r="B635" s="64" t="s">
        <v>1068</v>
      </c>
      <c r="C635">
        <v>50082183</v>
      </c>
      <c r="D635" t="s">
        <v>515</v>
      </c>
      <c r="F635" s="63">
        <v>50110685</v>
      </c>
      <c r="G635" s="64" t="s">
        <v>1061</v>
      </c>
      <c r="H635" s="66">
        <v>3.5491000000000001</v>
      </c>
    </row>
    <row r="636" spans="1:8" ht="15">
      <c r="A636" s="63">
        <v>50111058</v>
      </c>
      <c r="B636" s="64" t="s">
        <v>1069</v>
      </c>
      <c r="C636">
        <v>50110858</v>
      </c>
      <c r="D636" t="s">
        <v>1070</v>
      </c>
      <c r="F636" s="63">
        <v>50110688</v>
      </c>
      <c r="G636" s="64" t="s">
        <v>913</v>
      </c>
      <c r="H636" s="66">
        <v>3.552</v>
      </c>
    </row>
    <row r="637" spans="1:8" ht="15">
      <c r="A637" s="63">
        <v>50111078</v>
      </c>
      <c r="B637" s="64" t="s">
        <v>1071</v>
      </c>
      <c r="C637">
        <v>50082201</v>
      </c>
      <c r="D637" t="s">
        <v>589</v>
      </c>
      <c r="F637" s="63">
        <v>50110840</v>
      </c>
      <c r="G637" s="64" t="s">
        <v>1062</v>
      </c>
      <c r="H637" s="66">
        <v>3.492</v>
      </c>
    </row>
    <row r="638" spans="1:8" ht="15">
      <c r="A638" s="63">
        <v>50111266</v>
      </c>
      <c r="B638" s="64" t="s">
        <v>1072</v>
      </c>
      <c r="C638">
        <v>50106994</v>
      </c>
      <c r="D638" t="s">
        <v>1037</v>
      </c>
      <c r="F638" s="63">
        <v>50110866</v>
      </c>
      <c r="G638" s="64" t="s">
        <v>1063</v>
      </c>
      <c r="H638" s="66">
        <v>2.1619999999999999</v>
      </c>
    </row>
    <row r="639" spans="1:8" ht="15">
      <c r="A639" s="63">
        <v>50111269</v>
      </c>
      <c r="B639" s="64" t="s">
        <v>1073</v>
      </c>
      <c r="C639">
        <v>50096983</v>
      </c>
      <c r="D639" t="s">
        <v>812</v>
      </c>
      <c r="F639" s="63">
        <v>50110869</v>
      </c>
      <c r="G639" s="64" t="s">
        <v>1064</v>
      </c>
      <c r="H639" s="66">
        <v>2.1696</v>
      </c>
    </row>
    <row r="640" spans="1:8" ht="15">
      <c r="A640" s="63">
        <v>50111278</v>
      </c>
      <c r="B640" s="64" t="s">
        <v>1074</v>
      </c>
      <c r="C640">
        <v>50082202</v>
      </c>
      <c r="D640" t="s">
        <v>519</v>
      </c>
      <c r="F640" s="63">
        <v>50110872</v>
      </c>
      <c r="G640" s="64" t="s">
        <v>1065</v>
      </c>
      <c r="H640" s="66">
        <v>2.1619999999999999</v>
      </c>
    </row>
    <row r="641" spans="1:8" ht="15">
      <c r="A641" s="63">
        <v>50111281</v>
      </c>
      <c r="B641" s="64" t="s">
        <v>1075</v>
      </c>
      <c r="C641">
        <v>50082202</v>
      </c>
      <c r="D641" t="s">
        <v>519</v>
      </c>
      <c r="F641" s="63">
        <v>50110883</v>
      </c>
      <c r="G641" s="64" t="s">
        <v>1066</v>
      </c>
      <c r="H641" s="66">
        <v>2.2050000000000001</v>
      </c>
    </row>
    <row r="642" spans="1:8" ht="15">
      <c r="A642" s="63">
        <v>50111284</v>
      </c>
      <c r="B642" s="64" t="s">
        <v>1076</v>
      </c>
      <c r="C642">
        <v>50082202</v>
      </c>
      <c r="D642" t="s">
        <v>519</v>
      </c>
      <c r="F642" s="63">
        <v>50111052</v>
      </c>
      <c r="G642" s="64" t="s">
        <v>1067</v>
      </c>
      <c r="H642" s="66">
        <v>3.5308999999999999</v>
      </c>
    </row>
    <row r="643" spans="1:8" ht="15">
      <c r="A643" s="63">
        <v>50111291</v>
      </c>
      <c r="B643" s="64" t="s">
        <v>1077</v>
      </c>
      <c r="C643">
        <v>50082202</v>
      </c>
      <c r="D643" t="s">
        <v>519</v>
      </c>
      <c r="F643" s="63">
        <v>50111055</v>
      </c>
      <c r="G643" s="64" t="s">
        <v>1068</v>
      </c>
      <c r="H643" s="66">
        <v>4.33</v>
      </c>
    </row>
    <row r="644" spans="1:8" ht="15">
      <c r="A644" s="63">
        <v>50111294</v>
      </c>
      <c r="B644" s="64" t="s">
        <v>1078</v>
      </c>
      <c r="C644">
        <v>50082202</v>
      </c>
      <c r="D644" t="s">
        <v>519</v>
      </c>
      <c r="F644" s="63">
        <v>50111058</v>
      </c>
      <c r="G644" s="64" t="s">
        <v>1069</v>
      </c>
      <c r="H644" s="66">
        <v>3.5308999999999999</v>
      </c>
    </row>
    <row r="645" spans="1:8" ht="15">
      <c r="A645" s="63">
        <v>50111297</v>
      </c>
      <c r="B645" s="64" t="s">
        <v>1079</v>
      </c>
      <c r="C645">
        <v>50082202</v>
      </c>
      <c r="D645" t="s">
        <v>519</v>
      </c>
      <c r="F645" s="63">
        <v>50111078</v>
      </c>
      <c r="G645" s="64" t="s">
        <v>1071</v>
      </c>
      <c r="H645" s="66">
        <v>2.99</v>
      </c>
    </row>
    <row r="646" spans="1:8" ht="15">
      <c r="A646" s="63">
        <v>50111300</v>
      </c>
      <c r="B646" s="64" t="s">
        <v>1080</v>
      </c>
      <c r="C646">
        <v>50082202</v>
      </c>
      <c r="D646" t="s">
        <v>519</v>
      </c>
      <c r="F646" s="63">
        <v>50111266</v>
      </c>
      <c r="G646" s="64" t="s">
        <v>1072</v>
      </c>
      <c r="H646" s="66">
        <v>3.552</v>
      </c>
    </row>
    <row r="647" spans="1:8" ht="15">
      <c r="A647" s="63">
        <v>50111303</v>
      </c>
      <c r="B647" s="64" t="s">
        <v>1081</v>
      </c>
      <c r="C647">
        <v>50082202</v>
      </c>
      <c r="D647" t="s">
        <v>519</v>
      </c>
      <c r="F647" s="63">
        <v>50111269</v>
      </c>
      <c r="G647" s="64" t="s">
        <v>1073</v>
      </c>
      <c r="H647" s="66">
        <v>3.552</v>
      </c>
    </row>
    <row r="648" spans="1:8" ht="15">
      <c r="A648" s="63">
        <v>50111306</v>
      </c>
      <c r="B648" s="64" t="s">
        <v>1082</v>
      </c>
      <c r="C648">
        <v>50082202</v>
      </c>
      <c r="D648" t="s">
        <v>519</v>
      </c>
      <c r="F648" s="63">
        <v>50111278</v>
      </c>
      <c r="G648" s="64" t="s">
        <v>1074</v>
      </c>
      <c r="H648" s="66">
        <v>2.2080000000000002</v>
      </c>
    </row>
    <row r="649" spans="1:8" ht="15">
      <c r="A649" s="63">
        <v>50111309</v>
      </c>
      <c r="B649" s="64" t="s">
        <v>1083</v>
      </c>
      <c r="C649">
        <v>50082202</v>
      </c>
      <c r="D649" t="s">
        <v>519</v>
      </c>
      <c r="F649" s="63">
        <v>50111281</v>
      </c>
      <c r="G649" s="64" t="s">
        <v>1075</v>
      </c>
      <c r="H649" s="66">
        <v>2.1619999999999999</v>
      </c>
    </row>
    <row r="650" spans="1:8" ht="15">
      <c r="A650" s="63">
        <v>50111312</v>
      </c>
      <c r="B650" s="64" t="s">
        <v>1084</v>
      </c>
      <c r="C650">
        <v>50082202</v>
      </c>
      <c r="D650" t="s">
        <v>519</v>
      </c>
      <c r="F650" s="63">
        <v>50111284</v>
      </c>
      <c r="G650" s="64" t="s">
        <v>1076</v>
      </c>
      <c r="H650" s="66">
        <v>2.1619999999999999</v>
      </c>
    </row>
    <row r="651" spans="1:8" ht="15">
      <c r="A651" s="63">
        <v>50111315</v>
      </c>
      <c r="B651" s="64" t="s">
        <v>1085</v>
      </c>
      <c r="C651">
        <v>50082202</v>
      </c>
      <c r="D651" t="s">
        <v>519</v>
      </c>
      <c r="F651" s="63">
        <v>50111291</v>
      </c>
      <c r="G651" s="64" t="s">
        <v>1077</v>
      </c>
      <c r="H651" s="66">
        <v>2.21</v>
      </c>
    </row>
    <row r="652" spans="1:8" ht="15">
      <c r="A652" s="63">
        <v>50111318</v>
      </c>
      <c r="B652" s="64" t="s">
        <v>1086</v>
      </c>
      <c r="C652">
        <v>50082202</v>
      </c>
      <c r="D652" t="s">
        <v>519</v>
      </c>
      <c r="F652" s="63">
        <v>50111294</v>
      </c>
      <c r="G652" s="64" t="s">
        <v>1078</v>
      </c>
      <c r="H652" s="66">
        <v>2.2309999999999999</v>
      </c>
    </row>
    <row r="653" spans="1:8" ht="15">
      <c r="A653" s="63">
        <v>50111320</v>
      </c>
      <c r="B653" s="64" t="s">
        <v>1087</v>
      </c>
      <c r="C653">
        <v>50082202</v>
      </c>
      <c r="D653" t="s">
        <v>519</v>
      </c>
      <c r="F653" s="63">
        <v>50111297</v>
      </c>
      <c r="G653" s="64" t="s">
        <v>1079</v>
      </c>
      <c r="H653" s="66">
        <v>2.2080000000000002</v>
      </c>
    </row>
    <row r="654" spans="1:8" ht="15">
      <c r="A654" s="63">
        <v>50111323</v>
      </c>
      <c r="B654" s="64" t="s">
        <v>1088</v>
      </c>
      <c r="C654">
        <v>50082202</v>
      </c>
      <c r="D654" t="s">
        <v>519</v>
      </c>
      <c r="F654" s="63">
        <v>50111300</v>
      </c>
      <c r="G654" s="64" t="s">
        <v>1080</v>
      </c>
      <c r="H654" s="66">
        <v>2.2080000000000002</v>
      </c>
    </row>
    <row r="655" spans="1:8" ht="15">
      <c r="A655" s="63">
        <v>50111326</v>
      </c>
      <c r="B655" s="64" t="s">
        <v>1089</v>
      </c>
      <c r="C655">
        <v>50082202</v>
      </c>
      <c r="D655" t="s">
        <v>519</v>
      </c>
      <c r="F655" s="63">
        <v>50111303</v>
      </c>
      <c r="G655" s="64" t="s">
        <v>1081</v>
      </c>
      <c r="H655" s="66">
        <v>2.254</v>
      </c>
    </row>
    <row r="656" spans="1:8" ht="15">
      <c r="A656" s="63">
        <v>50111328</v>
      </c>
      <c r="B656" s="64" t="s">
        <v>1090</v>
      </c>
      <c r="C656">
        <v>50082202</v>
      </c>
      <c r="D656" t="s">
        <v>519</v>
      </c>
      <c r="F656" s="63">
        <v>50111306</v>
      </c>
      <c r="G656" s="64" t="s">
        <v>1082</v>
      </c>
      <c r="H656" s="66">
        <v>2.1619999999999999</v>
      </c>
    </row>
    <row r="657" spans="1:8" ht="15">
      <c r="A657" s="63">
        <v>50111331</v>
      </c>
      <c r="B657" s="64" t="s">
        <v>1091</v>
      </c>
      <c r="C657">
        <v>50082202</v>
      </c>
      <c r="D657" t="s">
        <v>519</v>
      </c>
      <c r="F657" s="63">
        <v>50111309</v>
      </c>
      <c r="G657" s="64" t="s">
        <v>1083</v>
      </c>
      <c r="H657" s="66">
        <v>2.1696</v>
      </c>
    </row>
    <row r="658" spans="1:8" ht="15">
      <c r="A658" s="63">
        <v>50111333</v>
      </c>
      <c r="B658" s="64" t="s">
        <v>1092</v>
      </c>
      <c r="C658">
        <v>50082202</v>
      </c>
      <c r="D658" t="s">
        <v>519</v>
      </c>
      <c r="F658" s="63">
        <v>50111312</v>
      </c>
      <c r="G658" s="64" t="s">
        <v>1084</v>
      </c>
      <c r="H658" s="66">
        <v>2.1619999999999999</v>
      </c>
    </row>
    <row r="659" spans="1:8" ht="15">
      <c r="A659" s="63">
        <v>50111336</v>
      </c>
      <c r="B659" s="64" t="s">
        <v>1093</v>
      </c>
      <c r="C659">
        <v>50082202</v>
      </c>
      <c r="D659" t="s">
        <v>519</v>
      </c>
      <c r="F659" s="63">
        <v>50111315</v>
      </c>
      <c r="G659" s="64" t="s">
        <v>1085</v>
      </c>
      <c r="H659" s="66">
        <v>2.1619999999999999</v>
      </c>
    </row>
    <row r="660" spans="1:8" ht="15">
      <c r="A660" s="63">
        <v>50111339</v>
      </c>
      <c r="B660" s="64" t="s">
        <v>1094</v>
      </c>
      <c r="C660">
        <v>50082202</v>
      </c>
      <c r="D660" t="s">
        <v>519</v>
      </c>
      <c r="F660" s="63">
        <v>50111318</v>
      </c>
      <c r="G660" s="64" t="s">
        <v>1086</v>
      </c>
      <c r="H660" s="66">
        <v>2.1619999999999999</v>
      </c>
    </row>
    <row r="661" spans="1:8" ht="15">
      <c r="A661" s="63">
        <v>50111496</v>
      </c>
      <c r="B661" s="64" t="s">
        <v>1095</v>
      </c>
      <c r="C661">
        <v>50082202</v>
      </c>
      <c r="D661" t="s">
        <v>519</v>
      </c>
      <c r="F661" s="63">
        <v>50111320</v>
      </c>
      <c r="G661" s="64" t="s">
        <v>1087</v>
      </c>
      <c r="H661" s="66">
        <v>2.2080000000000002</v>
      </c>
    </row>
    <row r="662" spans="1:8" ht="15">
      <c r="A662" s="63">
        <v>50111521</v>
      </c>
      <c r="B662" s="64" t="s">
        <v>1096</v>
      </c>
      <c r="C662">
        <v>50082183</v>
      </c>
      <c r="D662" t="s">
        <v>515</v>
      </c>
      <c r="F662" s="63">
        <v>50111323</v>
      </c>
      <c r="G662" s="64" t="s">
        <v>1088</v>
      </c>
      <c r="H662" s="66">
        <v>2.2080000000000002</v>
      </c>
    </row>
    <row r="663" spans="1:8" ht="15">
      <c r="A663" s="63">
        <v>50111524</v>
      </c>
      <c r="B663" s="64" t="s">
        <v>1097</v>
      </c>
      <c r="C663">
        <v>50082183</v>
      </c>
      <c r="D663" t="s">
        <v>515</v>
      </c>
      <c r="F663" s="63">
        <v>50111326</v>
      </c>
      <c r="G663" s="64" t="s">
        <v>1089</v>
      </c>
      <c r="H663" s="66">
        <v>2.1619999999999999</v>
      </c>
    </row>
    <row r="664" spans="1:8" ht="15">
      <c r="A664" s="63">
        <v>50111527</v>
      </c>
      <c r="B664" s="64" t="s">
        <v>465</v>
      </c>
      <c r="C664">
        <v>50082183</v>
      </c>
      <c r="D664" t="s">
        <v>515</v>
      </c>
      <c r="F664" s="63">
        <v>50111328</v>
      </c>
      <c r="G664" s="64" t="s">
        <v>1090</v>
      </c>
      <c r="H664" s="66">
        <v>2.2080000000000002</v>
      </c>
    </row>
    <row r="665" spans="1:8" ht="15">
      <c r="A665" s="63">
        <v>50111590</v>
      </c>
      <c r="B665" s="64" t="s">
        <v>1100</v>
      </c>
      <c r="C665">
        <v>50082183</v>
      </c>
      <c r="D665" t="s">
        <v>515</v>
      </c>
      <c r="F665" s="63">
        <v>50111331</v>
      </c>
      <c r="G665" s="64" t="s">
        <v>1091</v>
      </c>
      <c r="H665" s="66">
        <v>2.2080000000000002</v>
      </c>
    </row>
    <row r="666" spans="1:8" ht="15">
      <c r="A666" s="63">
        <v>50111594</v>
      </c>
      <c r="B666" s="64" t="s">
        <v>1101</v>
      </c>
      <c r="C666">
        <v>50082183</v>
      </c>
      <c r="D666" t="s">
        <v>515</v>
      </c>
      <c r="F666" s="63">
        <v>50111333</v>
      </c>
      <c r="G666" s="64" t="s">
        <v>1092</v>
      </c>
      <c r="H666" s="66">
        <v>2.2080000000000002</v>
      </c>
    </row>
    <row r="667" spans="1:8" ht="15">
      <c r="A667" s="63">
        <v>50111623</v>
      </c>
      <c r="B667" s="64" t="s">
        <v>1102</v>
      </c>
      <c r="C667">
        <v>50082183</v>
      </c>
      <c r="D667" t="s">
        <v>515</v>
      </c>
      <c r="F667" s="63">
        <v>50111336</v>
      </c>
      <c r="G667" s="64" t="s">
        <v>1093</v>
      </c>
      <c r="H667" s="66">
        <v>2.2080000000000002</v>
      </c>
    </row>
    <row r="668" spans="1:8" ht="15">
      <c r="A668" s="63">
        <v>50111678</v>
      </c>
      <c r="B668" s="64" t="s">
        <v>1103</v>
      </c>
      <c r="C668">
        <v>50082183</v>
      </c>
      <c r="D668" t="s">
        <v>515</v>
      </c>
      <c r="F668" s="63">
        <v>50111339</v>
      </c>
      <c r="G668" s="64" t="s">
        <v>1094</v>
      </c>
      <c r="H668" s="66">
        <v>2.1619999999999999</v>
      </c>
    </row>
    <row r="669" spans="1:8" ht="15">
      <c r="A669" s="63">
        <v>50111782</v>
      </c>
      <c r="B669" s="64" t="s">
        <v>1104</v>
      </c>
      <c r="C669">
        <v>50082183</v>
      </c>
      <c r="D669" t="s">
        <v>515</v>
      </c>
      <c r="F669" s="63">
        <v>50111496</v>
      </c>
      <c r="G669" s="64" t="s">
        <v>1095</v>
      </c>
      <c r="H669" s="66">
        <v>2.2080000000000002</v>
      </c>
    </row>
    <row r="670" spans="1:8" ht="15">
      <c r="A670" s="63">
        <v>50111785</v>
      </c>
      <c r="B670" s="64" t="s">
        <v>1105</v>
      </c>
      <c r="C670">
        <v>50082183</v>
      </c>
      <c r="D670" t="s">
        <v>515</v>
      </c>
      <c r="F670" s="63">
        <v>50111521</v>
      </c>
      <c r="G670" s="64" t="s">
        <v>1096</v>
      </c>
      <c r="H670" s="66">
        <v>3.6970000000000001</v>
      </c>
    </row>
    <row r="671" spans="1:8" ht="15">
      <c r="A671" s="63">
        <v>50111788</v>
      </c>
      <c r="B671" s="64" t="s">
        <v>1106</v>
      </c>
      <c r="C671">
        <v>50082183</v>
      </c>
      <c r="D671" t="s">
        <v>515</v>
      </c>
      <c r="F671" s="63">
        <v>50111524</v>
      </c>
      <c r="G671" s="64" t="s">
        <v>1097</v>
      </c>
      <c r="H671" s="66">
        <v>3.5720999999999998</v>
      </c>
    </row>
    <row r="672" spans="1:8" ht="15">
      <c r="A672" s="63">
        <v>50111791</v>
      </c>
      <c r="B672" s="64" t="s">
        <v>1107</v>
      </c>
      <c r="C672">
        <v>50082183</v>
      </c>
      <c r="D672" t="s">
        <v>515</v>
      </c>
      <c r="F672" s="63">
        <v>50111527</v>
      </c>
      <c r="G672" s="64" t="s">
        <v>465</v>
      </c>
      <c r="H672" s="66">
        <v>3.5720999999999998</v>
      </c>
    </row>
    <row r="673" spans="1:8" ht="15">
      <c r="A673" s="63">
        <v>50111831</v>
      </c>
      <c r="B673" s="64" t="s">
        <v>1597</v>
      </c>
      <c r="C673">
        <v>50082198</v>
      </c>
      <c r="D673" t="s">
        <v>1943</v>
      </c>
      <c r="F673" s="63">
        <v>50111590</v>
      </c>
      <c r="G673" s="64" t="s">
        <v>1100</v>
      </c>
      <c r="H673" s="66">
        <v>0.49299999999999999</v>
      </c>
    </row>
    <row r="674" spans="1:8" ht="15">
      <c r="A674" s="63">
        <v>50111834</v>
      </c>
      <c r="B674" s="64" t="s">
        <v>1600</v>
      </c>
      <c r="C674">
        <v>50082198</v>
      </c>
      <c r="D674" t="s">
        <v>1943</v>
      </c>
      <c r="F674" s="63">
        <v>50111594</v>
      </c>
      <c r="G674" s="64" t="s">
        <v>1101</v>
      </c>
      <c r="H674" s="66">
        <v>0.47597899999999999</v>
      </c>
    </row>
    <row r="675" spans="1:8" ht="15">
      <c r="A675" s="63">
        <v>50111837</v>
      </c>
      <c r="B675" s="64" t="s">
        <v>1603</v>
      </c>
      <c r="C675">
        <v>50082198</v>
      </c>
      <c r="D675" t="s">
        <v>1943</v>
      </c>
      <c r="F675" s="63">
        <v>50111623</v>
      </c>
      <c r="G675" s="64" t="s">
        <v>1102</v>
      </c>
      <c r="H675" s="66">
        <v>2.65</v>
      </c>
    </row>
    <row r="676" spans="1:8" ht="15">
      <c r="A676" s="63">
        <v>50111844</v>
      </c>
      <c r="B676" s="64" t="s">
        <v>1108</v>
      </c>
      <c r="C676">
        <v>50082183</v>
      </c>
      <c r="D676" t="s">
        <v>515</v>
      </c>
      <c r="F676" s="63">
        <v>50111678</v>
      </c>
      <c r="G676" s="64" t="s">
        <v>1103</v>
      </c>
      <c r="H676" s="66">
        <v>0.47597899999999999</v>
      </c>
    </row>
    <row r="677" spans="1:8" ht="15">
      <c r="A677" s="63">
        <v>50111847</v>
      </c>
      <c r="B677" s="64" t="s">
        <v>1109</v>
      </c>
      <c r="C677">
        <v>50082183</v>
      </c>
      <c r="D677" t="s">
        <v>515</v>
      </c>
      <c r="F677" s="63">
        <v>50111782</v>
      </c>
      <c r="G677" s="64" t="s">
        <v>1104</v>
      </c>
      <c r="H677" s="66">
        <v>2.8675000000000002</v>
      </c>
    </row>
    <row r="678" spans="1:8" ht="15">
      <c r="A678" s="63">
        <v>50111938</v>
      </c>
      <c r="B678" s="64" t="s">
        <v>1110</v>
      </c>
      <c r="C678">
        <v>50082183</v>
      </c>
      <c r="D678" t="s">
        <v>515</v>
      </c>
      <c r="F678" s="63">
        <v>50111785</v>
      </c>
      <c r="G678" s="64" t="s">
        <v>1105</v>
      </c>
      <c r="H678" s="66">
        <v>3.5308999999999999</v>
      </c>
    </row>
    <row r="679" spans="1:8" ht="15">
      <c r="A679" s="63">
        <v>50111941</v>
      </c>
      <c r="B679" s="64" t="s">
        <v>1111</v>
      </c>
      <c r="C679">
        <v>50082183</v>
      </c>
      <c r="D679" t="s">
        <v>515</v>
      </c>
      <c r="F679" s="63">
        <v>50111788</v>
      </c>
      <c r="G679" s="64" t="s">
        <v>1106</v>
      </c>
      <c r="H679" s="66">
        <v>2.8420000000000001</v>
      </c>
    </row>
    <row r="680" spans="1:8" ht="15">
      <c r="A680" s="63">
        <v>50111994</v>
      </c>
      <c r="B680" s="64" t="s">
        <v>1112</v>
      </c>
      <c r="C680">
        <v>50082201</v>
      </c>
      <c r="D680" t="s">
        <v>589</v>
      </c>
      <c r="F680" s="63">
        <v>50111791</v>
      </c>
      <c r="G680" s="64" t="s">
        <v>1107</v>
      </c>
      <c r="H680" s="66">
        <v>3.5491000000000001</v>
      </c>
    </row>
    <row r="681" spans="1:8" ht="15">
      <c r="A681" s="63">
        <v>50111995</v>
      </c>
      <c r="B681" s="64" t="s">
        <v>1113</v>
      </c>
      <c r="C681">
        <v>50082201</v>
      </c>
      <c r="D681" t="s">
        <v>589</v>
      </c>
      <c r="F681" s="63">
        <v>50111831</v>
      </c>
      <c r="G681" s="64" t="s">
        <v>1597</v>
      </c>
      <c r="H681" s="66">
        <v>3.4590000000000001</v>
      </c>
    </row>
    <row r="682" spans="1:8" ht="15">
      <c r="A682" s="63">
        <v>50111996</v>
      </c>
      <c r="B682" s="64" t="s">
        <v>1114</v>
      </c>
      <c r="C682">
        <v>50082201</v>
      </c>
      <c r="D682" t="s">
        <v>589</v>
      </c>
      <c r="F682" s="63">
        <v>50111834</v>
      </c>
      <c r="G682" s="64" t="s">
        <v>1600</v>
      </c>
      <c r="H682" s="66">
        <v>3.4624999999999999</v>
      </c>
    </row>
    <row r="683" spans="1:8" ht="15">
      <c r="A683" s="63">
        <v>50111997</v>
      </c>
      <c r="B683" s="64" t="s">
        <v>1606</v>
      </c>
      <c r="C683">
        <v>50082198</v>
      </c>
      <c r="D683" t="s">
        <v>1943</v>
      </c>
      <c r="F683" s="63">
        <v>50111837</v>
      </c>
      <c r="G683" s="64" t="s">
        <v>1603</v>
      </c>
      <c r="H683" s="66">
        <v>3.4373999999999998</v>
      </c>
    </row>
    <row r="684" spans="1:8" ht="15">
      <c r="A684" s="63">
        <v>50112000</v>
      </c>
      <c r="B684" s="64" t="s">
        <v>1115</v>
      </c>
      <c r="C684">
        <v>50108558</v>
      </c>
      <c r="D684" t="s">
        <v>875</v>
      </c>
      <c r="F684" s="63">
        <v>50111844</v>
      </c>
      <c r="G684" s="64" t="s">
        <v>1108</v>
      </c>
      <c r="H684" s="66">
        <v>3.5308999999999999</v>
      </c>
    </row>
    <row r="685" spans="1:8" ht="15">
      <c r="A685" s="63">
        <v>50112001</v>
      </c>
      <c r="B685" s="64" t="s">
        <v>1116</v>
      </c>
      <c r="C685">
        <v>50108558</v>
      </c>
      <c r="D685" t="s">
        <v>875</v>
      </c>
      <c r="F685" s="63">
        <v>50111847</v>
      </c>
      <c r="G685" s="64" t="s">
        <v>1109</v>
      </c>
      <c r="H685" s="66">
        <v>2.8319999999999999</v>
      </c>
    </row>
    <row r="686" spans="1:8" ht="15">
      <c r="A686" s="63">
        <v>50112002</v>
      </c>
      <c r="B686" s="64" t="s">
        <v>1117</v>
      </c>
      <c r="C686">
        <v>50108558</v>
      </c>
      <c r="D686" t="s">
        <v>875</v>
      </c>
      <c r="F686" s="63">
        <v>50111938</v>
      </c>
      <c r="G686" s="64" t="s">
        <v>1110</v>
      </c>
      <c r="H686" s="66">
        <v>0.47499999999999998</v>
      </c>
    </row>
    <row r="687" spans="1:8" ht="15">
      <c r="A687" s="63">
        <v>50112003</v>
      </c>
      <c r="B687" s="64" t="s">
        <v>1118</v>
      </c>
      <c r="C687">
        <v>50108558</v>
      </c>
      <c r="D687" t="s">
        <v>875</v>
      </c>
      <c r="F687" s="63">
        <v>50111941</v>
      </c>
      <c r="G687" s="64" t="s">
        <v>1111</v>
      </c>
      <c r="H687" s="66">
        <v>0.46550000000000002</v>
      </c>
    </row>
    <row r="688" spans="1:8" ht="15">
      <c r="A688" s="63">
        <v>50112004</v>
      </c>
      <c r="B688" s="64" t="s">
        <v>1608</v>
      </c>
      <c r="C688">
        <v>50082198</v>
      </c>
      <c r="D688" t="s">
        <v>1943</v>
      </c>
      <c r="F688" s="63">
        <v>50111994</v>
      </c>
      <c r="G688" s="64" t="s">
        <v>1112</v>
      </c>
      <c r="H688" s="66">
        <v>2.8319999999999999</v>
      </c>
    </row>
    <row r="689" spans="1:8" ht="15">
      <c r="A689" s="63">
        <v>50112086</v>
      </c>
      <c r="B689" s="64" t="s">
        <v>1119</v>
      </c>
      <c r="C689">
        <v>50082201</v>
      </c>
      <c r="D689" t="s">
        <v>589</v>
      </c>
      <c r="F689" s="63">
        <v>50111995</v>
      </c>
      <c r="G689" s="64" t="s">
        <v>1113</v>
      </c>
      <c r="H689" s="66">
        <v>2.99</v>
      </c>
    </row>
    <row r="690" spans="1:8" ht="15">
      <c r="A690" s="63">
        <v>50112163</v>
      </c>
      <c r="B690" s="64" t="s">
        <v>1123</v>
      </c>
      <c r="C690">
        <v>50082200</v>
      </c>
      <c r="D690" t="s">
        <v>521</v>
      </c>
      <c r="F690" s="63">
        <v>50111996</v>
      </c>
      <c r="G690" s="64" t="s">
        <v>1114</v>
      </c>
      <c r="H690" s="66">
        <v>2.8319999999999999</v>
      </c>
    </row>
    <row r="691" spans="1:8" ht="15">
      <c r="A691" s="63">
        <v>50112198</v>
      </c>
      <c r="B691" s="64" t="s">
        <v>1124</v>
      </c>
      <c r="C691">
        <v>50082183</v>
      </c>
      <c r="D691" t="s">
        <v>515</v>
      </c>
      <c r="F691" s="63">
        <v>50111997</v>
      </c>
      <c r="G691" s="64" t="s">
        <v>1606</v>
      </c>
      <c r="H691" s="66">
        <v>4.41</v>
      </c>
    </row>
    <row r="692" spans="1:8" ht="15">
      <c r="A692" s="63">
        <v>50112201</v>
      </c>
      <c r="B692" s="64" t="s">
        <v>1125</v>
      </c>
      <c r="C692">
        <v>50082183</v>
      </c>
      <c r="D692" t="s">
        <v>515</v>
      </c>
      <c r="F692" s="63">
        <v>50112000</v>
      </c>
      <c r="G692" s="64" t="s">
        <v>1115</v>
      </c>
      <c r="H692" s="66">
        <v>2.9331</v>
      </c>
    </row>
    <row r="693" spans="1:8" ht="15">
      <c r="A693" s="63">
        <v>50112204</v>
      </c>
      <c r="B693" s="64" t="s">
        <v>1126</v>
      </c>
      <c r="C693">
        <v>50082183</v>
      </c>
      <c r="D693" t="s">
        <v>515</v>
      </c>
      <c r="F693" s="63">
        <v>50112001</v>
      </c>
      <c r="G693" s="64" t="s">
        <v>1116</v>
      </c>
      <c r="H693" s="66">
        <v>3.9645999999999999</v>
      </c>
    </row>
    <row r="694" spans="1:8" ht="15">
      <c r="A694" s="63">
        <v>50112209</v>
      </c>
      <c r="B694" s="64" t="s">
        <v>1127</v>
      </c>
      <c r="C694">
        <v>50082202</v>
      </c>
      <c r="D694" t="s">
        <v>519</v>
      </c>
      <c r="F694" s="63">
        <v>50112002</v>
      </c>
      <c r="G694" s="64" t="s">
        <v>1117</v>
      </c>
      <c r="H694" s="66">
        <v>2.8288000000000002</v>
      </c>
    </row>
    <row r="695" spans="1:8" ht="15">
      <c r="A695" s="63">
        <v>50112265</v>
      </c>
      <c r="B695" s="64" t="s">
        <v>1611</v>
      </c>
      <c r="C695">
        <v>50082198</v>
      </c>
      <c r="D695" t="s">
        <v>1943</v>
      </c>
      <c r="F695" s="63">
        <v>50112003</v>
      </c>
      <c r="G695" s="64" t="s">
        <v>1118</v>
      </c>
      <c r="H695" s="66">
        <v>3.5720999999999998</v>
      </c>
    </row>
    <row r="696" spans="1:8" ht="15">
      <c r="A696" s="63">
        <v>50112268</v>
      </c>
      <c r="B696" s="64" t="s">
        <v>1614</v>
      </c>
      <c r="C696">
        <v>50082198</v>
      </c>
      <c r="D696" t="s">
        <v>1943</v>
      </c>
      <c r="F696" s="63">
        <v>50112004</v>
      </c>
      <c r="G696" s="64" t="s">
        <v>1608</v>
      </c>
      <c r="H696" s="66">
        <v>2.8420000000000001</v>
      </c>
    </row>
    <row r="697" spans="1:8" ht="15">
      <c r="A697" s="63">
        <v>50112272</v>
      </c>
      <c r="B697" s="64" t="s">
        <v>1617</v>
      </c>
      <c r="C697">
        <v>50082198</v>
      </c>
      <c r="D697" t="s">
        <v>1943</v>
      </c>
      <c r="F697" s="63">
        <v>50112086</v>
      </c>
      <c r="G697" s="64" t="s">
        <v>1119</v>
      </c>
      <c r="H697" s="66">
        <v>3.2605</v>
      </c>
    </row>
    <row r="698" spans="1:8" ht="15">
      <c r="A698" s="63">
        <v>50112421</v>
      </c>
      <c r="B698" s="64" t="s">
        <v>1128</v>
      </c>
      <c r="C698">
        <v>50082183</v>
      </c>
      <c r="D698" t="s">
        <v>515</v>
      </c>
      <c r="F698" s="63">
        <v>50112163</v>
      </c>
      <c r="G698" s="64" t="s">
        <v>1123</v>
      </c>
      <c r="H698" s="66">
        <v>2.2050000000000001</v>
      </c>
    </row>
    <row r="699" spans="1:8" ht="15">
      <c r="A699" s="63">
        <v>50112474</v>
      </c>
      <c r="B699" s="64" t="s">
        <v>1129</v>
      </c>
      <c r="C699">
        <v>50082183</v>
      </c>
      <c r="D699" t="s">
        <v>515</v>
      </c>
      <c r="F699" s="63">
        <v>50112198</v>
      </c>
      <c r="G699" s="64" t="s">
        <v>1124</v>
      </c>
      <c r="H699" s="66">
        <v>2.8319999999999999</v>
      </c>
    </row>
    <row r="700" spans="1:8" ht="15">
      <c r="A700" s="63">
        <v>50112479</v>
      </c>
      <c r="B700" s="64" t="s">
        <v>1130</v>
      </c>
      <c r="C700">
        <v>50110858</v>
      </c>
      <c r="D700" t="s">
        <v>1070</v>
      </c>
      <c r="F700" s="63">
        <v>50112201</v>
      </c>
      <c r="G700" s="64" t="s">
        <v>1125</v>
      </c>
      <c r="H700" s="66">
        <v>3.2605</v>
      </c>
    </row>
    <row r="701" spans="1:8" ht="15">
      <c r="A701" s="63">
        <v>50112482</v>
      </c>
      <c r="B701" s="64" t="s">
        <v>1131</v>
      </c>
      <c r="C701">
        <v>50110858</v>
      </c>
      <c r="D701" t="s">
        <v>1070</v>
      </c>
      <c r="F701" s="63">
        <v>50112204</v>
      </c>
      <c r="G701" s="64" t="s">
        <v>1126</v>
      </c>
      <c r="H701" s="66">
        <v>0.45590000000000003</v>
      </c>
    </row>
    <row r="702" spans="1:8" ht="15">
      <c r="A702" s="63">
        <v>50112486</v>
      </c>
      <c r="B702" s="64" t="s">
        <v>1132</v>
      </c>
      <c r="C702">
        <v>50110858</v>
      </c>
      <c r="D702" t="s">
        <v>1070</v>
      </c>
      <c r="F702" s="63">
        <v>50112209</v>
      </c>
      <c r="G702" s="64" t="s">
        <v>1127</v>
      </c>
      <c r="H702" s="66">
        <v>2.2080000000000002</v>
      </c>
    </row>
    <row r="703" spans="1:8" ht="15">
      <c r="A703" s="63">
        <v>50112702</v>
      </c>
      <c r="B703" s="64" t="s">
        <v>2724</v>
      </c>
      <c r="C703">
        <v>50082198</v>
      </c>
      <c r="D703" t="s">
        <v>1943</v>
      </c>
      <c r="F703" s="63">
        <v>50112265</v>
      </c>
      <c r="G703" s="64" t="s">
        <v>1611</v>
      </c>
      <c r="H703" s="66">
        <v>2.8812000000000002</v>
      </c>
    </row>
    <row r="704" spans="1:8" ht="15">
      <c r="A704" s="63">
        <v>50112703</v>
      </c>
      <c r="B704" s="64" t="s">
        <v>2725</v>
      </c>
      <c r="C704">
        <v>50082198</v>
      </c>
      <c r="D704" t="s">
        <v>1943</v>
      </c>
      <c r="F704" s="63">
        <v>50112268</v>
      </c>
      <c r="G704" s="64" t="s">
        <v>1614</v>
      </c>
      <c r="H704" s="66">
        <v>0.57089999999999996</v>
      </c>
    </row>
    <row r="705" spans="1:8" ht="15">
      <c r="A705" s="63">
        <v>50112704</v>
      </c>
      <c r="B705" s="64" t="s">
        <v>1136</v>
      </c>
      <c r="C705">
        <v>50108558</v>
      </c>
      <c r="D705" t="s">
        <v>875</v>
      </c>
      <c r="F705" s="63">
        <v>50112272</v>
      </c>
      <c r="G705" s="64" t="s">
        <v>1617</v>
      </c>
      <c r="H705" s="66">
        <v>3.5529999999999999</v>
      </c>
    </row>
    <row r="706" spans="1:8" ht="15">
      <c r="A706" s="63">
        <v>50112834</v>
      </c>
      <c r="B706" s="64" t="s">
        <v>1139</v>
      </c>
      <c r="C706">
        <v>50082183</v>
      </c>
      <c r="D706" t="s">
        <v>515</v>
      </c>
      <c r="F706" s="63">
        <v>50112421</v>
      </c>
      <c r="G706" s="64" t="s">
        <v>1128</v>
      </c>
      <c r="H706" s="66">
        <v>0.48</v>
      </c>
    </row>
    <row r="707" spans="1:8" ht="15">
      <c r="A707" s="63">
        <v>50112835</v>
      </c>
      <c r="B707" s="64" t="s">
        <v>1140</v>
      </c>
      <c r="C707">
        <v>50082183</v>
      </c>
      <c r="D707" t="s">
        <v>515</v>
      </c>
      <c r="F707" s="63">
        <v>50112474</v>
      </c>
      <c r="G707" s="64" t="s">
        <v>1129</v>
      </c>
      <c r="H707" s="66">
        <v>0.5</v>
      </c>
    </row>
    <row r="708" spans="1:8" ht="15">
      <c r="A708" s="63">
        <v>50112836</v>
      </c>
      <c r="B708" s="64" t="s">
        <v>1141</v>
      </c>
      <c r="C708">
        <v>50082183</v>
      </c>
      <c r="D708" t="s">
        <v>515</v>
      </c>
      <c r="F708" s="63">
        <v>50112479</v>
      </c>
      <c r="G708" s="64" t="s">
        <v>1130</v>
      </c>
      <c r="H708" s="66">
        <v>0.34560000000000002</v>
      </c>
    </row>
    <row r="709" spans="1:8" ht="15">
      <c r="A709" s="63">
        <v>50112837</v>
      </c>
      <c r="B709" s="64" t="s">
        <v>1142</v>
      </c>
      <c r="C709">
        <v>50082202</v>
      </c>
      <c r="D709" t="s">
        <v>519</v>
      </c>
      <c r="F709" s="63">
        <v>50112482</v>
      </c>
      <c r="G709" s="64" t="s">
        <v>1131</v>
      </c>
      <c r="H709" s="66">
        <v>3.9744000000000002</v>
      </c>
    </row>
    <row r="710" spans="1:8" ht="15">
      <c r="A710" s="63">
        <v>50112948</v>
      </c>
      <c r="B710" s="64" t="s">
        <v>1143</v>
      </c>
      <c r="C710">
        <v>50082202</v>
      </c>
      <c r="D710" t="s">
        <v>519</v>
      </c>
      <c r="F710" s="63">
        <v>50112486</v>
      </c>
      <c r="G710" s="64" t="s">
        <v>1132</v>
      </c>
      <c r="H710" s="66">
        <v>0.49919999999999998</v>
      </c>
    </row>
    <row r="711" spans="1:8" ht="15">
      <c r="A711" s="63">
        <v>50112962</v>
      </c>
      <c r="B711" s="64" t="s">
        <v>1621</v>
      </c>
      <c r="C711">
        <v>50082198</v>
      </c>
      <c r="D711" t="s">
        <v>1943</v>
      </c>
      <c r="F711" s="63">
        <v>50112702</v>
      </c>
      <c r="G711" s="64" t="s">
        <v>2724</v>
      </c>
      <c r="H711" s="66">
        <v>2.8812000000000002</v>
      </c>
    </row>
    <row r="712" spans="1:8" ht="15">
      <c r="A712" s="63">
        <v>50112997</v>
      </c>
      <c r="B712" s="64" t="s">
        <v>1146</v>
      </c>
      <c r="C712">
        <v>50082183</v>
      </c>
      <c r="D712" t="s">
        <v>515</v>
      </c>
      <c r="F712" s="63">
        <v>50112703</v>
      </c>
      <c r="G712" s="64" t="s">
        <v>2725</v>
      </c>
      <c r="H712" s="66">
        <v>0.57089999999999996</v>
      </c>
    </row>
    <row r="713" spans="1:8" ht="15">
      <c r="A713" s="63">
        <v>50113000</v>
      </c>
      <c r="B713" s="64" t="s">
        <v>1147</v>
      </c>
      <c r="C713">
        <v>50082183</v>
      </c>
      <c r="D713" t="s">
        <v>515</v>
      </c>
      <c r="F713" s="63">
        <v>50112704</v>
      </c>
      <c r="G713" s="64" t="s">
        <v>1136</v>
      </c>
      <c r="H713" s="66">
        <v>3.5529999999999999</v>
      </c>
    </row>
    <row r="714" spans="1:8" ht="15">
      <c r="A714" s="63">
        <v>50113003</v>
      </c>
      <c r="B714" s="64" t="s">
        <v>1148</v>
      </c>
      <c r="C714">
        <v>50082183</v>
      </c>
      <c r="D714" t="s">
        <v>515</v>
      </c>
      <c r="F714" s="63">
        <v>50112834</v>
      </c>
      <c r="G714" s="64" t="s">
        <v>1139</v>
      </c>
      <c r="H714" s="66">
        <v>2.8319999999999999</v>
      </c>
    </row>
    <row r="715" spans="1:8" ht="15">
      <c r="A715" s="63">
        <v>50113088</v>
      </c>
      <c r="B715" s="64" t="s">
        <v>1149</v>
      </c>
      <c r="C715">
        <v>50082200</v>
      </c>
      <c r="D715" t="s">
        <v>521</v>
      </c>
      <c r="F715" s="63">
        <v>50112835</v>
      </c>
      <c r="G715" s="64" t="s">
        <v>1140</v>
      </c>
      <c r="H715" s="66">
        <v>3.5308999999999999</v>
      </c>
    </row>
    <row r="716" spans="1:8" ht="15">
      <c r="A716" s="63">
        <v>50113091</v>
      </c>
      <c r="B716" s="64" t="s">
        <v>1150</v>
      </c>
      <c r="C716">
        <v>50082184</v>
      </c>
      <c r="D716" t="s">
        <v>517</v>
      </c>
      <c r="F716" s="63">
        <v>50112836</v>
      </c>
      <c r="G716" s="64" t="s">
        <v>1141</v>
      </c>
      <c r="H716" s="66">
        <v>0.46179999999999999</v>
      </c>
    </row>
    <row r="717" spans="1:8" ht="15">
      <c r="A717" s="63">
        <v>50113094</v>
      </c>
      <c r="B717" s="64" t="s">
        <v>1151</v>
      </c>
      <c r="C717">
        <v>50082184</v>
      </c>
      <c r="D717" t="s">
        <v>517</v>
      </c>
      <c r="F717" s="63">
        <v>50112837</v>
      </c>
      <c r="G717" s="64" t="s">
        <v>1142</v>
      </c>
      <c r="H717" s="66">
        <v>2.2080000000000002</v>
      </c>
    </row>
    <row r="718" spans="1:8" ht="15">
      <c r="A718" s="63">
        <v>50113255</v>
      </c>
      <c r="B718" s="64" t="s">
        <v>1152</v>
      </c>
      <c r="C718">
        <v>50082184</v>
      </c>
      <c r="D718" t="s">
        <v>517</v>
      </c>
      <c r="F718" s="63">
        <v>50112948</v>
      </c>
      <c r="G718" s="64" t="s">
        <v>1143</v>
      </c>
      <c r="H718" s="66">
        <v>2.2080000000000002</v>
      </c>
    </row>
    <row r="719" spans="1:8" ht="15">
      <c r="A719" s="63">
        <v>50113290</v>
      </c>
      <c r="B719" s="64" t="s">
        <v>1153</v>
      </c>
      <c r="C719">
        <v>50082183</v>
      </c>
      <c r="D719" t="s">
        <v>515</v>
      </c>
      <c r="F719" s="63">
        <v>50112962</v>
      </c>
      <c r="G719" s="64" t="s">
        <v>1621</v>
      </c>
      <c r="H719" s="66">
        <v>2.8812000000000002</v>
      </c>
    </row>
    <row r="720" spans="1:8" ht="15">
      <c r="A720" s="63">
        <v>50113367</v>
      </c>
      <c r="B720" s="64" t="s">
        <v>1158</v>
      </c>
      <c r="C720">
        <v>50082183</v>
      </c>
      <c r="D720" t="s">
        <v>515</v>
      </c>
      <c r="F720" s="63">
        <v>50112997</v>
      </c>
      <c r="G720" s="64" t="s">
        <v>1146</v>
      </c>
      <c r="H720" s="66">
        <v>4.33</v>
      </c>
    </row>
    <row r="721" spans="1:8" ht="15">
      <c r="A721" s="63">
        <v>50113371</v>
      </c>
      <c r="B721" s="64" t="s">
        <v>1159</v>
      </c>
      <c r="C721">
        <v>50082202</v>
      </c>
      <c r="D721" t="s">
        <v>519</v>
      </c>
      <c r="F721" s="63">
        <v>50113000</v>
      </c>
      <c r="G721" s="64" t="s">
        <v>1147</v>
      </c>
      <c r="H721" s="66">
        <v>4.33</v>
      </c>
    </row>
    <row r="722" spans="1:8" ht="15">
      <c r="A722" s="63">
        <v>50113374</v>
      </c>
      <c r="B722" s="64" t="s">
        <v>1160</v>
      </c>
      <c r="C722">
        <v>50082202</v>
      </c>
      <c r="D722" t="s">
        <v>519</v>
      </c>
      <c r="F722" s="63">
        <v>50113003</v>
      </c>
      <c r="G722" s="64" t="s">
        <v>1148</v>
      </c>
      <c r="H722" s="66">
        <v>4.33</v>
      </c>
    </row>
    <row r="723" spans="1:8" ht="15">
      <c r="A723" s="63">
        <v>50113377</v>
      </c>
      <c r="B723" s="64" t="s">
        <v>1161</v>
      </c>
      <c r="C723">
        <v>50082202</v>
      </c>
      <c r="D723" t="s">
        <v>519</v>
      </c>
      <c r="F723" s="63">
        <v>50113088</v>
      </c>
      <c r="G723" s="64" t="s">
        <v>1149</v>
      </c>
      <c r="H723" s="66">
        <v>1.5249999999999999</v>
      </c>
    </row>
    <row r="724" spans="1:8" ht="15">
      <c r="A724" s="63">
        <v>50113481</v>
      </c>
      <c r="B724" s="64" t="s">
        <v>1167</v>
      </c>
      <c r="C724">
        <v>50082202</v>
      </c>
      <c r="D724" t="s">
        <v>519</v>
      </c>
      <c r="F724" s="63">
        <v>50113091</v>
      </c>
      <c r="G724" s="64" t="s">
        <v>1150</v>
      </c>
      <c r="H724" s="66">
        <v>4.3864999999999998</v>
      </c>
    </row>
    <row r="725" spans="1:8" ht="15">
      <c r="A725" s="63">
        <v>50113554</v>
      </c>
      <c r="B725" s="64" t="s">
        <v>1168</v>
      </c>
      <c r="C725">
        <v>50082183</v>
      </c>
      <c r="D725" t="s">
        <v>515</v>
      </c>
      <c r="F725" s="63">
        <v>50113094</v>
      </c>
      <c r="G725" s="64" t="s">
        <v>1151</v>
      </c>
      <c r="H725" s="66">
        <v>0.54879999999999995</v>
      </c>
    </row>
    <row r="726" spans="1:8" ht="15">
      <c r="A726" s="63">
        <v>50113568</v>
      </c>
      <c r="B726" s="64" t="s">
        <v>1169</v>
      </c>
      <c r="C726">
        <v>50082183</v>
      </c>
      <c r="D726" t="s">
        <v>515</v>
      </c>
      <c r="F726" s="63">
        <v>50113255</v>
      </c>
      <c r="G726" s="64" t="s">
        <v>1152</v>
      </c>
      <c r="H726" s="66">
        <v>4.41</v>
      </c>
    </row>
    <row r="727" spans="1:8" ht="15">
      <c r="A727" s="63">
        <v>50113648</v>
      </c>
      <c r="B727" s="64" t="s">
        <v>1170</v>
      </c>
      <c r="C727">
        <v>50082183</v>
      </c>
      <c r="D727" t="s">
        <v>515</v>
      </c>
      <c r="F727" s="63">
        <v>50113290</v>
      </c>
      <c r="G727" s="64" t="s">
        <v>1153</v>
      </c>
      <c r="H727" s="66">
        <v>2.8288000000000002</v>
      </c>
    </row>
    <row r="728" spans="1:8" ht="15">
      <c r="A728" s="63">
        <v>50113737</v>
      </c>
      <c r="B728" s="64" t="s">
        <v>67</v>
      </c>
      <c r="C728">
        <v>50082202</v>
      </c>
      <c r="D728" t="s">
        <v>519</v>
      </c>
      <c r="F728" s="63">
        <v>50113367</v>
      </c>
      <c r="G728" s="64" t="s">
        <v>1158</v>
      </c>
      <c r="H728" s="66">
        <v>0.46</v>
      </c>
    </row>
    <row r="729" spans="1:8" ht="15">
      <c r="A729" s="63">
        <v>50113742</v>
      </c>
      <c r="B729" s="64" t="s">
        <v>1171</v>
      </c>
      <c r="C729">
        <v>50082202</v>
      </c>
      <c r="D729" t="s">
        <v>519</v>
      </c>
      <c r="F729" s="63">
        <v>50113371</v>
      </c>
      <c r="G729" s="64" t="s">
        <v>1159</v>
      </c>
      <c r="H729" s="66">
        <v>2.1619999999999999</v>
      </c>
    </row>
    <row r="730" spans="1:8" ht="15">
      <c r="A730" s="63">
        <v>50113745</v>
      </c>
      <c r="B730" s="64" t="s">
        <v>1172</v>
      </c>
      <c r="C730">
        <v>50082202</v>
      </c>
      <c r="D730" t="s">
        <v>519</v>
      </c>
      <c r="F730" s="63">
        <v>50113374</v>
      </c>
      <c r="G730" s="64" t="s">
        <v>1160</v>
      </c>
      <c r="H730" s="66">
        <v>2.1619999999999999</v>
      </c>
    </row>
    <row r="731" spans="1:8" ht="15">
      <c r="A731" s="63">
        <v>50113748</v>
      </c>
      <c r="B731" s="64" t="s">
        <v>1173</v>
      </c>
      <c r="C731">
        <v>50082202</v>
      </c>
      <c r="D731" t="s">
        <v>519</v>
      </c>
      <c r="F731" s="63">
        <v>50113377</v>
      </c>
      <c r="G731" s="64" t="s">
        <v>1161</v>
      </c>
      <c r="H731" s="66">
        <v>2.1619999999999999</v>
      </c>
    </row>
    <row r="732" spans="1:8" ht="15">
      <c r="A732" s="63">
        <v>50113751</v>
      </c>
      <c r="B732" s="64" t="s">
        <v>1174</v>
      </c>
      <c r="C732">
        <v>50082202</v>
      </c>
      <c r="D732" t="s">
        <v>519</v>
      </c>
      <c r="F732" s="63">
        <v>50113481</v>
      </c>
      <c r="G732" s="64" t="s">
        <v>1167</v>
      </c>
      <c r="H732" s="66">
        <v>2.2080000000000002</v>
      </c>
    </row>
    <row r="733" spans="1:8" ht="15">
      <c r="A733" s="63">
        <v>50113754</v>
      </c>
      <c r="B733" s="64" t="s">
        <v>1175</v>
      </c>
      <c r="C733">
        <v>50082202</v>
      </c>
      <c r="D733" t="s">
        <v>519</v>
      </c>
      <c r="F733" s="63">
        <v>50113554</v>
      </c>
      <c r="G733" s="64" t="s">
        <v>1168</v>
      </c>
      <c r="H733" s="66">
        <v>3.12</v>
      </c>
    </row>
    <row r="734" spans="1:8" ht="15">
      <c r="A734" s="63">
        <v>50113823</v>
      </c>
      <c r="B734" s="64" t="s">
        <v>1176</v>
      </c>
      <c r="C734">
        <v>50082183</v>
      </c>
      <c r="D734" t="s">
        <v>515</v>
      </c>
      <c r="F734" s="63">
        <v>50113568</v>
      </c>
      <c r="G734" s="64" t="s">
        <v>1169</v>
      </c>
      <c r="H734" s="66">
        <v>0.45590000000000003</v>
      </c>
    </row>
    <row r="735" spans="1:8" ht="15">
      <c r="A735" s="63">
        <v>50113841</v>
      </c>
      <c r="B735" s="64" t="s">
        <v>1177</v>
      </c>
      <c r="C735">
        <v>50082183</v>
      </c>
      <c r="D735" t="s">
        <v>515</v>
      </c>
      <c r="F735" s="63">
        <v>50113648</v>
      </c>
      <c r="G735" s="64" t="s">
        <v>1170</v>
      </c>
      <c r="H735" s="66">
        <v>0.48099999999999998</v>
      </c>
    </row>
    <row r="736" spans="1:8" ht="15">
      <c r="A736" s="63">
        <v>50113847</v>
      </c>
      <c r="B736" s="64" t="s">
        <v>1178</v>
      </c>
      <c r="C736">
        <v>50082183</v>
      </c>
      <c r="D736" t="s">
        <v>515</v>
      </c>
      <c r="F736" s="63">
        <v>50113737</v>
      </c>
      <c r="G736" s="64" t="s">
        <v>67</v>
      </c>
      <c r="H736" s="66">
        <v>2.2080000000000002</v>
      </c>
    </row>
    <row r="737" spans="1:8" ht="15">
      <c r="A737" s="63">
        <v>50113848</v>
      </c>
      <c r="B737" s="64" t="s">
        <v>1179</v>
      </c>
      <c r="C737">
        <v>50082183</v>
      </c>
      <c r="D737" t="s">
        <v>515</v>
      </c>
      <c r="F737" s="63">
        <v>50113742</v>
      </c>
      <c r="G737" s="64" t="s">
        <v>1171</v>
      </c>
      <c r="H737" s="66">
        <v>2.1619999999999999</v>
      </c>
    </row>
    <row r="738" spans="1:8" ht="15">
      <c r="A738" s="63">
        <v>50113851</v>
      </c>
      <c r="B738" s="64" t="s">
        <v>1180</v>
      </c>
      <c r="C738">
        <v>50082183</v>
      </c>
      <c r="D738" t="s">
        <v>515</v>
      </c>
      <c r="F738" s="63">
        <v>50113745</v>
      </c>
      <c r="G738" s="64" t="s">
        <v>1172</v>
      </c>
      <c r="H738" s="66">
        <v>2.2080000000000002</v>
      </c>
    </row>
    <row r="739" spans="1:8" ht="15">
      <c r="A739" s="63">
        <v>50113856</v>
      </c>
      <c r="B739" s="64" t="s">
        <v>1181</v>
      </c>
      <c r="C739">
        <v>50082202</v>
      </c>
      <c r="D739" t="s">
        <v>519</v>
      </c>
      <c r="F739" s="63">
        <v>50113748</v>
      </c>
      <c r="G739" s="64" t="s">
        <v>1173</v>
      </c>
      <c r="H739" s="66">
        <v>2.1619999999999999</v>
      </c>
    </row>
    <row r="740" spans="1:8" ht="15">
      <c r="A740" s="63">
        <v>50113857</v>
      </c>
      <c r="B740" s="64" t="s">
        <v>1182</v>
      </c>
      <c r="C740">
        <v>50082202</v>
      </c>
      <c r="D740" t="s">
        <v>519</v>
      </c>
      <c r="F740" s="63">
        <v>50113751</v>
      </c>
      <c r="G740" s="64" t="s">
        <v>1174</v>
      </c>
      <c r="H740" s="66">
        <v>2.1619999999999999</v>
      </c>
    </row>
    <row r="741" spans="1:8" ht="15">
      <c r="A741" s="63">
        <v>50114011</v>
      </c>
      <c r="B741" s="64" t="s">
        <v>1183</v>
      </c>
      <c r="C741">
        <v>50082183</v>
      </c>
      <c r="D741" t="s">
        <v>515</v>
      </c>
      <c r="F741" s="63">
        <v>50113754</v>
      </c>
      <c r="G741" s="64" t="s">
        <v>1175</v>
      </c>
      <c r="H741" s="66">
        <v>2.2080000000000002</v>
      </c>
    </row>
    <row r="742" spans="1:8" ht="15">
      <c r="A742" s="63">
        <v>50114034</v>
      </c>
      <c r="B742" s="64" t="s">
        <v>1184</v>
      </c>
      <c r="C742">
        <v>50082202</v>
      </c>
      <c r="D742" t="s">
        <v>519</v>
      </c>
      <c r="F742" s="63">
        <v>50113823</v>
      </c>
      <c r="G742" s="64" t="s">
        <v>1176</v>
      </c>
      <c r="H742" s="66">
        <v>2.891</v>
      </c>
    </row>
    <row r="743" spans="1:8" ht="15">
      <c r="A743" s="63">
        <v>50114037</v>
      </c>
      <c r="B743" s="64" t="s">
        <v>1185</v>
      </c>
      <c r="C743">
        <v>50082202</v>
      </c>
      <c r="D743" t="s">
        <v>519</v>
      </c>
      <c r="F743" s="63">
        <v>50113841</v>
      </c>
      <c r="G743" s="64" t="s">
        <v>1177</v>
      </c>
      <c r="H743" s="66">
        <v>0.432</v>
      </c>
    </row>
    <row r="744" spans="1:8" ht="15">
      <c r="A744" s="63">
        <v>50114040</v>
      </c>
      <c r="B744" s="64" t="s">
        <v>1186</v>
      </c>
      <c r="C744">
        <v>50082202</v>
      </c>
      <c r="D744" t="s">
        <v>519</v>
      </c>
      <c r="F744" s="63">
        <v>50113847</v>
      </c>
      <c r="G744" s="64" t="s">
        <v>1178</v>
      </c>
      <c r="H744" s="66">
        <v>0.17280000000000001</v>
      </c>
    </row>
    <row r="745" spans="1:8" ht="15">
      <c r="A745" s="63">
        <v>50114044</v>
      </c>
      <c r="B745" s="64" t="s">
        <v>1187</v>
      </c>
      <c r="C745">
        <v>50082200</v>
      </c>
      <c r="D745" t="s">
        <v>521</v>
      </c>
      <c r="F745" s="63">
        <v>50113848</v>
      </c>
      <c r="G745" s="64" t="s">
        <v>1179</v>
      </c>
      <c r="H745" s="66">
        <v>0.5</v>
      </c>
    </row>
    <row r="746" spans="1:8" ht="15">
      <c r="A746" s="63">
        <v>50114058</v>
      </c>
      <c r="B746" s="64" t="s">
        <v>1188</v>
      </c>
      <c r="C746">
        <v>50082183</v>
      </c>
      <c r="D746" t="s">
        <v>515</v>
      </c>
      <c r="F746" s="63">
        <v>50113851</v>
      </c>
      <c r="G746" s="64" t="s">
        <v>1180</v>
      </c>
      <c r="H746" s="66">
        <v>0.48</v>
      </c>
    </row>
    <row r="747" spans="1:8" ht="15">
      <c r="A747" s="63">
        <v>50114061</v>
      </c>
      <c r="B747" s="64" t="s">
        <v>1189</v>
      </c>
      <c r="C747">
        <v>50082183</v>
      </c>
      <c r="D747" t="s">
        <v>515</v>
      </c>
      <c r="F747" s="63">
        <v>50113856</v>
      </c>
      <c r="G747" s="64" t="s">
        <v>1181</v>
      </c>
      <c r="H747" s="66">
        <v>2.2080000000000002</v>
      </c>
    </row>
    <row r="748" spans="1:8" ht="15">
      <c r="A748" s="63">
        <v>50114090</v>
      </c>
      <c r="B748" s="64" t="s">
        <v>1193</v>
      </c>
      <c r="C748">
        <v>50082183</v>
      </c>
      <c r="D748" t="s">
        <v>515</v>
      </c>
      <c r="F748" s="63">
        <v>50113857</v>
      </c>
      <c r="G748" s="64" t="s">
        <v>1182</v>
      </c>
      <c r="H748" s="66">
        <v>2.2080000000000002</v>
      </c>
    </row>
    <row r="749" spans="1:8" ht="15">
      <c r="A749" s="63">
        <v>50114091</v>
      </c>
      <c r="B749" s="64" t="s">
        <v>1194</v>
      </c>
      <c r="C749">
        <v>50082183</v>
      </c>
      <c r="D749" t="s">
        <v>515</v>
      </c>
      <c r="F749" s="63">
        <v>50114011</v>
      </c>
      <c r="G749" s="64" t="s">
        <v>1183</v>
      </c>
      <c r="H749" s="66">
        <v>2.8675000000000002</v>
      </c>
    </row>
    <row r="750" spans="1:8" ht="15">
      <c r="A750" s="63">
        <v>50114106</v>
      </c>
      <c r="B750" s="64" t="s">
        <v>1198</v>
      </c>
      <c r="C750">
        <v>50082202</v>
      </c>
      <c r="D750" t="s">
        <v>519</v>
      </c>
      <c r="F750" s="63">
        <v>50114034</v>
      </c>
      <c r="G750" s="64" t="s">
        <v>1184</v>
      </c>
      <c r="H750" s="66">
        <v>2.1619999999999999</v>
      </c>
    </row>
    <row r="751" spans="1:8" ht="15">
      <c r="A751" s="63">
        <v>50114139</v>
      </c>
      <c r="B751" s="64" t="s">
        <v>1200</v>
      </c>
      <c r="C751">
        <v>50082202</v>
      </c>
      <c r="D751" t="s">
        <v>519</v>
      </c>
      <c r="F751" s="63">
        <v>50114037</v>
      </c>
      <c r="G751" s="64" t="s">
        <v>1185</v>
      </c>
      <c r="H751" s="66">
        <v>2.1619999999999999</v>
      </c>
    </row>
    <row r="752" spans="1:8" ht="15">
      <c r="A752" s="63">
        <v>50114141</v>
      </c>
      <c r="B752" s="64" t="s">
        <v>1201</v>
      </c>
      <c r="C752">
        <v>50082202</v>
      </c>
      <c r="D752" t="s">
        <v>519</v>
      </c>
      <c r="F752" s="63">
        <v>50114040</v>
      </c>
      <c r="G752" s="64" t="s">
        <v>1186</v>
      </c>
      <c r="H752" s="66">
        <v>2.1696</v>
      </c>
    </row>
    <row r="753" spans="1:8" ht="15">
      <c r="A753" s="63">
        <v>50114281</v>
      </c>
      <c r="B753" s="64" t="s">
        <v>1208</v>
      </c>
      <c r="C753">
        <v>50082202</v>
      </c>
      <c r="D753" t="s">
        <v>519</v>
      </c>
      <c r="F753" s="63">
        <v>50114044</v>
      </c>
      <c r="G753" s="64" t="s">
        <v>1187</v>
      </c>
      <c r="H753" s="66">
        <v>2.2050000000000001</v>
      </c>
    </row>
    <row r="754" spans="1:8" ht="15">
      <c r="A754" s="63">
        <v>50114306</v>
      </c>
      <c r="B754" s="64" t="s">
        <v>1209</v>
      </c>
      <c r="C754">
        <v>50082183</v>
      </c>
      <c r="D754" t="s">
        <v>515</v>
      </c>
      <c r="F754" s="63">
        <v>50114058</v>
      </c>
      <c r="G754" s="64" t="s">
        <v>1188</v>
      </c>
      <c r="H754" s="66">
        <v>2.8319999999999999</v>
      </c>
    </row>
    <row r="755" spans="1:8" ht="15">
      <c r="A755" s="63">
        <v>50114309</v>
      </c>
      <c r="B755" s="64" t="s">
        <v>66</v>
      </c>
      <c r="C755">
        <v>50082183</v>
      </c>
      <c r="D755" t="s">
        <v>515</v>
      </c>
      <c r="F755" s="63">
        <v>50114061</v>
      </c>
      <c r="G755" s="64" t="s">
        <v>1189</v>
      </c>
      <c r="H755" s="66">
        <v>3.5308999999999999</v>
      </c>
    </row>
    <row r="756" spans="1:8" ht="15">
      <c r="A756" s="63">
        <v>50114312</v>
      </c>
      <c r="B756" s="64" t="s">
        <v>1210</v>
      </c>
      <c r="C756">
        <v>50082183</v>
      </c>
      <c r="D756" t="s">
        <v>515</v>
      </c>
      <c r="F756" s="63">
        <v>50114090</v>
      </c>
      <c r="G756" s="64" t="s">
        <v>1193</v>
      </c>
      <c r="H756" s="66">
        <v>0.49919999999999998</v>
      </c>
    </row>
    <row r="757" spans="1:8" ht="15">
      <c r="A757" s="63">
        <v>50114340</v>
      </c>
      <c r="B757" s="64" t="s">
        <v>68</v>
      </c>
      <c r="C757">
        <v>50082183</v>
      </c>
      <c r="D757" t="s">
        <v>515</v>
      </c>
      <c r="F757" s="63">
        <v>50114091</v>
      </c>
      <c r="G757" s="64" t="s">
        <v>1194</v>
      </c>
      <c r="H757" s="66">
        <v>0.14399999999999999</v>
      </c>
    </row>
    <row r="758" spans="1:8" ht="15">
      <c r="A758" s="63">
        <v>50114357</v>
      </c>
      <c r="B758" s="64" t="s">
        <v>1211</v>
      </c>
      <c r="C758">
        <v>50082183</v>
      </c>
      <c r="D758" t="s">
        <v>515</v>
      </c>
      <c r="F758" s="63">
        <v>50114106</v>
      </c>
      <c r="G758" s="64" t="s">
        <v>1198</v>
      </c>
      <c r="H758" s="66">
        <v>2.254</v>
      </c>
    </row>
    <row r="759" spans="1:8" ht="15">
      <c r="A759" s="63">
        <v>50114360</v>
      </c>
      <c r="B759" s="64" t="s">
        <v>1212</v>
      </c>
      <c r="C759">
        <v>50082183</v>
      </c>
      <c r="D759" t="s">
        <v>515</v>
      </c>
      <c r="F759" s="63">
        <v>50114139</v>
      </c>
      <c r="G759" s="64" t="s">
        <v>1200</v>
      </c>
      <c r="H759" s="66">
        <v>2.2080000000000002</v>
      </c>
    </row>
    <row r="760" spans="1:8" ht="15">
      <c r="A760" s="63">
        <v>50114363</v>
      </c>
      <c r="B760" s="64" t="s">
        <v>1213</v>
      </c>
      <c r="C760">
        <v>50082183</v>
      </c>
      <c r="D760" t="s">
        <v>515</v>
      </c>
      <c r="F760" s="63">
        <v>50114141</v>
      </c>
      <c r="G760" s="64" t="s">
        <v>1201</v>
      </c>
      <c r="H760" s="66">
        <v>2.2080000000000002</v>
      </c>
    </row>
    <row r="761" spans="1:8" ht="15">
      <c r="A761" s="63">
        <v>50114366</v>
      </c>
      <c r="B761" s="64" t="s">
        <v>1214</v>
      </c>
      <c r="C761">
        <v>50082183</v>
      </c>
      <c r="D761" t="s">
        <v>515</v>
      </c>
      <c r="F761" s="63">
        <v>50114281</v>
      </c>
      <c r="G761" s="64" t="s">
        <v>1208</v>
      </c>
      <c r="H761" s="66">
        <v>2.1619999999999999</v>
      </c>
    </row>
    <row r="762" spans="1:8" ht="15">
      <c r="A762" s="63">
        <v>50114369</v>
      </c>
      <c r="B762" s="64" t="s">
        <v>1215</v>
      </c>
      <c r="C762">
        <v>50082183</v>
      </c>
      <c r="D762" t="s">
        <v>515</v>
      </c>
      <c r="F762" s="63">
        <v>50114306</v>
      </c>
      <c r="G762" s="64" t="s">
        <v>1209</v>
      </c>
      <c r="H762" s="66">
        <v>3.6579999999999999</v>
      </c>
    </row>
    <row r="763" spans="1:8" ht="15">
      <c r="A763" s="63">
        <v>50114372</v>
      </c>
      <c r="B763" s="64" t="s">
        <v>1216</v>
      </c>
      <c r="C763">
        <v>50082183</v>
      </c>
      <c r="D763" t="s">
        <v>515</v>
      </c>
      <c r="F763" s="63">
        <v>50114309</v>
      </c>
      <c r="G763" s="64" t="s">
        <v>66</v>
      </c>
      <c r="H763" s="66">
        <v>3.5308999999999999</v>
      </c>
    </row>
    <row r="764" spans="1:8" ht="15">
      <c r="A764" s="63">
        <v>50114397</v>
      </c>
      <c r="B764" s="64" t="s">
        <v>1217</v>
      </c>
      <c r="C764">
        <v>50108558</v>
      </c>
      <c r="D764" t="s">
        <v>875</v>
      </c>
      <c r="F764" s="63">
        <v>50114312</v>
      </c>
      <c r="G764" s="64" t="s">
        <v>1210</v>
      </c>
      <c r="H764" s="66">
        <v>3.5308999999999999</v>
      </c>
    </row>
    <row r="765" spans="1:8" ht="15">
      <c r="A765" s="63">
        <v>50114400</v>
      </c>
      <c r="B765" s="64" t="s">
        <v>1218</v>
      </c>
      <c r="C765">
        <v>50082183</v>
      </c>
      <c r="D765" t="s">
        <v>515</v>
      </c>
      <c r="F765" s="63">
        <v>50114340</v>
      </c>
      <c r="G765" s="64" t="s">
        <v>68</v>
      </c>
      <c r="H765" s="66">
        <v>0.46179999999999999</v>
      </c>
    </row>
    <row r="766" spans="1:8" ht="15">
      <c r="A766" s="63">
        <v>50114407</v>
      </c>
      <c r="B766" s="64" t="s">
        <v>1219</v>
      </c>
      <c r="C766">
        <v>50082202</v>
      </c>
      <c r="D766" t="s">
        <v>519</v>
      </c>
      <c r="F766" s="63">
        <v>50114357</v>
      </c>
      <c r="G766" s="64" t="s">
        <v>1211</v>
      </c>
      <c r="H766" s="66">
        <v>2.8319999999999999</v>
      </c>
    </row>
    <row r="767" spans="1:8" ht="15">
      <c r="A767" s="63">
        <v>50114460</v>
      </c>
      <c r="B767" s="64" t="s">
        <v>1220</v>
      </c>
      <c r="C767">
        <v>50082202</v>
      </c>
      <c r="D767" t="s">
        <v>519</v>
      </c>
      <c r="F767" s="63">
        <v>50114360</v>
      </c>
      <c r="G767" s="64" t="s">
        <v>1212</v>
      </c>
      <c r="H767" s="66">
        <v>2.99</v>
      </c>
    </row>
    <row r="768" spans="1:8" ht="15">
      <c r="A768" s="63">
        <v>50114509</v>
      </c>
      <c r="B768" s="64" t="s">
        <v>1221</v>
      </c>
      <c r="C768">
        <v>50082201</v>
      </c>
      <c r="D768" t="s">
        <v>589</v>
      </c>
      <c r="F768" s="63">
        <v>50114363</v>
      </c>
      <c r="G768" s="64" t="s">
        <v>1213</v>
      </c>
      <c r="H768" s="66">
        <v>2.99</v>
      </c>
    </row>
    <row r="769" spans="1:8" ht="15">
      <c r="A769" s="63">
        <v>50114512</v>
      </c>
      <c r="B769" s="64" t="s">
        <v>1222</v>
      </c>
      <c r="C769">
        <v>50082183</v>
      </c>
      <c r="D769" t="s">
        <v>515</v>
      </c>
      <c r="F769" s="63">
        <v>50114366</v>
      </c>
      <c r="G769" s="64" t="s">
        <v>1214</v>
      </c>
      <c r="H769" s="66">
        <v>2.8319999999999999</v>
      </c>
    </row>
    <row r="770" spans="1:8" ht="15">
      <c r="A770" s="63">
        <v>50114591</v>
      </c>
      <c r="B770" s="64" t="s">
        <v>1223</v>
      </c>
      <c r="C770">
        <v>50082199</v>
      </c>
      <c r="D770" t="s">
        <v>616</v>
      </c>
      <c r="F770" s="63">
        <v>50114369</v>
      </c>
      <c r="G770" s="64" t="s">
        <v>1215</v>
      </c>
      <c r="H770" s="66">
        <v>2.9331</v>
      </c>
    </row>
    <row r="771" spans="1:8" ht="15">
      <c r="A771" s="63">
        <v>50114594</v>
      </c>
      <c r="B771" s="64" t="s">
        <v>1224</v>
      </c>
      <c r="C771">
        <v>50082183</v>
      </c>
      <c r="D771" t="s">
        <v>515</v>
      </c>
      <c r="F771" s="63">
        <v>50114372</v>
      </c>
      <c r="G771" s="64" t="s">
        <v>1216</v>
      </c>
      <c r="H771" s="66">
        <v>2.9780000000000002</v>
      </c>
    </row>
    <row r="772" spans="1:8" ht="15">
      <c r="A772" s="63">
        <v>50114598</v>
      </c>
      <c r="B772" s="64" t="s">
        <v>1225</v>
      </c>
      <c r="C772">
        <v>50082184</v>
      </c>
      <c r="D772" t="s">
        <v>517</v>
      </c>
      <c r="F772" s="63">
        <v>50114397</v>
      </c>
      <c r="G772" s="64" t="s">
        <v>1217</v>
      </c>
      <c r="H772" s="66">
        <v>3.9645999999999999</v>
      </c>
    </row>
    <row r="773" spans="1:8" ht="15">
      <c r="A773" s="63">
        <v>50114601</v>
      </c>
      <c r="B773" s="64" t="s">
        <v>1226</v>
      </c>
      <c r="C773">
        <v>50082183</v>
      </c>
      <c r="D773" t="s">
        <v>515</v>
      </c>
      <c r="F773" s="63">
        <v>50114400</v>
      </c>
      <c r="G773" s="64" t="s">
        <v>1218</v>
      </c>
      <c r="H773" s="66">
        <v>3.577</v>
      </c>
    </row>
    <row r="774" spans="1:8" ht="15">
      <c r="A774" s="63">
        <v>50114643</v>
      </c>
      <c r="B774" s="64" t="s">
        <v>1227</v>
      </c>
      <c r="C774">
        <v>50082183</v>
      </c>
      <c r="D774" t="s">
        <v>515</v>
      </c>
      <c r="F774" s="63">
        <v>50114407</v>
      </c>
      <c r="G774" s="64" t="s">
        <v>1219</v>
      </c>
      <c r="H774" s="66">
        <v>2.2080000000000002</v>
      </c>
    </row>
    <row r="775" spans="1:8" ht="15">
      <c r="A775" s="63">
        <v>50114678</v>
      </c>
      <c r="B775" s="64" t="s">
        <v>1379</v>
      </c>
      <c r="C775">
        <v>50082198</v>
      </c>
      <c r="D775" t="s">
        <v>1943</v>
      </c>
      <c r="F775" s="63">
        <v>50114460</v>
      </c>
      <c r="G775" s="64" t="s">
        <v>1220</v>
      </c>
      <c r="H775" s="66">
        <v>2.1619999999999999</v>
      </c>
    </row>
    <row r="776" spans="1:8" ht="15">
      <c r="A776" s="63">
        <v>50114679</v>
      </c>
      <c r="B776" s="64" t="s">
        <v>1229</v>
      </c>
      <c r="C776">
        <v>50082184</v>
      </c>
      <c r="D776" t="s">
        <v>517</v>
      </c>
      <c r="F776" s="63">
        <v>50114509</v>
      </c>
      <c r="G776" s="64" t="s">
        <v>1221</v>
      </c>
      <c r="H776" s="66">
        <v>2.8319999999999999</v>
      </c>
    </row>
    <row r="777" spans="1:8" ht="15">
      <c r="A777" s="63">
        <v>50114685</v>
      </c>
      <c r="B777" s="64" t="s">
        <v>1231</v>
      </c>
      <c r="C777">
        <v>50082183</v>
      </c>
      <c r="D777" t="s">
        <v>515</v>
      </c>
      <c r="F777" s="63">
        <v>50114512</v>
      </c>
      <c r="G777" s="64" t="s">
        <v>1222</v>
      </c>
      <c r="H777" s="66">
        <v>3.5308999999999999</v>
      </c>
    </row>
    <row r="778" spans="1:8" ht="15">
      <c r="A778" s="63">
        <v>50114714</v>
      </c>
      <c r="B778" s="64" t="s">
        <v>1242</v>
      </c>
      <c r="C778">
        <v>50082183</v>
      </c>
      <c r="D778" t="s">
        <v>515</v>
      </c>
      <c r="F778" s="63">
        <v>50114591</v>
      </c>
      <c r="G778" s="64" t="s">
        <v>1223</v>
      </c>
      <c r="H778" s="66">
        <v>2.2050000000000001</v>
      </c>
    </row>
    <row r="779" spans="1:8" ht="15">
      <c r="A779" s="63">
        <v>50114717</v>
      </c>
      <c r="B779" s="64" t="s">
        <v>1243</v>
      </c>
      <c r="C779">
        <v>50082183</v>
      </c>
      <c r="D779" t="s">
        <v>515</v>
      </c>
      <c r="F779" s="63">
        <v>50114594</v>
      </c>
      <c r="G779" s="64" t="s">
        <v>1224</v>
      </c>
      <c r="H779" s="66">
        <v>3.492</v>
      </c>
    </row>
    <row r="780" spans="1:8" ht="15">
      <c r="A780" s="63">
        <v>50114747</v>
      </c>
      <c r="B780" s="64" t="s">
        <v>1244</v>
      </c>
      <c r="C780">
        <v>50082200</v>
      </c>
      <c r="D780" t="s">
        <v>521</v>
      </c>
      <c r="F780" s="63">
        <v>50114598</v>
      </c>
      <c r="G780" s="64" t="s">
        <v>1225</v>
      </c>
      <c r="H780" s="66">
        <v>4.5</v>
      </c>
    </row>
    <row r="781" spans="1:8" ht="15">
      <c r="A781" s="63">
        <v>50114904</v>
      </c>
      <c r="B781" s="64" t="s">
        <v>1246</v>
      </c>
      <c r="C781">
        <v>50082200</v>
      </c>
      <c r="D781" t="s">
        <v>521</v>
      </c>
      <c r="F781" s="63">
        <v>50114601</v>
      </c>
      <c r="G781" s="64" t="s">
        <v>1226</v>
      </c>
      <c r="H781" s="66">
        <v>2.8288000000000002</v>
      </c>
    </row>
    <row r="782" spans="1:8" ht="15">
      <c r="A782" s="63">
        <v>50114923</v>
      </c>
      <c r="B782" s="64" t="s">
        <v>1247</v>
      </c>
      <c r="C782">
        <v>50082200</v>
      </c>
      <c r="D782" t="s">
        <v>521</v>
      </c>
      <c r="F782" s="63">
        <v>50114643</v>
      </c>
      <c r="G782" s="64" t="s">
        <v>1227</v>
      </c>
      <c r="H782" s="66">
        <v>3.5308999999999999</v>
      </c>
    </row>
    <row r="783" spans="1:8" ht="15">
      <c r="A783" s="63">
        <v>50115046</v>
      </c>
      <c r="B783" s="64" t="s">
        <v>1249</v>
      </c>
      <c r="C783">
        <v>50082200</v>
      </c>
      <c r="D783" t="s">
        <v>521</v>
      </c>
      <c r="F783" s="63">
        <v>50114678</v>
      </c>
      <c r="G783" s="64" t="s">
        <v>1379</v>
      </c>
      <c r="H783" s="66">
        <v>4.41</v>
      </c>
    </row>
    <row r="784" spans="1:8" ht="15">
      <c r="A784" s="63">
        <v>50115089</v>
      </c>
      <c r="B784" s="64" t="s">
        <v>1251</v>
      </c>
      <c r="C784">
        <v>50082199</v>
      </c>
      <c r="D784" t="s">
        <v>616</v>
      </c>
      <c r="F784" s="63">
        <v>50114679</v>
      </c>
      <c r="G784" s="64" t="s">
        <v>1229</v>
      </c>
      <c r="H784" s="66">
        <v>2.8812000000000002</v>
      </c>
    </row>
    <row r="785" spans="1:8" ht="15">
      <c r="A785" s="63">
        <v>50115092</v>
      </c>
      <c r="B785" s="64" t="s">
        <v>1252</v>
      </c>
      <c r="C785">
        <v>50082200</v>
      </c>
      <c r="D785" t="s">
        <v>521</v>
      </c>
      <c r="F785" s="63">
        <v>50114685</v>
      </c>
      <c r="G785" s="64" t="s">
        <v>1231</v>
      </c>
      <c r="H785" s="66">
        <v>3.577</v>
      </c>
    </row>
    <row r="786" spans="1:8" ht="15">
      <c r="A786" s="63">
        <v>50115211</v>
      </c>
      <c r="B786" s="64" t="s">
        <v>1253</v>
      </c>
      <c r="C786">
        <v>50082200</v>
      </c>
      <c r="D786" t="s">
        <v>521</v>
      </c>
      <c r="F786" s="63">
        <v>50114714</v>
      </c>
      <c r="G786" s="64" t="s">
        <v>1242</v>
      </c>
      <c r="H786" s="66">
        <v>3.6579999999999999</v>
      </c>
    </row>
    <row r="787" spans="1:8" ht="15">
      <c r="A787" s="63">
        <v>50115431</v>
      </c>
      <c r="B787" s="64" t="s">
        <v>1255</v>
      </c>
      <c r="C787">
        <v>50082183</v>
      </c>
      <c r="D787" t="s">
        <v>515</v>
      </c>
      <c r="F787" s="63">
        <v>50114717</v>
      </c>
      <c r="G787" s="64" t="s">
        <v>1243</v>
      </c>
      <c r="H787" s="66">
        <v>0.48099999999999998</v>
      </c>
    </row>
    <row r="788" spans="1:8" ht="15">
      <c r="A788" s="63">
        <v>50115443</v>
      </c>
      <c r="B788" s="64" t="s">
        <v>1256</v>
      </c>
      <c r="C788">
        <v>50082183</v>
      </c>
      <c r="D788" t="s">
        <v>515</v>
      </c>
      <c r="F788" s="63">
        <v>50114747</v>
      </c>
      <c r="G788" s="64" t="s">
        <v>1244</v>
      </c>
      <c r="H788" s="66">
        <v>2.1436999999999999</v>
      </c>
    </row>
    <row r="789" spans="1:8" ht="15">
      <c r="A789" s="63">
        <v>50115450</v>
      </c>
      <c r="B789" s="64" t="s">
        <v>1257</v>
      </c>
      <c r="C789">
        <v>50082202</v>
      </c>
      <c r="D789" t="s">
        <v>519</v>
      </c>
      <c r="F789" s="63">
        <v>50114904</v>
      </c>
      <c r="G789" s="64" t="s">
        <v>1246</v>
      </c>
      <c r="H789" s="66">
        <v>2.2050000000000001</v>
      </c>
    </row>
    <row r="790" spans="1:8" ht="15">
      <c r="A790" s="63">
        <v>50115456</v>
      </c>
      <c r="B790" s="64" t="s">
        <v>1258</v>
      </c>
      <c r="C790">
        <v>50082201</v>
      </c>
      <c r="D790" t="s">
        <v>589</v>
      </c>
      <c r="F790" s="63">
        <v>50114923</v>
      </c>
      <c r="G790" s="64" t="s">
        <v>1247</v>
      </c>
      <c r="H790" s="66">
        <v>1.5249999999999999</v>
      </c>
    </row>
    <row r="791" spans="1:8" ht="15">
      <c r="A791" s="63">
        <v>50115459</v>
      </c>
      <c r="B791" s="64" t="s">
        <v>1259</v>
      </c>
      <c r="C791">
        <v>50082201</v>
      </c>
      <c r="D791" t="s">
        <v>589</v>
      </c>
      <c r="F791" s="63">
        <v>50115046</v>
      </c>
      <c r="G791" s="64" t="s">
        <v>1249</v>
      </c>
      <c r="H791" s="66">
        <v>2.2050000000000001</v>
      </c>
    </row>
    <row r="792" spans="1:8" ht="15">
      <c r="A792" s="63">
        <v>50115464</v>
      </c>
      <c r="B792" s="64" t="s">
        <v>1260</v>
      </c>
      <c r="C792">
        <v>50082202</v>
      </c>
      <c r="D792" t="s">
        <v>519</v>
      </c>
      <c r="F792" s="63">
        <v>50115089</v>
      </c>
      <c r="G792" s="64" t="s">
        <v>1251</v>
      </c>
      <c r="H792" s="66">
        <v>2.2050000000000001</v>
      </c>
    </row>
    <row r="793" spans="1:8" ht="15">
      <c r="A793" s="63">
        <v>50115472</v>
      </c>
      <c r="B793" s="64" t="s">
        <v>1264</v>
      </c>
      <c r="C793">
        <v>50082183</v>
      </c>
      <c r="D793" t="s">
        <v>515</v>
      </c>
      <c r="F793" s="63">
        <v>50115092</v>
      </c>
      <c r="G793" s="64" t="s">
        <v>1252</v>
      </c>
      <c r="H793" s="66">
        <v>1.5249999999999999</v>
      </c>
    </row>
    <row r="794" spans="1:8" ht="15">
      <c r="A794" s="63">
        <v>50115489</v>
      </c>
      <c r="B794" s="64" t="s">
        <v>1265</v>
      </c>
      <c r="C794">
        <v>50082184</v>
      </c>
      <c r="D794" t="s">
        <v>517</v>
      </c>
      <c r="F794" s="63">
        <v>50115211</v>
      </c>
      <c r="G794" s="64" t="s">
        <v>1253</v>
      </c>
      <c r="H794" s="66">
        <v>2.2050000000000001</v>
      </c>
    </row>
    <row r="795" spans="1:8" ht="15">
      <c r="A795" s="63">
        <v>50115490</v>
      </c>
      <c r="B795" s="64" t="s">
        <v>1266</v>
      </c>
      <c r="C795">
        <v>50082183</v>
      </c>
      <c r="D795" t="s">
        <v>515</v>
      </c>
      <c r="F795" s="63">
        <v>50115431</v>
      </c>
      <c r="G795" s="64" t="s">
        <v>1255</v>
      </c>
      <c r="H795" s="66">
        <v>3.9645999999999999</v>
      </c>
    </row>
    <row r="796" spans="1:8" ht="15">
      <c r="A796" s="63">
        <v>50115505</v>
      </c>
      <c r="B796" s="64" t="s">
        <v>1267</v>
      </c>
      <c r="C796">
        <v>50082202</v>
      </c>
      <c r="D796" t="s">
        <v>519</v>
      </c>
      <c r="F796" s="63">
        <v>50115443</v>
      </c>
      <c r="G796" s="64" t="s">
        <v>1256</v>
      </c>
      <c r="H796" s="66">
        <v>2.99</v>
      </c>
    </row>
    <row r="797" spans="1:8" ht="15">
      <c r="A797" s="63">
        <v>50115608</v>
      </c>
      <c r="B797" s="64" t="s">
        <v>1274</v>
      </c>
      <c r="C797">
        <v>50082200</v>
      </c>
      <c r="D797" t="s">
        <v>521</v>
      </c>
      <c r="F797" s="63">
        <v>50115450</v>
      </c>
      <c r="G797" s="64" t="s">
        <v>1257</v>
      </c>
      <c r="H797" s="66">
        <v>2.2080000000000002</v>
      </c>
    </row>
    <row r="798" spans="1:8" ht="15">
      <c r="A798" s="63">
        <v>50115614</v>
      </c>
      <c r="B798" s="64" t="s">
        <v>1275</v>
      </c>
      <c r="C798">
        <v>50082200</v>
      </c>
      <c r="D798" t="s">
        <v>521</v>
      </c>
      <c r="F798" s="63">
        <v>50115456</v>
      </c>
      <c r="G798" s="64" t="s">
        <v>1258</v>
      </c>
      <c r="H798" s="66">
        <v>4.51</v>
      </c>
    </row>
    <row r="799" spans="1:8" ht="15">
      <c r="A799" s="63">
        <v>50115622</v>
      </c>
      <c r="B799" s="64" t="s">
        <v>1277</v>
      </c>
      <c r="C799">
        <v>50082202</v>
      </c>
      <c r="D799" t="s">
        <v>519</v>
      </c>
      <c r="F799" s="63">
        <v>50115459</v>
      </c>
      <c r="G799" s="64" t="s">
        <v>1259</v>
      </c>
      <c r="H799" s="66">
        <v>4.33</v>
      </c>
    </row>
    <row r="800" spans="1:8" ht="15">
      <c r="A800" s="63">
        <v>50115660</v>
      </c>
      <c r="B800" s="64" t="s">
        <v>1289</v>
      </c>
      <c r="C800">
        <v>50082183</v>
      </c>
      <c r="D800" t="s">
        <v>515</v>
      </c>
      <c r="F800" s="63">
        <v>50115464</v>
      </c>
      <c r="G800" s="64" t="s">
        <v>1260</v>
      </c>
      <c r="H800" s="66">
        <v>2.2309999999999999</v>
      </c>
    </row>
    <row r="801" spans="1:8" ht="15">
      <c r="A801" s="63">
        <v>50115663</v>
      </c>
      <c r="B801" s="64" t="s">
        <v>1290</v>
      </c>
      <c r="C801">
        <v>50082202</v>
      </c>
      <c r="D801" t="s">
        <v>519</v>
      </c>
      <c r="F801" s="63">
        <v>50115472</v>
      </c>
      <c r="G801" s="64" t="s">
        <v>1264</v>
      </c>
      <c r="H801" s="66">
        <v>0.48</v>
      </c>
    </row>
    <row r="802" spans="1:8" ht="15">
      <c r="A802" s="63">
        <v>50115666</v>
      </c>
      <c r="B802" s="64" t="s">
        <v>1291</v>
      </c>
      <c r="C802">
        <v>50082183</v>
      </c>
      <c r="D802" t="s">
        <v>515</v>
      </c>
      <c r="F802" s="63">
        <v>50115489</v>
      </c>
      <c r="G802" s="64" t="s">
        <v>1265</v>
      </c>
      <c r="H802" s="66">
        <v>4.33</v>
      </c>
    </row>
    <row r="803" spans="1:8" ht="15">
      <c r="A803" s="63">
        <v>50115675</v>
      </c>
      <c r="B803" s="64" t="s">
        <v>1292</v>
      </c>
      <c r="C803">
        <v>50082200</v>
      </c>
      <c r="D803" t="s">
        <v>521</v>
      </c>
      <c r="F803" s="63">
        <v>50115490</v>
      </c>
      <c r="G803" s="64" t="s">
        <v>1266</v>
      </c>
      <c r="H803" s="66">
        <v>2.8319999999999999</v>
      </c>
    </row>
    <row r="804" spans="1:8" ht="15">
      <c r="A804" s="63">
        <v>50115678</v>
      </c>
      <c r="B804" s="64" t="s">
        <v>1293</v>
      </c>
      <c r="C804">
        <v>50082200</v>
      </c>
      <c r="D804" t="s">
        <v>521</v>
      </c>
      <c r="F804" s="63">
        <v>50115505</v>
      </c>
      <c r="G804" s="64" t="s">
        <v>1267</v>
      </c>
      <c r="H804" s="66">
        <v>2.2309999999999999</v>
      </c>
    </row>
    <row r="805" spans="1:8" ht="15">
      <c r="A805" s="63">
        <v>50115703</v>
      </c>
      <c r="B805" s="64" t="s">
        <v>1295</v>
      </c>
      <c r="C805">
        <v>50082183</v>
      </c>
      <c r="D805" t="s">
        <v>515</v>
      </c>
      <c r="F805" s="63">
        <v>50115608</v>
      </c>
      <c r="G805" s="64" t="s">
        <v>1274</v>
      </c>
      <c r="H805" s="66">
        <v>2.1150000000000002</v>
      </c>
    </row>
    <row r="806" spans="1:8" ht="15">
      <c r="A806" s="63">
        <v>50115705</v>
      </c>
      <c r="B806" s="64" t="s">
        <v>1296</v>
      </c>
      <c r="C806">
        <v>50082183</v>
      </c>
      <c r="D806" t="s">
        <v>515</v>
      </c>
      <c r="F806" s="63">
        <v>50115614</v>
      </c>
      <c r="G806" s="64" t="s">
        <v>1275</v>
      </c>
      <c r="H806" s="66">
        <v>1.6659999999999999</v>
      </c>
    </row>
    <row r="807" spans="1:8" ht="15">
      <c r="A807" s="63">
        <v>50115707</v>
      </c>
      <c r="B807" s="64" t="s">
        <v>1297</v>
      </c>
      <c r="C807">
        <v>50082202</v>
      </c>
      <c r="D807" t="s">
        <v>519</v>
      </c>
      <c r="F807" s="63">
        <v>50115622</v>
      </c>
      <c r="G807" s="64" t="s">
        <v>1277</v>
      </c>
      <c r="H807" s="66">
        <v>2.2080000000000002</v>
      </c>
    </row>
    <row r="808" spans="1:8" ht="15">
      <c r="A808" s="63">
        <v>50115709</v>
      </c>
      <c r="B808" s="64" t="s">
        <v>1298</v>
      </c>
      <c r="C808">
        <v>50082183</v>
      </c>
      <c r="D808" t="s">
        <v>515</v>
      </c>
      <c r="F808" s="63">
        <v>50115660</v>
      </c>
      <c r="G808" s="64" t="s">
        <v>1289</v>
      </c>
      <c r="H808" s="66">
        <v>2.8319999999999999</v>
      </c>
    </row>
    <row r="809" spans="1:8" ht="15">
      <c r="A809" s="63">
        <v>50115712</v>
      </c>
      <c r="B809" s="64" t="s">
        <v>1299</v>
      </c>
      <c r="C809">
        <v>50107854</v>
      </c>
      <c r="D809" t="s">
        <v>1003</v>
      </c>
      <c r="F809" s="63">
        <v>50115663</v>
      </c>
      <c r="G809" s="64" t="s">
        <v>1290</v>
      </c>
      <c r="H809" s="66">
        <v>2.1619999999999999</v>
      </c>
    </row>
    <row r="810" spans="1:8" ht="15">
      <c r="A810" s="63">
        <v>50115714</v>
      </c>
      <c r="B810" s="64" t="s">
        <v>1300</v>
      </c>
      <c r="C810">
        <v>50082202</v>
      </c>
      <c r="D810" t="s">
        <v>519</v>
      </c>
      <c r="F810" s="63">
        <v>50115666</v>
      </c>
      <c r="G810" s="64" t="s">
        <v>1291</v>
      </c>
      <c r="H810" s="66">
        <v>0.48</v>
      </c>
    </row>
    <row r="811" spans="1:8" ht="15">
      <c r="A811" s="63">
        <v>50115720</v>
      </c>
      <c r="B811" s="64" t="s">
        <v>1301</v>
      </c>
      <c r="C811">
        <v>50082184</v>
      </c>
      <c r="D811" t="s">
        <v>517</v>
      </c>
      <c r="F811" s="63">
        <v>50115675</v>
      </c>
      <c r="G811" s="64" t="s">
        <v>1292</v>
      </c>
      <c r="H811" s="66">
        <v>1.5980000000000001</v>
      </c>
    </row>
    <row r="812" spans="1:8" ht="15">
      <c r="A812" s="63">
        <v>50115736</v>
      </c>
      <c r="B812" s="64" t="s">
        <v>1305</v>
      </c>
      <c r="C812">
        <v>50082183</v>
      </c>
      <c r="D812" t="s">
        <v>515</v>
      </c>
      <c r="F812" s="63">
        <v>50115678</v>
      </c>
      <c r="G812" s="64" t="s">
        <v>1293</v>
      </c>
      <c r="H812" s="66">
        <v>1.462734</v>
      </c>
    </row>
    <row r="813" spans="1:8" ht="15">
      <c r="A813" s="63">
        <v>50115758</v>
      </c>
      <c r="B813" s="64" t="s">
        <v>1307</v>
      </c>
      <c r="C813">
        <v>50082183</v>
      </c>
      <c r="D813" t="s">
        <v>515</v>
      </c>
      <c r="F813" s="63">
        <v>50115703</v>
      </c>
      <c r="G813" s="64" t="s">
        <v>1295</v>
      </c>
      <c r="H813" s="66">
        <v>3.6579999999999999</v>
      </c>
    </row>
    <row r="814" spans="1:8" ht="15">
      <c r="A814" s="63">
        <v>50115770</v>
      </c>
      <c r="B814" s="64" t="s">
        <v>1310</v>
      </c>
      <c r="C814">
        <v>50082183</v>
      </c>
      <c r="D814" t="s">
        <v>515</v>
      </c>
      <c r="F814" s="63">
        <v>50115705</v>
      </c>
      <c r="G814" s="64" t="s">
        <v>1296</v>
      </c>
      <c r="H814" s="66">
        <v>0.48099999999999998</v>
      </c>
    </row>
    <row r="815" spans="1:8" ht="15">
      <c r="A815" s="65">
        <v>50115796</v>
      </c>
      <c r="B815" s="64" t="s">
        <v>1322</v>
      </c>
      <c r="C815">
        <v>50082183</v>
      </c>
      <c r="D815" t="s">
        <v>515</v>
      </c>
      <c r="F815" s="63">
        <v>50115707</v>
      </c>
      <c r="G815" s="64" t="s">
        <v>1297</v>
      </c>
      <c r="H815" s="66">
        <v>2.2080000000000002</v>
      </c>
    </row>
    <row r="816" spans="1:8" ht="15">
      <c r="A816" s="63">
        <v>50115796</v>
      </c>
      <c r="B816" s="64" t="s">
        <v>1322</v>
      </c>
      <c r="C816">
        <v>50107854</v>
      </c>
      <c r="D816" t="s">
        <v>1003</v>
      </c>
      <c r="F816" s="63">
        <v>50115709</v>
      </c>
      <c r="G816" s="64" t="s">
        <v>1298</v>
      </c>
      <c r="H816" s="66">
        <v>0.48099999999999998</v>
      </c>
    </row>
    <row r="817" spans="1:8" ht="15">
      <c r="A817" s="63">
        <v>50115864</v>
      </c>
      <c r="B817" s="64" t="s">
        <v>1327</v>
      </c>
      <c r="C817">
        <v>50082200</v>
      </c>
      <c r="D817" t="s">
        <v>521</v>
      </c>
      <c r="F817" s="63">
        <v>50115712</v>
      </c>
      <c r="G817" s="64" t="s">
        <v>1299</v>
      </c>
      <c r="H817" s="66">
        <v>0.52923799999999999</v>
      </c>
    </row>
    <row r="818" spans="1:8" ht="15">
      <c r="A818" s="63">
        <v>50115874</v>
      </c>
      <c r="B818" s="64" t="s">
        <v>1328</v>
      </c>
      <c r="C818">
        <v>50082200</v>
      </c>
      <c r="D818" t="s">
        <v>521</v>
      </c>
      <c r="F818" s="63">
        <v>50115714</v>
      </c>
      <c r="G818" s="64" t="s">
        <v>1300</v>
      </c>
      <c r="H818" s="66">
        <v>2.2080000000000002</v>
      </c>
    </row>
    <row r="819" spans="1:8" ht="15">
      <c r="A819" s="63">
        <v>50115876</v>
      </c>
      <c r="B819" s="64" t="s">
        <v>1329</v>
      </c>
      <c r="C819">
        <v>50082200</v>
      </c>
      <c r="D819" t="s">
        <v>521</v>
      </c>
      <c r="F819" s="63">
        <v>50115720</v>
      </c>
      <c r="G819" s="64" t="s">
        <v>1301</v>
      </c>
      <c r="H819" s="66">
        <v>3.577</v>
      </c>
    </row>
    <row r="820" spans="1:8" ht="15">
      <c r="A820" s="63">
        <v>50115880</v>
      </c>
      <c r="B820" s="64" t="s">
        <v>1331</v>
      </c>
      <c r="C820">
        <v>50082183</v>
      </c>
      <c r="D820" t="s">
        <v>515</v>
      </c>
      <c r="F820" s="63">
        <v>50115736</v>
      </c>
      <c r="G820" s="64" t="s">
        <v>1305</v>
      </c>
      <c r="H820" s="66">
        <v>0.45</v>
      </c>
    </row>
    <row r="821" spans="1:8" ht="15">
      <c r="A821" s="63">
        <v>50115883</v>
      </c>
      <c r="B821" s="64" t="s">
        <v>1332</v>
      </c>
      <c r="C821">
        <v>50082183</v>
      </c>
      <c r="D821" t="s">
        <v>515</v>
      </c>
      <c r="F821" s="63">
        <v>50115758</v>
      </c>
      <c r="G821" s="64" t="s">
        <v>1307</v>
      </c>
      <c r="H821" s="66">
        <v>0.48099999999999998</v>
      </c>
    </row>
    <row r="822" spans="1:8" ht="15">
      <c r="A822" s="63">
        <v>50115894</v>
      </c>
      <c r="B822" s="64" t="s">
        <v>1333</v>
      </c>
      <c r="C822">
        <v>50082200</v>
      </c>
      <c r="D822" t="s">
        <v>521</v>
      </c>
      <c r="F822" s="63">
        <v>50115770</v>
      </c>
      <c r="G822" s="64" t="s">
        <v>1310</v>
      </c>
      <c r="H822" s="66">
        <v>0.46</v>
      </c>
    </row>
    <row r="823" spans="1:8" ht="15">
      <c r="A823" s="63">
        <v>50115897</v>
      </c>
      <c r="B823" s="64" t="s">
        <v>1334</v>
      </c>
      <c r="C823">
        <v>50082200</v>
      </c>
      <c r="D823" t="s">
        <v>521</v>
      </c>
      <c r="F823" s="65">
        <v>50115796</v>
      </c>
      <c r="G823" s="64" t="s">
        <v>1322</v>
      </c>
      <c r="H823" s="66">
        <v>0.22</v>
      </c>
    </row>
    <row r="824" spans="1:8" ht="15">
      <c r="A824" s="63">
        <v>50115900</v>
      </c>
      <c r="B824" s="64" t="s">
        <v>1335</v>
      </c>
      <c r="C824">
        <v>50082200</v>
      </c>
      <c r="D824" t="s">
        <v>521</v>
      </c>
      <c r="F824" s="63">
        <v>50115796</v>
      </c>
      <c r="G824" s="64" t="s">
        <v>1322</v>
      </c>
      <c r="H824" s="66">
        <v>0.22</v>
      </c>
    </row>
    <row r="825" spans="1:8" ht="15">
      <c r="A825" s="63">
        <v>50115920</v>
      </c>
      <c r="B825" s="64" t="s">
        <v>274</v>
      </c>
      <c r="C825">
        <v>50082184</v>
      </c>
      <c r="D825" t="s">
        <v>517</v>
      </c>
      <c r="F825" s="63">
        <v>50115864</v>
      </c>
      <c r="G825" s="64" t="s">
        <v>1327</v>
      </c>
      <c r="H825" s="66">
        <v>2.2050000000000001</v>
      </c>
    </row>
    <row r="826" spans="1:8" ht="15">
      <c r="A826" s="63">
        <v>50115937</v>
      </c>
      <c r="B826" s="64" t="s">
        <v>1635</v>
      </c>
      <c r="C826">
        <v>50082198</v>
      </c>
      <c r="D826" t="s">
        <v>1943</v>
      </c>
      <c r="F826" s="63">
        <v>50115874</v>
      </c>
      <c r="G826" s="64" t="s">
        <v>1328</v>
      </c>
      <c r="H826" s="66">
        <v>2.2050000000000001</v>
      </c>
    </row>
    <row r="827" spans="1:8" ht="15">
      <c r="A827" s="63">
        <v>50115940</v>
      </c>
      <c r="B827" s="64" t="s">
        <v>1337</v>
      </c>
      <c r="C827">
        <v>50082200</v>
      </c>
      <c r="D827" t="s">
        <v>521</v>
      </c>
      <c r="F827" s="63">
        <v>50115876</v>
      </c>
      <c r="G827" s="64" t="s">
        <v>1329</v>
      </c>
      <c r="H827" s="66">
        <v>2.2050000000000001</v>
      </c>
    </row>
    <row r="828" spans="1:8" ht="15">
      <c r="A828" s="63">
        <v>50115943</v>
      </c>
      <c r="B828" s="64" t="s">
        <v>1338</v>
      </c>
      <c r="C828">
        <v>50082184</v>
      </c>
      <c r="D828" t="s">
        <v>517</v>
      </c>
      <c r="F828" s="63">
        <v>50115880</v>
      </c>
      <c r="G828" s="64" t="s">
        <v>1331</v>
      </c>
      <c r="H828" s="66">
        <v>2.8319999999999999</v>
      </c>
    </row>
    <row r="829" spans="1:8" ht="15">
      <c r="A829" s="63">
        <v>50115946</v>
      </c>
      <c r="B829" s="64" t="s">
        <v>1339</v>
      </c>
      <c r="C829">
        <v>50082184</v>
      </c>
      <c r="D829" t="s">
        <v>517</v>
      </c>
      <c r="F829" s="63">
        <v>50115883</v>
      </c>
      <c r="G829" s="64" t="s">
        <v>1332</v>
      </c>
      <c r="H829" s="66">
        <v>0.46179999999999999</v>
      </c>
    </row>
    <row r="830" spans="1:8" ht="15">
      <c r="A830" s="63">
        <v>50115949</v>
      </c>
      <c r="B830" s="64" t="s">
        <v>1340</v>
      </c>
      <c r="C830">
        <v>50082184</v>
      </c>
      <c r="D830" t="s">
        <v>517</v>
      </c>
      <c r="F830" s="63">
        <v>50115894</v>
      </c>
      <c r="G830" s="64" t="s">
        <v>1333</v>
      </c>
      <c r="H830" s="66">
        <v>1.72</v>
      </c>
    </row>
    <row r="831" spans="1:8" ht="15">
      <c r="A831" s="63">
        <v>50115966</v>
      </c>
      <c r="B831" s="64" t="s">
        <v>498</v>
      </c>
      <c r="C831">
        <v>50103870</v>
      </c>
      <c r="D831" t="s">
        <v>930</v>
      </c>
      <c r="F831" s="63">
        <v>50115897</v>
      </c>
      <c r="G831" s="64" t="s">
        <v>1334</v>
      </c>
      <c r="H831" s="66">
        <v>1.72</v>
      </c>
    </row>
    <row r="832" spans="1:8" ht="15">
      <c r="A832" s="63">
        <v>50115972</v>
      </c>
      <c r="B832" s="64" t="s">
        <v>500</v>
      </c>
      <c r="C832">
        <v>50082202</v>
      </c>
      <c r="D832" t="s">
        <v>519</v>
      </c>
      <c r="F832" s="63">
        <v>50115900</v>
      </c>
      <c r="G832" s="64" t="s">
        <v>1335</v>
      </c>
      <c r="H832" s="66">
        <v>1.72</v>
      </c>
    </row>
    <row r="833" spans="1:8" ht="15">
      <c r="A833" s="63">
        <v>50115979</v>
      </c>
      <c r="B833" s="64" t="s">
        <v>1345</v>
      </c>
      <c r="C833">
        <v>50082202</v>
      </c>
      <c r="D833" t="s">
        <v>519</v>
      </c>
      <c r="F833" s="63">
        <v>50115920</v>
      </c>
      <c r="G833" s="64" t="s">
        <v>274</v>
      </c>
      <c r="H833" s="66">
        <v>0.52923799999999999</v>
      </c>
    </row>
    <row r="834" spans="1:8" ht="15">
      <c r="A834" s="63">
        <v>50115982</v>
      </c>
      <c r="B834" s="64" t="s">
        <v>1346</v>
      </c>
      <c r="C834">
        <v>50082183</v>
      </c>
      <c r="D834" t="s">
        <v>515</v>
      </c>
      <c r="F834" s="63">
        <v>50115937</v>
      </c>
      <c r="G834" s="64" t="s">
        <v>1635</v>
      </c>
      <c r="H834" s="66">
        <v>3.5486</v>
      </c>
    </row>
    <row r="835" spans="1:8" ht="15">
      <c r="A835" s="63">
        <v>50115985</v>
      </c>
      <c r="B835" s="64" t="s">
        <v>1347</v>
      </c>
      <c r="C835">
        <v>50082183</v>
      </c>
      <c r="D835" t="s">
        <v>515</v>
      </c>
      <c r="F835" s="63">
        <v>50115940</v>
      </c>
      <c r="G835" s="64" t="s">
        <v>1337</v>
      </c>
      <c r="H835" s="66">
        <v>1.72</v>
      </c>
    </row>
    <row r="836" spans="1:8" ht="15">
      <c r="A836" s="63">
        <v>50115995</v>
      </c>
      <c r="B836" s="64" t="s">
        <v>1348</v>
      </c>
      <c r="C836">
        <v>50082184</v>
      </c>
      <c r="D836" t="s">
        <v>517</v>
      </c>
      <c r="F836" s="63">
        <v>50115943</v>
      </c>
      <c r="G836" s="64" t="s">
        <v>1338</v>
      </c>
      <c r="H836" s="66">
        <v>0.56059999999999999</v>
      </c>
    </row>
    <row r="837" spans="1:8" ht="15">
      <c r="A837" s="63">
        <v>50115998</v>
      </c>
      <c r="B837" s="64" t="s">
        <v>1349</v>
      </c>
      <c r="C837">
        <v>50082183</v>
      </c>
      <c r="D837" t="s">
        <v>515</v>
      </c>
      <c r="F837" s="63">
        <v>50115946</v>
      </c>
      <c r="G837" s="64" t="s">
        <v>1339</v>
      </c>
      <c r="H837" s="66">
        <v>0.54879999999999995</v>
      </c>
    </row>
    <row r="838" spans="1:8" ht="15">
      <c r="A838" s="63">
        <v>50116001</v>
      </c>
      <c r="B838" s="64" t="s">
        <v>1350</v>
      </c>
      <c r="C838">
        <v>50082184</v>
      </c>
      <c r="D838" t="s">
        <v>517</v>
      </c>
      <c r="F838" s="63">
        <v>50115949</v>
      </c>
      <c r="G838" s="64" t="s">
        <v>1340</v>
      </c>
      <c r="H838" s="66">
        <v>3.5491000000000001</v>
      </c>
    </row>
    <row r="839" spans="1:8" ht="15">
      <c r="A839" s="63">
        <v>50116004</v>
      </c>
      <c r="B839" s="64" t="s">
        <v>1351</v>
      </c>
      <c r="C839">
        <v>50082184</v>
      </c>
      <c r="D839" t="s">
        <v>517</v>
      </c>
      <c r="F839" s="63">
        <v>50115966</v>
      </c>
      <c r="G839" s="64" t="s">
        <v>498</v>
      </c>
      <c r="H839" s="66">
        <v>2.4500000000000002</v>
      </c>
    </row>
    <row r="840" spans="1:8" ht="15">
      <c r="A840" s="63">
        <v>50116007</v>
      </c>
      <c r="B840" s="64" t="s">
        <v>1352</v>
      </c>
      <c r="C840">
        <v>50082183</v>
      </c>
      <c r="D840" t="s">
        <v>515</v>
      </c>
      <c r="F840" s="63">
        <v>50115972</v>
      </c>
      <c r="G840" s="64" t="s">
        <v>500</v>
      </c>
      <c r="H840" s="66">
        <v>2.2080000000000002</v>
      </c>
    </row>
    <row r="841" spans="1:8" ht="15">
      <c r="A841" s="63">
        <v>50116010</v>
      </c>
      <c r="B841" s="64" t="s">
        <v>1649</v>
      </c>
      <c r="C841">
        <v>50082198</v>
      </c>
      <c r="D841" t="s">
        <v>1943</v>
      </c>
      <c r="F841" s="63">
        <v>50115979</v>
      </c>
      <c r="G841" s="64" t="s">
        <v>1345</v>
      </c>
      <c r="H841" s="66">
        <v>2.1240000000000001</v>
      </c>
    </row>
    <row r="842" spans="1:8" ht="15">
      <c r="A842" s="63">
        <v>50096985</v>
      </c>
      <c r="B842" s="64" t="s">
        <v>297</v>
      </c>
      <c r="C842">
        <v>50096983</v>
      </c>
      <c r="D842" t="s">
        <v>812</v>
      </c>
      <c r="F842" s="63">
        <v>50115982</v>
      </c>
      <c r="G842" s="64" t="s">
        <v>1346</v>
      </c>
      <c r="H842" s="66">
        <v>0.46179999999999999</v>
      </c>
    </row>
    <row r="843" spans="1:8" ht="15">
      <c r="A843" s="63">
        <v>50096986</v>
      </c>
      <c r="B843" s="64" t="s">
        <v>287</v>
      </c>
      <c r="C843">
        <v>50096983</v>
      </c>
      <c r="D843" t="s">
        <v>812</v>
      </c>
      <c r="F843" s="63">
        <v>50115985</v>
      </c>
      <c r="G843" s="64" t="s">
        <v>1347</v>
      </c>
      <c r="H843" s="66">
        <v>0.18</v>
      </c>
    </row>
    <row r="844" spans="1:8" ht="15">
      <c r="A844" s="63">
        <v>50096987</v>
      </c>
      <c r="B844" s="64" t="s">
        <v>285</v>
      </c>
      <c r="C844">
        <v>50096983</v>
      </c>
      <c r="D844" t="s">
        <v>812</v>
      </c>
      <c r="F844" s="63">
        <v>50115995</v>
      </c>
      <c r="G844" s="64" t="s">
        <v>1348</v>
      </c>
      <c r="H844" s="66">
        <v>3.577</v>
      </c>
    </row>
    <row r="845" spans="1:8" ht="15">
      <c r="A845" s="63">
        <v>50096988</v>
      </c>
      <c r="B845" s="64" t="s">
        <v>813</v>
      </c>
      <c r="C845">
        <v>50096983</v>
      </c>
      <c r="D845" t="s">
        <v>812</v>
      </c>
      <c r="F845" s="63">
        <v>50115998</v>
      </c>
      <c r="G845" s="64" t="s">
        <v>1349</v>
      </c>
      <c r="H845" s="66">
        <v>3.5491000000000001</v>
      </c>
    </row>
    <row r="846" spans="1:8" ht="15">
      <c r="A846" s="63">
        <v>50104777</v>
      </c>
      <c r="B846" s="64" t="s">
        <v>304</v>
      </c>
      <c r="C846">
        <v>50097522</v>
      </c>
      <c r="D846" t="s">
        <v>810</v>
      </c>
      <c r="F846" s="63">
        <v>50116001</v>
      </c>
      <c r="G846" s="64" t="s">
        <v>1350</v>
      </c>
      <c r="H846" s="66">
        <v>0.52923799999999999</v>
      </c>
    </row>
    <row r="847" spans="1:8" ht="15">
      <c r="A847" s="63">
        <v>50108149</v>
      </c>
      <c r="B847" s="64" t="s">
        <v>1007</v>
      </c>
      <c r="C847">
        <v>50106995</v>
      </c>
      <c r="D847" t="s">
        <v>989</v>
      </c>
      <c r="F847" s="63">
        <v>50116004</v>
      </c>
      <c r="G847" s="64" t="s">
        <v>1351</v>
      </c>
      <c r="H847" s="66">
        <v>3.5491000000000001</v>
      </c>
    </row>
    <row r="848" spans="1:8" ht="15">
      <c r="A848" s="63">
        <v>50108836</v>
      </c>
      <c r="B848" s="64" t="s">
        <v>1023</v>
      </c>
      <c r="C848">
        <v>50108834</v>
      </c>
      <c r="D848" t="s">
        <v>1024</v>
      </c>
      <c r="F848" s="63">
        <v>50116007</v>
      </c>
      <c r="G848" s="64" t="s">
        <v>1352</v>
      </c>
      <c r="H848" s="66">
        <v>3.5491000000000001</v>
      </c>
    </row>
    <row r="849" spans="1:8" ht="15">
      <c r="A849" s="63">
        <v>50112641</v>
      </c>
      <c r="B849" s="64" t="s">
        <v>1134</v>
      </c>
      <c r="C849">
        <v>50082183</v>
      </c>
      <c r="D849" t="s">
        <v>515</v>
      </c>
      <c r="F849" s="63">
        <v>50116010</v>
      </c>
      <c r="G849" s="64" t="s">
        <v>1649</v>
      </c>
      <c r="H849" s="66">
        <v>3.4590000000000001</v>
      </c>
    </row>
    <row r="850" spans="1:8" ht="15">
      <c r="A850" s="63">
        <v>50112692</v>
      </c>
      <c r="B850" s="64" t="s">
        <v>1135</v>
      </c>
      <c r="C850">
        <v>50082183</v>
      </c>
      <c r="D850" t="s">
        <v>515</v>
      </c>
    </row>
    <row r="851" spans="1:8" ht="15">
      <c r="A851" s="63">
        <v>50115636</v>
      </c>
      <c r="B851" s="64" t="s">
        <v>1281</v>
      </c>
      <c r="C851">
        <v>50104077</v>
      </c>
      <c r="D851" t="s">
        <v>933</v>
      </c>
    </row>
    <row r="852" spans="1:8" ht="15">
      <c r="A852" s="63">
        <v>50115648</v>
      </c>
      <c r="B852" s="64" t="s">
        <v>1288</v>
      </c>
      <c r="C852">
        <v>50104077</v>
      </c>
      <c r="D852" t="s">
        <v>933</v>
      </c>
    </row>
    <row r="853" spans="1:8" ht="15">
      <c r="A853" s="63">
        <v>50115683</v>
      </c>
      <c r="B853" s="64" t="s">
        <v>1294</v>
      </c>
      <c r="C853">
        <v>50104078</v>
      </c>
      <c r="D853" t="s">
        <v>949</v>
      </c>
    </row>
  </sheetData>
  <autoFilter ref="A1:D183" xr:uid="{3CA572DD-B7C4-4D6E-9063-D5CD7C3F60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MAIN</vt:lpstr>
      <vt:lpstr>Sales loss</vt:lpstr>
      <vt:lpstr>FORECAST</vt:lpstr>
      <vt:lpstr>APPASAMY DATES</vt:lpstr>
      <vt:lpstr>MASTER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Hegde</dc:creator>
  <cp:lastModifiedBy>Anil Anil Kumar CK</cp:lastModifiedBy>
  <cp:lastPrinted>2025-12-25T06:06:50Z</cp:lastPrinted>
  <dcterms:created xsi:type="dcterms:W3CDTF">2025-12-23T12:38:14Z</dcterms:created>
  <dcterms:modified xsi:type="dcterms:W3CDTF">2026-01-19T07:48:23Z</dcterms:modified>
</cp:coreProperties>
</file>